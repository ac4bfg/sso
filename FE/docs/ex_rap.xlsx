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T. KIAN SANTANG MULIATAMA\01. PT Kian Santang Muliatama Tbk\17. PMO\04. Cost Control\"/>
    </mc:Choice>
  </mc:AlternateContent>
  <xr:revisionPtr revIDLastSave="0" documentId="13_ncr:1_{334A4178-51CD-4F95-9DEF-517595AB4454}" xr6:coauthVersionLast="47" xr6:coauthVersionMax="47" xr10:uidLastSave="{00000000-0000-0000-0000-000000000000}"/>
  <bookViews>
    <workbookView xWindow="-90" yWindow="0" windowWidth="9780" windowHeight="10170" xr2:uid="{81578ADE-28BC-4EC9-A783-DCD83D105024}"/>
  </bookViews>
  <sheets>
    <sheet name="25P005" sheetId="1" r:id="rId1"/>
  </sheets>
  <definedNames>
    <definedName name="_xlnm.Print_Titles" localSheetId="0">'25P005'!$10:$10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7" i="1" l="1"/>
  <c r="W16" i="1"/>
  <c r="W15" i="1"/>
  <c r="W14" i="1"/>
  <c r="W13" i="1"/>
  <c r="L27" i="1"/>
  <c r="Q43" i="1" l="1"/>
  <c r="Q42" i="1" s="1"/>
  <c r="Q38" i="1"/>
  <c r="P42" i="1"/>
  <c r="P40" i="1"/>
  <c r="P39" i="1"/>
  <c r="P38" i="1"/>
  <c r="P37" i="1"/>
  <c r="P36" i="1"/>
  <c r="P35" i="1"/>
  <c r="P32" i="1"/>
  <c r="P31" i="1"/>
  <c r="P30" i="1"/>
  <c r="P29" i="1"/>
  <c r="P26" i="1"/>
  <c r="P25" i="1"/>
  <c r="P24" i="1"/>
  <c r="P21" i="1"/>
  <c r="P18" i="1" s="1"/>
  <c r="P20" i="1"/>
  <c r="P19" i="1"/>
  <c r="P16" i="1"/>
  <c r="P15" i="1"/>
  <c r="P14" i="1"/>
  <c r="L42" i="1"/>
  <c r="H43" i="1"/>
  <c r="H42" i="1" s="1"/>
  <c r="B15" i="1"/>
  <c r="B16" i="1" s="1"/>
  <c r="B20" i="1"/>
  <c r="B21" i="1" s="1"/>
  <c r="L40" i="1"/>
  <c r="Q40" i="1" s="1"/>
  <c r="R40" i="1" s="1"/>
  <c r="L39" i="1"/>
  <c r="L38" i="1"/>
  <c r="L37" i="1"/>
  <c r="Q37" i="1" s="1"/>
  <c r="L36" i="1"/>
  <c r="Q36" i="1" s="1"/>
  <c r="L35" i="1"/>
  <c r="L32" i="1"/>
  <c r="Q32" i="1" s="1"/>
  <c r="L31" i="1"/>
  <c r="Q31" i="1" s="1"/>
  <c r="L30" i="1"/>
  <c r="Q30" i="1" s="1"/>
  <c r="L26" i="1"/>
  <c r="Q26" i="1" s="1"/>
  <c r="R26" i="1" s="1"/>
  <c r="L25" i="1"/>
  <c r="L24" i="1"/>
  <c r="Q24" i="1" s="1"/>
  <c r="L21" i="1"/>
  <c r="L20" i="1"/>
  <c r="Q20" i="1" s="1"/>
  <c r="R20" i="1" s="1"/>
  <c r="L19" i="1"/>
  <c r="Q19" i="1" s="1"/>
  <c r="L16" i="1"/>
  <c r="L15" i="1"/>
  <c r="L14" i="1"/>
  <c r="H26" i="1"/>
  <c r="H40" i="1"/>
  <c r="H39" i="1"/>
  <c r="H20" i="1"/>
  <c r="H21" i="1"/>
  <c r="H16" i="1"/>
  <c r="H38" i="1"/>
  <c r="H37" i="1"/>
  <c r="H36" i="1"/>
  <c r="H35" i="1"/>
  <c r="H30" i="1"/>
  <c r="H24" i="1"/>
  <c r="H19" i="1"/>
  <c r="H15" i="1"/>
  <c r="H14" i="1"/>
  <c r="Q14" i="1" l="1"/>
  <c r="Q13" i="1" s="1"/>
  <c r="L34" i="1"/>
  <c r="Q15" i="1"/>
  <c r="R15" i="1" s="1"/>
  <c r="Q16" i="1"/>
  <c r="R37" i="1"/>
  <c r="Q39" i="1"/>
  <c r="R39" i="1" s="1"/>
  <c r="Q21" i="1"/>
  <c r="R21" i="1" s="1"/>
  <c r="R16" i="1"/>
  <c r="Q25" i="1"/>
  <c r="Q23" i="1" s="1"/>
  <c r="R36" i="1"/>
  <c r="R30" i="1"/>
  <c r="Q29" i="1"/>
  <c r="R19" i="1"/>
  <c r="R38" i="1"/>
  <c r="P34" i="1"/>
  <c r="Q35" i="1"/>
  <c r="R43" i="1"/>
  <c r="R42" i="1" s="1"/>
  <c r="H34" i="1"/>
  <c r="P23" i="1"/>
  <c r="P13" i="1"/>
  <c r="P48" i="1" s="1"/>
  <c r="R24" i="1"/>
  <c r="R18" i="1"/>
  <c r="L29" i="1"/>
  <c r="L23" i="1"/>
  <c r="L18" i="1"/>
  <c r="L13" i="1"/>
  <c r="H25" i="1"/>
  <c r="H32" i="1"/>
  <c r="R32" i="1" s="1"/>
  <c r="R25" i="1" l="1"/>
  <c r="R14" i="1"/>
  <c r="R13" i="1" s="1"/>
  <c r="Q18" i="1"/>
  <c r="L48" i="1"/>
  <c r="R23" i="1"/>
  <c r="R35" i="1"/>
  <c r="R34" i="1" s="1"/>
  <c r="Q34" i="1"/>
  <c r="Q48" i="1"/>
  <c r="H31" i="1"/>
  <c r="H29" i="1" l="1"/>
  <c r="R31" i="1"/>
  <c r="R29" i="1" s="1"/>
  <c r="R48" i="1" s="1"/>
  <c r="H18" i="1"/>
  <c r="H13" i="1" l="1"/>
  <c r="H23" i="1" l="1"/>
  <c r="H48" i="1" s="1"/>
</calcChain>
</file>

<file path=xl/sharedStrings.xml><?xml version="1.0" encoding="utf-8"?>
<sst xmlns="http://schemas.openxmlformats.org/spreadsheetml/2006/main" count="77" uniqueCount="59">
  <si>
    <t>Nama Proyek</t>
  </si>
  <si>
    <t>Pemberi Kerja</t>
  </si>
  <si>
    <t>Lokasi</t>
  </si>
  <si>
    <t>Kode Proyek</t>
  </si>
  <si>
    <t>A.</t>
  </si>
  <si>
    <t>B.</t>
  </si>
  <si>
    <t>C.</t>
  </si>
  <si>
    <t>D.</t>
  </si>
  <si>
    <t>E.</t>
  </si>
  <si>
    <t>Sewa Mobil</t>
  </si>
  <si>
    <t>JUMLAH</t>
  </si>
  <si>
    <t>DURASI</t>
  </si>
  <si>
    <t>HARGA SATUAN</t>
  </si>
  <si>
    <t>JUMLAH HARGA</t>
  </si>
  <si>
    <t>KETERANGAN</t>
  </si>
  <si>
    <t>URAIAN</t>
  </si>
  <si>
    <t>NO</t>
  </si>
  <si>
    <t>TOTAL BIAYA</t>
  </si>
  <si>
    <t>PNBP Temperature Transmitter</t>
  </si>
  <si>
    <t>HARGA POKOK PEKERJAAN (HPP)</t>
  </si>
  <si>
    <t>Migas</t>
  </si>
  <si>
    <t xml:space="preserve"> </t>
  </si>
  <si>
    <t>PNBP Pressure Transmitter</t>
  </si>
  <si>
    <t>Ditmet</t>
  </si>
  <si>
    <t>Calibration Metering Orifice Karawang</t>
  </si>
  <si>
    <t>KS-25P005</t>
  </si>
  <si>
    <t>PT Surya Energi Parahita</t>
  </si>
  <si>
    <t>Karawang - Jawa Barat</t>
  </si>
  <si>
    <t>RAP / HPP</t>
  </si>
  <si>
    <t>REALISASI</t>
  </si>
  <si>
    <t xml:space="preserve"> Transportation</t>
  </si>
  <si>
    <t>BBM, Tol, Parkir (KS + Ditmet)</t>
  </si>
  <si>
    <t>BBM, Tol, Parkir (Migas)</t>
  </si>
  <si>
    <t xml:space="preserve"> Meals</t>
  </si>
  <si>
    <t>KS</t>
  </si>
  <si>
    <t xml:space="preserve"> Allowance</t>
  </si>
  <si>
    <t xml:space="preserve"> Acomodation</t>
  </si>
  <si>
    <t xml:space="preserve"> Biaya BNPB</t>
  </si>
  <si>
    <t>Dinas Luar Penera</t>
  </si>
  <si>
    <t>PNBP Plat Orifice</t>
  </si>
  <si>
    <t>PNBP MGO System</t>
  </si>
  <si>
    <t>PNBP Three Pen Recorder</t>
  </si>
  <si>
    <t>F</t>
  </si>
  <si>
    <t xml:space="preserve"> Biaya Overhead</t>
  </si>
  <si>
    <t>Overhead Lapangan</t>
  </si>
  <si>
    <t>COST TO GO</t>
  </si>
  <si>
    <t>SD SELESAI</t>
  </si>
  <si>
    <t>DEVIASI</t>
  </si>
  <si>
    <t>6 = 3x4x5</t>
  </si>
  <si>
    <t>10 = 7x8x9</t>
  </si>
  <si>
    <t>14 = 11x12x13</t>
  </si>
  <si>
    <t>15 = 10+14</t>
  </si>
  <si>
    <t>16 = 6-15</t>
  </si>
  <si>
    <t>Percepatan Ditmet</t>
  </si>
  <si>
    <t>Transport &amp; Perjalanan Dinas</t>
  </si>
  <si>
    <t>Makan</t>
  </si>
  <si>
    <t>Uang Saku Eks</t>
  </si>
  <si>
    <t>PNBP</t>
  </si>
  <si>
    <t>Overhead Lain 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</si>
</sst>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\ * &quot;:&quot;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i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double">
        <color indexed="64"/>
      </bottom>
      <diagonal/>
    </border>
    <border>
      <left style="thin">
        <color auto="1"/>
      </left>
      <right/>
      <top style="hair">
        <color auto="1"/>
      </top>
      <bottom style="double">
        <color indexed="64"/>
      </bottom>
      <diagonal/>
    </border>
    <border>
      <left/>
      <right/>
      <top style="hair">
        <color auto="1"/>
      </top>
      <bottom style="double">
        <color indexed="64"/>
      </bottom>
      <diagonal/>
    </border>
    <border>
      <left/>
      <right style="thin">
        <color auto="1"/>
      </right>
      <top style="hair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auto="1"/>
      </bottom>
      <diagonal/>
    </border>
    <border>
      <left/>
      <right style="thin">
        <color auto="1"/>
      </right>
      <top style="double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indexed="64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double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double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double">
        <color indexed="64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1" fillId="0" borderId="1" xfId="0" applyFont="1" applyBorder="1" applyAlignment="1">
      <alignment horizontal="center"/>
    </xf>
    <xf numFmtId="0" fontId="3" fillId="0" borderId="0" xfId="0" applyFont="1"/>
    <xf numFmtId="37" fontId="1" fillId="0" borderId="2" xfId="0" applyNumberFormat="1" applyFont="1" applyBorder="1"/>
    <xf numFmtId="37" fontId="1" fillId="0" borderId="11" xfId="0" applyNumberFormat="1" applyFont="1" applyBorder="1"/>
    <xf numFmtId="37" fontId="1" fillId="0" borderId="13" xfId="0" applyNumberFormat="1" applyFont="1" applyBorder="1"/>
    <xf numFmtId="37" fontId="1" fillId="0" borderId="14" xfId="0" applyNumberFormat="1" applyFont="1" applyBorder="1"/>
    <xf numFmtId="37" fontId="1" fillId="0" borderId="17" xfId="0" applyNumberFormat="1" applyFont="1" applyBorder="1"/>
    <xf numFmtId="37" fontId="2" fillId="0" borderId="17" xfId="0" applyNumberFormat="1" applyFont="1" applyBorder="1"/>
    <xf numFmtId="37" fontId="2" fillId="0" borderId="18" xfId="0" applyNumberFormat="1" applyFont="1" applyBorder="1"/>
    <xf numFmtId="37" fontId="1" fillId="0" borderId="21" xfId="0" applyNumberFormat="1" applyFont="1" applyBorder="1"/>
    <xf numFmtId="37" fontId="1" fillId="0" borderId="22" xfId="0" applyNumberFormat="1" applyFont="1" applyBorder="1"/>
    <xf numFmtId="37" fontId="1" fillId="0" borderId="0" xfId="0" applyNumberFormat="1" applyFont="1"/>
    <xf numFmtId="0" fontId="2" fillId="0" borderId="1" xfId="0" applyFont="1" applyBorder="1" applyAlignment="1">
      <alignment horizontal="center"/>
    </xf>
    <xf numFmtId="0" fontId="2" fillId="0" borderId="4" xfId="0" applyFont="1" applyBorder="1"/>
    <xf numFmtId="0" fontId="1" fillId="0" borderId="51" xfId="0" applyFont="1" applyBorder="1"/>
    <xf numFmtId="0" fontId="1" fillId="0" borderId="52" xfId="0" applyFont="1" applyBorder="1"/>
    <xf numFmtId="0" fontId="1" fillId="0" borderId="53" xfId="0" applyFont="1" applyBorder="1"/>
    <xf numFmtId="0" fontId="1" fillId="0" borderId="54" xfId="0" applyFont="1" applyBorder="1"/>
    <xf numFmtId="37" fontId="1" fillId="0" borderId="55" xfId="0" applyNumberFormat="1" applyFont="1" applyBorder="1"/>
    <xf numFmtId="0" fontId="2" fillId="0" borderId="60" xfId="0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37" fontId="2" fillId="0" borderId="64" xfId="0" applyNumberFormat="1" applyFont="1" applyBorder="1" applyAlignment="1">
      <alignment horizontal="center" vertical="center"/>
    </xf>
    <xf numFmtId="37" fontId="2" fillId="0" borderId="64" xfId="0" applyNumberFormat="1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37" fontId="5" fillId="0" borderId="15" xfId="0" applyNumberFormat="1" applyFont="1" applyBorder="1" applyAlignment="1">
      <alignment horizontal="center" vertical="center"/>
    </xf>
    <xf numFmtId="37" fontId="5" fillId="0" borderId="15" xfId="0" applyNumberFormat="1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37" fontId="2" fillId="0" borderId="2" xfId="0" applyNumberFormat="1" applyFont="1" applyBorder="1"/>
    <xf numFmtId="0" fontId="1" fillId="0" borderId="56" xfId="0" applyFont="1" applyBorder="1"/>
    <xf numFmtId="37" fontId="2" fillId="0" borderId="55" xfId="0" applyNumberFormat="1" applyFont="1" applyBorder="1"/>
    <xf numFmtId="37" fontId="1" fillId="0" borderId="15" xfId="0" applyNumberFormat="1" applyFont="1" applyBorder="1"/>
    <xf numFmtId="37" fontId="2" fillId="0" borderId="19" xfId="0" applyNumberFormat="1" applyFont="1" applyBorder="1"/>
    <xf numFmtId="37" fontId="1" fillId="0" borderId="23" xfId="0" applyNumberFormat="1" applyFont="1" applyBorder="1"/>
    <xf numFmtId="0" fontId="1" fillId="2" borderId="1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37" fontId="1" fillId="2" borderId="2" xfId="0" applyNumberFormat="1" applyFont="1" applyFill="1" applyBorder="1"/>
    <xf numFmtId="0" fontId="1" fillId="2" borderId="3" xfId="0" applyFont="1" applyFill="1" applyBorder="1"/>
    <xf numFmtId="0" fontId="1" fillId="2" borderId="0" xfId="0" applyFont="1" applyFill="1"/>
    <xf numFmtId="164" fontId="1" fillId="0" borderId="0" xfId="0" applyNumberFormat="1" applyFont="1" applyAlignment="1">
      <alignment horizontal="left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4" fillId="0" borderId="31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4" fillId="0" borderId="33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2" fillId="0" borderId="57" xfId="0" applyFont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 wrapText="1"/>
    </xf>
    <xf numFmtId="0" fontId="2" fillId="0" borderId="5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234950</xdr:colOff>
      <xdr:row>1</xdr:row>
      <xdr:rowOff>25400</xdr:rowOff>
    </xdr:from>
    <xdr:to>
      <xdr:col>21</xdr:col>
      <xdr:colOff>1567542</xdr:colOff>
      <xdr:row>3</xdr:row>
      <xdr:rowOff>85511</xdr:rowOff>
    </xdr:to>
    <xdr:pic>
      <xdr:nvPicPr>
        <xdr:cNvPr id="2" name="Picture 1" descr="Home - PT KIAN SANTANG">
          <a:extLst>
            <a:ext uri="{FF2B5EF4-FFF2-40B4-BE49-F238E27FC236}">
              <a16:creationId xmlns:a16="http://schemas.microsoft.com/office/drawing/2014/main" id="{5F62BD74-2429-4841-95AB-025E68E96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63300" y="254000"/>
          <a:ext cx="2235200" cy="4157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5195C-D2C5-40A9-87AF-2C5BBCB0E2CB}">
  <dimension ref="A1:W49"/>
  <sheetViews>
    <sheetView tabSelected="1" topLeftCell="D1" zoomScale="70" zoomScaleNormal="70" workbookViewId="0">
      <selection activeCell="Z20" sqref="Z20"/>
    </sheetView>
  </sheetViews>
  <sheetFormatPr defaultRowHeight="14" x14ac:dyDescent="0.3"/>
  <cols>
    <col min="1" max="1" width="4.7265625" style="1" customWidth="1"/>
    <col min="2" max="2" width="2.90625" style="1" customWidth="1"/>
    <col min="3" max="3" width="11.90625" style="1" customWidth="1"/>
    <col min="4" max="4" width="18.90625" style="1" customWidth="1"/>
    <col min="5" max="6" width="8.6328125" style="1" customWidth="1"/>
    <col min="7" max="8" width="12.6328125" style="1" customWidth="1"/>
    <col min="9" max="10" width="8.6328125" style="1" hidden="1" customWidth="1"/>
    <col min="11" max="11" width="12.6328125" style="1" hidden="1" customWidth="1"/>
    <col min="12" max="12" width="15.6328125" style="1" hidden="1" customWidth="1"/>
    <col min="13" max="14" width="8.6328125" style="1" hidden="1" customWidth="1"/>
    <col min="15" max="18" width="12.6328125" style="1" hidden="1" customWidth="1"/>
    <col min="19" max="19" width="20.54296875" style="1" hidden="1" customWidth="1"/>
    <col min="20" max="20" width="0.81640625" style="1" customWidth="1"/>
    <col min="21" max="21" width="8.7265625" style="1"/>
    <col min="22" max="22" width="26.7265625" style="1" bestFit="1" customWidth="1"/>
    <col min="23" max="23" width="10.6328125" style="1" bestFit="1" customWidth="1"/>
    <col min="24" max="16384" width="8.7265625" style="1"/>
  </cols>
  <sheetData>
    <row r="1" spans="1:23" ht="18" x14ac:dyDescent="0.4">
      <c r="A1" s="23" t="s">
        <v>19</v>
      </c>
    </row>
    <row r="2" spans="1:23" x14ac:dyDescent="0.3">
      <c r="A2" s="2"/>
    </row>
    <row r="3" spans="1:23" x14ac:dyDescent="0.3">
      <c r="A3" s="1" t="s">
        <v>4</v>
      </c>
      <c r="B3" s="65" t="s">
        <v>0</v>
      </c>
      <c r="C3" s="65"/>
      <c r="D3" s="1" t="s">
        <v>24</v>
      </c>
    </row>
    <row r="4" spans="1:23" x14ac:dyDescent="0.3">
      <c r="A4" s="1" t="s">
        <v>5</v>
      </c>
      <c r="B4" s="65" t="s">
        <v>3</v>
      </c>
      <c r="C4" s="65"/>
      <c r="D4" s="1" t="s">
        <v>25</v>
      </c>
    </row>
    <row r="5" spans="1:23" x14ac:dyDescent="0.3">
      <c r="A5" s="1" t="s">
        <v>6</v>
      </c>
      <c r="B5" s="65" t="s">
        <v>1</v>
      </c>
      <c r="C5" s="65"/>
      <c r="D5" s="1" t="s">
        <v>26</v>
      </c>
      <c r="H5" s="33"/>
    </row>
    <row r="6" spans="1:23" x14ac:dyDescent="0.3">
      <c r="A6" s="1" t="s">
        <v>7</v>
      </c>
      <c r="B6" s="65" t="s">
        <v>2</v>
      </c>
      <c r="C6" s="65"/>
      <c r="D6" s="1" t="s">
        <v>27</v>
      </c>
      <c r="H6" s="33"/>
    </row>
    <row r="7" spans="1:23" ht="14.5" thickBot="1" x14ac:dyDescent="0.35"/>
    <row r="8" spans="1:23" ht="15" customHeight="1" thickBot="1" x14ac:dyDescent="0.35">
      <c r="A8" s="66" t="s">
        <v>16</v>
      </c>
      <c r="B8" s="69" t="s">
        <v>15</v>
      </c>
      <c r="C8" s="70"/>
      <c r="D8" s="71"/>
      <c r="E8" s="78" t="s">
        <v>28</v>
      </c>
      <c r="F8" s="79"/>
      <c r="G8" s="79"/>
      <c r="H8" s="79"/>
      <c r="I8" s="92" t="s">
        <v>29</v>
      </c>
      <c r="J8" s="79"/>
      <c r="K8" s="79"/>
      <c r="L8" s="93"/>
      <c r="M8" s="92" t="s">
        <v>45</v>
      </c>
      <c r="N8" s="79"/>
      <c r="O8" s="79"/>
      <c r="P8" s="93"/>
      <c r="Q8" s="98" t="s">
        <v>46</v>
      </c>
      <c r="R8" s="98" t="s">
        <v>47</v>
      </c>
      <c r="S8" s="89" t="s">
        <v>14</v>
      </c>
    </row>
    <row r="9" spans="1:23" ht="15.5" customHeight="1" x14ac:dyDescent="0.3">
      <c r="A9" s="67"/>
      <c r="B9" s="72"/>
      <c r="C9" s="73"/>
      <c r="D9" s="74"/>
      <c r="E9" s="80" t="s">
        <v>10</v>
      </c>
      <c r="F9" s="82" t="s">
        <v>11</v>
      </c>
      <c r="G9" s="82" t="s">
        <v>12</v>
      </c>
      <c r="H9" s="84" t="s">
        <v>13</v>
      </c>
      <c r="I9" s="94" t="s">
        <v>10</v>
      </c>
      <c r="J9" s="82" t="s">
        <v>11</v>
      </c>
      <c r="K9" s="82" t="s">
        <v>12</v>
      </c>
      <c r="L9" s="96" t="s">
        <v>13</v>
      </c>
      <c r="M9" s="94" t="s">
        <v>10</v>
      </c>
      <c r="N9" s="82" t="s">
        <v>11</v>
      </c>
      <c r="O9" s="82" t="s">
        <v>12</v>
      </c>
      <c r="P9" s="96" t="s">
        <v>13</v>
      </c>
      <c r="Q9" s="99"/>
      <c r="R9" s="99"/>
      <c r="S9" s="90"/>
    </row>
    <row r="10" spans="1:23" ht="15" customHeight="1" thickBot="1" x14ac:dyDescent="0.35">
      <c r="A10" s="68"/>
      <c r="B10" s="75"/>
      <c r="C10" s="76"/>
      <c r="D10" s="77"/>
      <c r="E10" s="81"/>
      <c r="F10" s="83"/>
      <c r="G10" s="83"/>
      <c r="H10" s="85"/>
      <c r="I10" s="95"/>
      <c r="J10" s="83"/>
      <c r="K10" s="83"/>
      <c r="L10" s="97"/>
      <c r="M10" s="95"/>
      <c r="N10" s="83"/>
      <c r="O10" s="83"/>
      <c r="P10" s="97"/>
      <c r="Q10" s="100"/>
      <c r="R10" s="100"/>
      <c r="S10" s="91"/>
    </row>
    <row r="11" spans="1:23" ht="28" customHeight="1" thickTop="1" x14ac:dyDescent="0.3">
      <c r="A11" s="47">
        <v>1</v>
      </c>
      <c r="B11" s="86">
        <v>2</v>
      </c>
      <c r="C11" s="87"/>
      <c r="D11" s="88"/>
      <c r="E11" s="48">
        <v>3</v>
      </c>
      <c r="F11" s="49">
        <v>4</v>
      </c>
      <c r="G11" s="49">
        <v>5</v>
      </c>
      <c r="H11" s="49" t="s">
        <v>48</v>
      </c>
      <c r="I11" s="49">
        <v>7</v>
      </c>
      <c r="J11" s="49">
        <v>8</v>
      </c>
      <c r="K11" s="49">
        <v>9</v>
      </c>
      <c r="L11" s="49" t="s">
        <v>49</v>
      </c>
      <c r="M11" s="49">
        <v>11</v>
      </c>
      <c r="N11" s="49">
        <v>12</v>
      </c>
      <c r="O11" s="49">
        <v>13</v>
      </c>
      <c r="P11" s="49" t="s">
        <v>50</v>
      </c>
      <c r="Q11" s="49" t="s">
        <v>51</v>
      </c>
      <c r="R11" s="49" t="s">
        <v>52</v>
      </c>
      <c r="S11" s="50"/>
    </row>
    <row r="12" spans="1:23" x14ac:dyDescent="0.3">
      <c r="A12" s="41"/>
      <c r="B12" s="42"/>
      <c r="C12" s="43"/>
      <c r="D12" s="44"/>
      <c r="E12" s="45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51"/>
    </row>
    <row r="13" spans="1:23" x14ac:dyDescent="0.3">
      <c r="A13" s="34" t="s">
        <v>4</v>
      </c>
      <c r="B13" s="35" t="s">
        <v>30</v>
      </c>
      <c r="C13" s="6"/>
      <c r="D13" s="7"/>
      <c r="E13" s="24"/>
      <c r="F13" s="24"/>
      <c r="G13" s="24"/>
      <c r="H13" s="52">
        <f>SUM(H14:H16)</f>
        <v>3500000</v>
      </c>
      <c r="I13" s="52"/>
      <c r="J13" s="52"/>
      <c r="K13" s="52"/>
      <c r="L13" s="52">
        <f>SUM(L14:L16)</f>
        <v>0</v>
      </c>
      <c r="M13" s="52"/>
      <c r="N13" s="52"/>
      <c r="O13" s="52"/>
      <c r="P13" s="52">
        <f>SUM(P14:P16)</f>
        <v>0</v>
      </c>
      <c r="Q13" s="52">
        <f t="shared" ref="Q13:R13" si="0">SUM(Q14:Q16)</f>
        <v>0</v>
      </c>
      <c r="R13" s="52">
        <f t="shared" si="0"/>
        <v>3500000</v>
      </c>
      <c r="S13" s="4"/>
      <c r="V13" s="1" t="s">
        <v>54</v>
      </c>
      <c r="W13" s="33">
        <f>H13</f>
        <v>3500000</v>
      </c>
    </row>
    <row r="14" spans="1:23" x14ac:dyDescent="0.3">
      <c r="A14" s="3"/>
      <c r="B14" s="5">
        <v>1</v>
      </c>
      <c r="C14" s="6" t="s">
        <v>31</v>
      </c>
      <c r="D14" s="7"/>
      <c r="E14" s="24">
        <v>2</v>
      </c>
      <c r="F14" s="24">
        <v>3</v>
      </c>
      <c r="G14" s="24">
        <v>500000</v>
      </c>
      <c r="H14" s="24">
        <f>E14*F14*G14</f>
        <v>3000000</v>
      </c>
      <c r="I14" s="24"/>
      <c r="J14" s="24"/>
      <c r="K14" s="24"/>
      <c r="L14" s="24">
        <f>I14*J14*K14</f>
        <v>0</v>
      </c>
      <c r="M14" s="24"/>
      <c r="N14" s="24"/>
      <c r="O14" s="24"/>
      <c r="P14" s="24">
        <f>M14*N14*O14</f>
        <v>0</v>
      </c>
      <c r="Q14" s="24">
        <f>L14+P14</f>
        <v>0</v>
      </c>
      <c r="R14" s="24">
        <f>H14-Q14</f>
        <v>3000000</v>
      </c>
      <c r="S14" s="4"/>
      <c r="V14" s="1" t="s">
        <v>55</v>
      </c>
      <c r="W14" s="33">
        <f>H18</f>
        <v>2685000</v>
      </c>
    </row>
    <row r="15" spans="1:23" x14ac:dyDescent="0.3">
      <c r="A15" s="3"/>
      <c r="B15" s="5">
        <f>B14+1</f>
        <v>2</v>
      </c>
      <c r="C15" s="6" t="s">
        <v>9</v>
      </c>
      <c r="D15" s="7"/>
      <c r="E15" s="24">
        <v>0</v>
      </c>
      <c r="F15" s="24">
        <v>0</v>
      </c>
      <c r="G15" s="24">
        <v>0</v>
      </c>
      <c r="H15" s="24">
        <f t="shared" ref="H15:H16" si="1">E15*F15*G15</f>
        <v>0</v>
      </c>
      <c r="I15" s="24"/>
      <c r="J15" s="24"/>
      <c r="K15" s="24"/>
      <c r="L15" s="24">
        <f t="shared" ref="L15:L16" si="2">I15*J15*K15</f>
        <v>0</v>
      </c>
      <c r="M15" s="24"/>
      <c r="N15" s="24"/>
      <c r="O15" s="24"/>
      <c r="P15" s="24">
        <f t="shared" ref="P15:P16" si="3">M15*N15*O15</f>
        <v>0</v>
      </c>
      <c r="Q15" s="24">
        <f t="shared" ref="Q15:Q16" si="4">L15+P15</f>
        <v>0</v>
      </c>
      <c r="R15" s="24">
        <f t="shared" ref="R15:R16" si="5">H15-Q15</f>
        <v>0</v>
      </c>
      <c r="S15" s="4"/>
      <c r="V15" s="1" t="s">
        <v>56</v>
      </c>
      <c r="W15" s="33">
        <f>H23</f>
        <v>15000000</v>
      </c>
    </row>
    <row r="16" spans="1:23" x14ac:dyDescent="0.3">
      <c r="A16" s="3"/>
      <c r="B16" s="5">
        <f t="shared" ref="B16" si="6">B15+1</f>
        <v>3</v>
      </c>
      <c r="C16" s="6" t="s">
        <v>32</v>
      </c>
      <c r="D16" s="7"/>
      <c r="E16" s="24">
        <v>1</v>
      </c>
      <c r="F16" s="24">
        <v>1</v>
      </c>
      <c r="G16" s="24">
        <v>500000</v>
      </c>
      <c r="H16" s="24">
        <f t="shared" si="1"/>
        <v>500000</v>
      </c>
      <c r="I16" s="24"/>
      <c r="J16" s="24"/>
      <c r="K16" s="24"/>
      <c r="L16" s="24">
        <f t="shared" si="2"/>
        <v>0</v>
      </c>
      <c r="M16" s="24"/>
      <c r="N16" s="24"/>
      <c r="O16" s="24"/>
      <c r="P16" s="24">
        <f t="shared" si="3"/>
        <v>0</v>
      </c>
      <c r="Q16" s="24">
        <f t="shared" si="4"/>
        <v>0</v>
      </c>
      <c r="R16" s="24">
        <f t="shared" si="5"/>
        <v>500000</v>
      </c>
      <c r="S16" s="4"/>
      <c r="V16" s="1" t="s">
        <v>57</v>
      </c>
      <c r="W16" s="33">
        <f>H34</f>
        <v>14980000</v>
      </c>
    </row>
    <row r="17" spans="1:23" x14ac:dyDescent="0.3">
      <c r="A17" s="3"/>
      <c r="B17" s="5"/>
      <c r="C17" s="6"/>
      <c r="D17" s="7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4"/>
      <c r="V17" s="1" t="s">
        <v>58</v>
      </c>
      <c r="W17" s="33">
        <f>H42</f>
        <v>1000000</v>
      </c>
    </row>
    <row r="18" spans="1:23" x14ac:dyDescent="0.3">
      <c r="A18" s="34" t="s">
        <v>5</v>
      </c>
      <c r="B18" s="35" t="s">
        <v>33</v>
      </c>
      <c r="C18" s="6"/>
      <c r="D18" s="7"/>
      <c r="E18" s="24"/>
      <c r="F18" s="24"/>
      <c r="G18" s="24"/>
      <c r="H18" s="52">
        <f>SUM(H19:H21)</f>
        <v>2685000</v>
      </c>
      <c r="I18" s="52"/>
      <c r="J18" s="52"/>
      <c r="K18" s="52"/>
      <c r="L18" s="52">
        <f>SUM(L19:L21)</f>
        <v>0</v>
      </c>
      <c r="M18" s="52"/>
      <c r="N18" s="52"/>
      <c r="O18" s="52"/>
      <c r="P18" s="52">
        <f>SUM(P19:P21)</f>
        <v>0</v>
      </c>
      <c r="Q18" s="52">
        <f t="shared" ref="Q18:R18" si="7">SUM(Q19:Q21)</f>
        <v>0</v>
      </c>
      <c r="R18" s="52">
        <f t="shared" si="7"/>
        <v>2685000</v>
      </c>
      <c r="S18" s="4" t="s">
        <v>21</v>
      </c>
    </row>
    <row r="19" spans="1:23" x14ac:dyDescent="0.3">
      <c r="A19" s="3"/>
      <c r="B19" s="5">
        <v>1</v>
      </c>
      <c r="C19" s="6" t="s">
        <v>34</v>
      </c>
      <c r="D19" s="7"/>
      <c r="E19" s="24">
        <v>3</v>
      </c>
      <c r="F19" s="24">
        <v>3</v>
      </c>
      <c r="G19" s="24">
        <v>65000</v>
      </c>
      <c r="H19" s="24">
        <f t="shared" ref="H19:H21" si="8">E19*F19*G19</f>
        <v>585000</v>
      </c>
      <c r="I19" s="24"/>
      <c r="J19" s="24"/>
      <c r="K19" s="24"/>
      <c r="L19" s="24">
        <f t="shared" ref="L19:L21" si="9">I19*J19*K19</f>
        <v>0</v>
      </c>
      <c r="M19" s="24"/>
      <c r="N19" s="24"/>
      <c r="O19" s="24"/>
      <c r="P19" s="24">
        <f t="shared" ref="P19:P21" si="10">M19*N19*O19</f>
        <v>0</v>
      </c>
      <c r="Q19" s="24">
        <f t="shared" ref="Q19:Q21" si="11">L19+P19</f>
        <v>0</v>
      </c>
      <c r="R19" s="24">
        <f t="shared" ref="R19:R21" si="12">H19-Q19</f>
        <v>585000</v>
      </c>
      <c r="S19" s="4"/>
    </row>
    <row r="20" spans="1:23" x14ac:dyDescent="0.3">
      <c r="A20" s="3"/>
      <c r="B20" s="5">
        <f>B19+1</f>
        <v>2</v>
      </c>
      <c r="C20" s="6" t="s">
        <v>23</v>
      </c>
      <c r="D20" s="7"/>
      <c r="E20" s="24">
        <v>2</v>
      </c>
      <c r="F20" s="24">
        <v>3</v>
      </c>
      <c r="G20" s="24">
        <v>300000</v>
      </c>
      <c r="H20" s="24">
        <f t="shared" si="8"/>
        <v>1800000</v>
      </c>
      <c r="I20" s="24"/>
      <c r="J20" s="24"/>
      <c r="K20" s="24"/>
      <c r="L20" s="24">
        <f t="shared" si="9"/>
        <v>0</v>
      </c>
      <c r="M20" s="24"/>
      <c r="N20" s="24"/>
      <c r="O20" s="24"/>
      <c r="P20" s="24">
        <f t="shared" si="10"/>
        <v>0</v>
      </c>
      <c r="Q20" s="24">
        <f t="shared" si="11"/>
        <v>0</v>
      </c>
      <c r="R20" s="24">
        <f t="shared" si="12"/>
        <v>1800000</v>
      </c>
      <c r="S20" s="4"/>
    </row>
    <row r="21" spans="1:23" x14ac:dyDescent="0.3">
      <c r="A21" s="3"/>
      <c r="B21" s="5">
        <f t="shared" ref="B21" si="13">B20+1</f>
        <v>3</v>
      </c>
      <c r="C21" s="6" t="s">
        <v>20</v>
      </c>
      <c r="D21" s="7"/>
      <c r="E21" s="24">
        <v>1</v>
      </c>
      <c r="F21" s="24">
        <v>1</v>
      </c>
      <c r="G21" s="24">
        <v>300000</v>
      </c>
      <c r="H21" s="24">
        <f t="shared" si="8"/>
        <v>300000</v>
      </c>
      <c r="I21" s="24"/>
      <c r="J21" s="24"/>
      <c r="K21" s="24"/>
      <c r="L21" s="24">
        <f t="shared" si="9"/>
        <v>0</v>
      </c>
      <c r="M21" s="24"/>
      <c r="N21" s="24"/>
      <c r="O21" s="24"/>
      <c r="P21" s="24">
        <f t="shared" si="10"/>
        <v>0</v>
      </c>
      <c r="Q21" s="24">
        <f t="shared" si="11"/>
        <v>0</v>
      </c>
      <c r="R21" s="24">
        <f t="shared" si="12"/>
        <v>300000</v>
      </c>
      <c r="S21" s="4"/>
    </row>
    <row r="22" spans="1:23" x14ac:dyDescent="0.3">
      <c r="A22" s="3"/>
      <c r="B22" s="5"/>
      <c r="C22" s="6"/>
      <c r="D22" s="7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4"/>
    </row>
    <row r="23" spans="1:23" x14ac:dyDescent="0.3">
      <c r="A23" s="34" t="s">
        <v>6</v>
      </c>
      <c r="B23" s="35" t="s">
        <v>35</v>
      </c>
      <c r="C23" s="6"/>
      <c r="D23" s="7"/>
      <c r="E23" s="24"/>
      <c r="F23" s="24"/>
      <c r="G23" s="24"/>
      <c r="H23" s="52">
        <f>SUM(H24:H26)</f>
        <v>15000000</v>
      </c>
      <c r="I23" s="52"/>
      <c r="J23" s="52"/>
      <c r="K23" s="52"/>
      <c r="L23" s="52">
        <f>SUM(L24:L26)</f>
        <v>10000000</v>
      </c>
      <c r="M23" s="52"/>
      <c r="N23" s="52"/>
      <c r="O23" s="52"/>
      <c r="P23" s="52">
        <f>SUM(P24:P26)</f>
        <v>0</v>
      </c>
      <c r="Q23" s="52">
        <f t="shared" ref="Q23:R23" si="14">SUM(Q24:Q26)</f>
        <v>10000000</v>
      </c>
      <c r="R23" s="52">
        <f t="shared" si="14"/>
        <v>5000000</v>
      </c>
      <c r="S23" s="4"/>
    </row>
    <row r="24" spans="1:23" x14ac:dyDescent="0.3">
      <c r="A24" s="3"/>
      <c r="B24" s="5">
        <v>1</v>
      </c>
      <c r="C24" s="6" t="s">
        <v>34</v>
      </c>
      <c r="D24" s="7"/>
      <c r="E24" s="24">
        <v>0</v>
      </c>
      <c r="F24" s="24">
        <v>0</v>
      </c>
      <c r="G24" s="24">
        <v>0</v>
      </c>
      <c r="H24" s="24">
        <f t="shared" ref="H24:H25" si="15">E24*F24*G24</f>
        <v>0</v>
      </c>
      <c r="I24" s="24"/>
      <c r="J24" s="24"/>
      <c r="K24" s="24"/>
      <c r="L24" s="24">
        <f t="shared" ref="L24:L27" si="16">I24*J24*K24</f>
        <v>0</v>
      </c>
      <c r="M24" s="24"/>
      <c r="N24" s="24"/>
      <c r="O24" s="24"/>
      <c r="P24" s="24">
        <f t="shared" ref="P24:P26" si="17">M24*N24*O24</f>
        <v>0</v>
      </c>
      <c r="Q24" s="24">
        <f t="shared" ref="Q24:Q26" si="18">L24+P24</f>
        <v>0</v>
      </c>
      <c r="R24" s="24">
        <f t="shared" ref="R24:R26" si="19">H24-Q24</f>
        <v>0</v>
      </c>
      <c r="S24" s="4"/>
    </row>
    <row r="25" spans="1:23" x14ac:dyDescent="0.3">
      <c r="A25" s="3"/>
      <c r="B25" s="5">
        <v>2</v>
      </c>
      <c r="C25" s="6" t="s">
        <v>23</v>
      </c>
      <c r="D25" s="7"/>
      <c r="E25" s="24">
        <v>2</v>
      </c>
      <c r="F25" s="24">
        <v>2</v>
      </c>
      <c r="G25" s="24">
        <v>2500000</v>
      </c>
      <c r="H25" s="24">
        <f t="shared" si="15"/>
        <v>10000000</v>
      </c>
      <c r="I25" s="24">
        <v>2</v>
      </c>
      <c r="J25" s="24">
        <v>2</v>
      </c>
      <c r="K25" s="24">
        <v>2500000</v>
      </c>
      <c r="L25" s="24">
        <f t="shared" si="16"/>
        <v>10000000</v>
      </c>
      <c r="M25" s="24"/>
      <c r="N25" s="24"/>
      <c r="O25" s="24"/>
      <c r="P25" s="24">
        <f t="shared" si="17"/>
        <v>0</v>
      </c>
      <c r="Q25" s="24">
        <f t="shared" si="18"/>
        <v>10000000</v>
      </c>
      <c r="R25" s="24">
        <f t="shared" si="19"/>
        <v>0</v>
      </c>
      <c r="S25" s="4"/>
    </row>
    <row r="26" spans="1:23" x14ac:dyDescent="0.3">
      <c r="A26" s="3"/>
      <c r="B26" s="5">
        <v>3</v>
      </c>
      <c r="C26" s="6" t="s">
        <v>20</v>
      </c>
      <c r="D26" s="7"/>
      <c r="E26" s="24">
        <v>1</v>
      </c>
      <c r="F26" s="24">
        <v>1</v>
      </c>
      <c r="G26" s="24">
        <v>5000000</v>
      </c>
      <c r="H26" s="24">
        <f t="shared" ref="H26" si="20">E26*F26*G26</f>
        <v>5000000</v>
      </c>
      <c r="I26" s="24"/>
      <c r="J26" s="24"/>
      <c r="K26" s="24"/>
      <c r="L26" s="24">
        <f t="shared" si="16"/>
        <v>0</v>
      </c>
      <c r="M26" s="24"/>
      <c r="N26" s="24"/>
      <c r="O26" s="24"/>
      <c r="P26" s="24">
        <f t="shared" si="17"/>
        <v>0</v>
      </c>
      <c r="Q26" s="24">
        <f t="shared" si="18"/>
        <v>0</v>
      </c>
      <c r="R26" s="24">
        <f t="shared" si="19"/>
        <v>5000000</v>
      </c>
      <c r="S26" s="4"/>
    </row>
    <row r="27" spans="1:23" s="64" customFormat="1" x14ac:dyDescent="0.3">
      <c r="A27" s="58"/>
      <c r="B27" s="59">
        <v>4</v>
      </c>
      <c r="C27" s="60" t="s">
        <v>53</v>
      </c>
      <c r="D27" s="61"/>
      <c r="E27" s="62">
        <v>0</v>
      </c>
      <c r="F27" s="62">
        <v>0</v>
      </c>
      <c r="G27" s="62">
        <v>0</v>
      </c>
      <c r="H27" s="62">
        <v>0</v>
      </c>
      <c r="I27" s="62">
        <v>1</v>
      </c>
      <c r="J27" s="62">
        <v>1</v>
      </c>
      <c r="K27" s="62">
        <v>2000000</v>
      </c>
      <c r="L27" s="62">
        <f t="shared" si="16"/>
        <v>2000000</v>
      </c>
      <c r="M27" s="62"/>
      <c r="N27" s="62"/>
      <c r="O27" s="62"/>
      <c r="P27" s="62"/>
      <c r="Q27" s="62"/>
      <c r="R27" s="62"/>
      <c r="S27" s="63"/>
    </row>
    <row r="28" spans="1:23" x14ac:dyDescent="0.3">
      <c r="A28" s="3"/>
      <c r="B28" s="5"/>
      <c r="C28" s="6"/>
      <c r="D28" s="7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4"/>
    </row>
    <row r="29" spans="1:23" x14ac:dyDescent="0.3">
      <c r="A29" s="34" t="s">
        <v>7</v>
      </c>
      <c r="B29" s="35" t="s">
        <v>36</v>
      </c>
      <c r="C29" s="6"/>
      <c r="D29" s="7"/>
      <c r="E29" s="24"/>
      <c r="F29" s="24"/>
      <c r="G29" s="24"/>
      <c r="H29" s="52">
        <f>SUM(H30:H32)</f>
        <v>0</v>
      </c>
      <c r="I29" s="52"/>
      <c r="J29" s="52"/>
      <c r="K29" s="52"/>
      <c r="L29" s="52">
        <f>SUM(L30:L32)</f>
        <v>0</v>
      </c>
      <c r="M29" s="52"/>
      <c r="N29" s="52"/>
      <c r="O29" s="52"/>
      <c r="P29" s="52">
        <f>SUM(P30:P32)</f>
        <v>0</v>
      </c>
      <c r="Q29" s="52">
        <f t="shared" ref="Q29:R29" si="21">SUM(Q30:Q32)</f>
        <v>0</v>
      </c>
      <c r="R29" s="52">
        <f t="shared" si="21"/>
        <v>0</v>
      </c>
      <c r="S29" s="4"/>
    </row>
    <row r="30" spans="1:23" x14ac:dyDescent="0.3">
      <c r="A30" s="22"/>
      <c r="B30" s="5">
        <v>1</v>
      </c>
      <c r="C30" s="6" t="s">
        <v>34</v>
      </c>
      <c r="D30" s="7"/>
      <c r="E30" s="24">
        <v>0</v>
      </c>
      <c r="F30" s="24">
        <v>0</v>
      </c>
      <c r="G30" s="24">
        <v>0</v>
      </c>
      <c r="H30" s="24">
        <f t="shared" ref="H30:H32" si="22">E30*F30*G30</f>
        <v>0</v>
      </c>
      <c r="I30" s="24"/>
      <c r="J30" s="24"/>
      <c r="K30" s="24"/>
      <c r="L30" s="24">
        <f t="shared" ref="L30:L32" si="23">I30*J30*K30</f>
        <v>0</v>
      </c>
      <c r="M30" s="24"/>
      <c r="N30" s="24"/>
      <c r="O30" s="24"/>
      <c r="P30" s="24">
        <f t="shared" ref="P30:P32" si="24">M30*N30*O30</f>
        <v>0</v>
      </c>
      <c r="Q30" s="24">
        <f t="shared" ref="Q30:Q32" si="25">L30+P30</f>
        <v>0</v>
      </c>
      <c r="R30" s="24">
        <f t="shared" ref="R30:R32" si="26">H30-Q30</f>
        <v>0</v>
      </c>
      <c r="S30" s="4"/>
    </row>
    <row r="31" spans="1:23" x14ac:dyDescent="0.3">
      <c r="A31" s="22"/>
      <c r="B31" s="5">
        <v>2</v>
      </c>
      <c r="C31" s="6" t="s">
        <v>23</v>
      </c>
      <c r="D31" s="7"/>
      <c r="E31" s="24">
        <v>0</v>
      </c>
      <c r="F31" s="24">
        <v>0</v>
      </c>
      <c r="G31" s="24">
        <v>0</v>
      </c>
      <c r="H31" s="24">
        <f t="shared" si="22"/>
        <v>0</v>
      </c>
      <c r="I31" s="24"/>
      <c r="J31" s="24"/>
      <c r="K31" s="24"/>
      <c r="L31" s="24">
        <f t="shared" si="23"/>
        <v>0</v>
      </c>
      <c r="M31" s="24"/>
      <c r="N31" s="24"/>
      <c r="O31" s="24"/>
      <c r="P31" s="24">
        <f t="shared" si="24"/>
        <v>0</v>
      </c>
      <c r="Q31" s="24">
        <f t="shared" si="25"/>
        <v>0</v>
      </c>
      <c r="R31" s="24">
        <f t="shared" si="26"/>
        <v>0</v>
      </c>
      <c r="S31" s="4"/>
    </row>
    <row r="32" spans="1:23" x14ac:dyDescent="0.3">
      <c r="A32" s="22"/>
      <c r="B32" s="5">
        <v>3</v>
      </c>
      <c r="C32" s="6" t="s">
        <v>20</v>
      </c>
      <c r="D32" s="7"/>
      <c r="E32" s="24">
        <v>0</v>
      </c>
      <c r="F32" s="24">
        <v>0</v>
      </c>
      <c r="G32" s="24">
        <v>0</v>
      </c>
      <c r="H32" s="24">
        <f t="shared" si="22"/>
        <v>0</v>
      </c>
      <c r="I32" s="24"/>
      <c r="J32" s="24"/>
      <c r="K32" s="24"/>
      <c r="L32" s="24">
        <f t="shared" si="23"/>
        <v>0</v>
      </c>
      <c r="M32" s="24"/>
      <c r="N32" s="24"/>
      <c r="O32" s="24"/>
      <c r="P32" s="24">
        <f t="shared" si="24"/>
        <v>0</v>
      </c>
      <c r="Q32" s="24">
        <f t="shared" si="25"/>
        <v>0</v>
      </c>
      <c r="R32" s="24">
        <f t="shared" si="26"/>
        <v>0</v>
      </c>
      <c r="S32" s="4"/>
    </row>
    <row r="33" spans="1:19" x14ac:dyDescent="0.3">
      <c r="A33" s="22"/>
      <c r="B33" s="5"/>
      <c r="C33" s="6"/>
      <c r="D33" s="7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4"/>
    </row>
    <row r="34" spans="1:19" x14ac:dyDescent="0.3">
      <c r="A34" s="34" t="s">
        <v>8</v>
      </c>
      <c r="B34" s="35" t="s">
        <v>37</v>
      </c>
      <c r="C34" s="6"/>
      <c r="D34" s="7"/>
      <c r="E34" s="24"/>
      <c r="F34" s="24"/>
      <c r="G34" s="24"/>
      <c r="H34" s="52">
        <f>SUM(H35:H40)</f>
        <v>14980000</v>
      </c>
      <c r="I34" s="52"/>
      <c r="J34" s="52"/>
      <c r="K34" s="52"/>
      <c r="L34" s="52">
        <f>SUM(L35:L40)</f>
        <v>0</v>
      </c>
      <c r="M34" s="52"/>
      <c r="N34" s="52"/>
      <c r="O34" s="52"/>
      <c r="P34" s="52">
        <f>SUM(P35:P40)</f>
        <v>0</v>
      </c>
      <c r="Q34" s="52">
        <f t="shared" ref="Q34:R34" si="27">SUM(Q35:Q40)</f>
        <v>0</v>
      </c>
      <c r="R34" s="52">
        <f t="shared" si="27"/>
        <v>14980000</v>
      </c>
      <c r="S34" s="4"/>
    </row>
    <row r="35" spans="1:19" x14ac:dyDescent="0.3">
      <c r="A35" s="22"/>
      <c r="B35" s="5">
        <v>1</v>
      </c>
      <c r="C35" s="6" t="s">
        <v>38</v>
      </c>
      <c r="D35" s="7"/>
      <c r="E35" s="24">
        <v>2</v>
      </c>
      <c r="F35" s="24">
        <v>3</v>
      </c>
      <c r="G35" s="24">
        <v>380000</v>
      </c>
      <c r="H35" s="24">
        <f t="shared" ref="H35" si="28">E35*F35*G35</f>
        <v>2280000</v>
      </c>
      <c r="I35" s="24"/>
      <c r="J35" s="24"/>
      <c r="K35" s="24"/>
      <c r="L35" s="24">
        <f t="shared" ref="L35" si="29">I35*J35*K35</f>
        <v>0</v>
      </c>
      <c r="M35" s="24"/>
      <c r="N35" s="24"/>
      <c r="O35" s="24"/>
      <c r="P35" s="24">
        <f t="shared" ref="P35:P40" si="30">M35*N35*O35</f>
        <v>0</v>
      </c>
      <c r="Q35" s="24">
        <f t="shared" ref="Q35:Q40" si="31">L35+P35</f>
        <v>0</v>
      </c>
      <c r="R35" s="24">
        <f t="shared" ref="R35:R40" si="32">H35-Q35</f>
        <v>2280000</v>
      </c>
      <c r="S35" s="4"/>
    </row>
    <row r="36" spans="1:19" x14ac:dyDescent="0.3">
      <c r="A36" s="3"/>
      <c r="B36" s="5">
        <v>1</v>
      </c>
      <c r="C36" s="6" t="s">
        <v>39</v>
      </c>
      <c r="D36" s="7"/>
      <c r="E36" s="24">
        <v>2</v>
      </c>
      <c r="F36" s="24">
        <v>1</v>
      </c>
      <c r="G36" s="24">
        <v>400000</v>
      </c>
      <c r="H36" s="24">
        <f t="shared" ref="H36:H38" si="33">E36*F36*G36</f>
        <v>800000</v>
      </c>
      <c r="I36" s="24"/>
      <c r="J36" s="24"/>
      <c r="K36" s="24"/>
      <c r="L36" s="24">
        <f t="shared" ref="L36:L40" si="34">I36*J36*K36</f>
        <v>0</v>
      </c>
      <c r="M36" s="24"/>
      <c r="N36" s="24"/>
      <c r="O36" s="24"/>
      <c r="P36" s="24">
        <f t="shared" si="30"/>
        <v>0</v>
      </c>
      <c r="Q36" s="24">
        <f t="shared" si="31"/>
        <v>0</v>
      </c>
      <c r="R36" s="24">
        <f t="shared" si="32"/>
        <v>800000</v>
      </c>
      <c r="S36" s="4"/>
    </row>
    <row r="37" spans="1:19" x14ac:dyDescent="0.3">
      <c r="A37" s="3"/>
      <c r="B37" s="5">
        <v>2</v>
      </c>
      <c r="C37" s="6" t="s">
        <v>40</v>
      </c>
      <c r="D37" s="7"/>
      <c r="E37" s="24">
        <v>2</v>
      </c>
      <c r="F37" s="24">
        <v>1</v>
      </c>
      <c r="G37" s="24">
        <v>3250000</v>
      </c>
      <c r="H37" s="24">
        <f t="shared" si="33"/>
        <v>6500000</v>
      </c>
      <c r="I37" s="24"/>
      <c r="J37" s="24"/>
      <c r="K37" s="24"/>
      <c r="L37" s="24">
        <f t="shared" si="34"/>
        <v>0</v>
      </c>
      <c r="M37" s="24"/>
      <c r="N37" s="24"/>
      <c r="O37" s="24"/>
      <c r="P37" s="24">
        <f t="shared" si="30"/>
        <v>0</v>
      </c>
      <c r="Q37" s="24">
        <f t="shared" si="31"/>
        <v>0</v>
      </c>
      <c r="R37" s="24">
        <f t="shared" si="32"/>
        <v>6500000</v>
      </c>
      <c r="S37" s="4"/>
    </row>
    <row r="38" spans="1:19" x14ac:dyDescent="0.3">
      <c r="A38" s="3"/>
      <c r="B38" s="5">
        <v>3</v>
      </c>
      <c r="C38" s="6" t="s">
        <v>18</v>
      </c>
      <c r="D38" s="7"/>
      <c r="E38" s="24">
        <v>2</v>
      </c>
      <c r="F38" s="24">
        <v>1</v>
      </c>
      <c r="G38" s="24">
        <v>500000</v>
      </c>
      <c r="H38" s="24">
        <f t="shared" si="33"/>
        <v>1000000</v>
      </c>
      <c r="I38" s="24"/>
      <c r="J38" s="24"/>
      <c r="K38" s="24"/>
      <c r="L38" s="24">
        <f t="shared" si="34"/>
        <v>0</v>
      </c>
      <c r="M38" s="24"/>
      <c r="N38" s="24"/>
      <c r="O38" s="24"/>
      <c r="P38" s="24">
        <f t="shared" si="30"/>
        <v>0</v>
      </c>
      <c r="Q38" s="24">
        <f t="shared" si="31"/>
        <v>0</v>
      </c>
      <c r="R38" s="24">
        <f t="shared" si="32"/>
        <v>1000000</v>
      </c>
      <c r="S38" s="4"/>
    </row>
    <row r="39" spans="1:19" x14ac:dyDescent="0.3">
      <c r="A39" s="3"/>
      <c r="B39" s="5">
        <v>4</v>
      </c>
      <c r="C39" s="6" t="s">
        <v>22</v>
      </c>
      <c r="D39" s="7"/>
      <c r="E39" s="24">
        <v>4</v>
      </c>
      <c r="F39" s="24">
        <v>1</v>
      </c>
      <c r="G39" s="24">
        <v>400000</v>
      </c>
      <c r="H39" s="24">
        <f t="shared" ref="H39" si="35">E39*F39*G39</f>
        <v>1600000</v>
      </c>
      <c r="I39" s="24"/>
      <c r="J39" s="24"/>
      <c r="K39" s="24"/>
      <c r="L39" s="24">
        <f t="shared" si="34"/>
        <v>0</v>
      </c>
      <c r="M39" s="24"/>
      <c r="N39" s="24"/>
      <c r="O39" s="24"/>
      <c r="P39" s="24">
        <f t="shared" si="30"/>
        <v>0</v>
      </c>
      <c r="Q39" s="24">
        <f t="shared" si="31"/>
        <v>0</v>
      </c>
      <c r="R39" s="24">
        <f t="shared" si="32"/>
        <v>1600000</v>
      </c>
      <c r="S39" s="4"/>
    </row>
    <row r="40" spans="1:19" x14ac:dyDescent="0.3">
      <c r="A40" s="3"/>
      <c r="B40" s="5">
        <v>5</v>
      </c>
      <c r="C40" s="6" t="s">
        <v>41</v>
      </c>
      <c r="D40" s="7"/>
      <c r="E40" s="24">
        <v>2</v>
      </c>
      <c r="F40" s="24">
        <v>1</v>
      </c>
      <c r="G40" s="24">
        <v>1400000</v>
      </c>
      <c r="H40" s="24">
        <f t="shared" ref="H40" si="36">E40*F40*G40</f>
        <v>2800000</v>
      </c>
      <c r="I40" s="24"/>
      <c r="J40" s="24"/>
      <c r="K40" s="24"/>
      <c r="L40" s="24">
        <f t="shared" si="34"/>
        <v>0</v>
      </c>
      <c r="M40" s="24"/>
      <c r="N40" s="24"/>
      <c r="O40" s="24"/>
      <c r="P40" s="24">
        <f t="shared" si="30"/>
        <v>0</v>
      </c>
      <c r="Q40" s="24">
        <f t="shared" si="31"/>
        <v>0</v>
      </c>
      <c r="R40" s="24">
        <f t="shared" si="32"/>
        <v>2800000</v>
      </c>
      <c r="S40" s="4"/>
    </row>
    <row r="41" spans="1:19" x14ac:dyDescent="0.3">
      <c r="A41" s="36"/>
      <c r="B41" s="37"/>
      <c r="C41" s="38"/>
      <c r="D41" s="39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53"/>
    </row>
    <row r="42" spans="1:19" x14ac:dyDescent="0.3">
      <c r="A42" s="34" t="s">
        <v>42</v>
      </c>
      <c r="B42" s="35" t="s">
        <v>43</v>
      </c>
      <c r="C42" s="6"/>
      <c r="D42" s="39"/>
      <c r="E42" s="40"/>
      <c r="F42" s="40"/>
      <c r="G42" s="40"/>
      <c r="H42" s="54">
        <f>H43</f>
        <v>1000000</v>
      </c>
      <c r="I42" s="40"/>
      <c r="J42" s="40"/>
      <c r="K42" s="40"/>
      <c r="L42" s="54">
        <f>L43</f>
        <v>0</v>
      </c>
      <c r="M42" s="54"/>
      <c r="N42" s="54"/>
      <c r="O42" s="54"/>
      <c r="P42" s="54">
        <f>P43</f>
        <v>0</v>
      </c>
      <c r="Q42" s="54">
        <f t="shared" ref="Q42:R42" si="37">Q43</f>
        <v>0</v>
      </c>
      <c r="R42" s="54">
        <f t="shared" si="37"/>
        <v>1000000</v>
      </c>
      <c r="S42" s="53"/>
    </row>
    <row r="43" spans="1:19" x14ac:dyDescent="0.3">
      <c r="A43" s="36"/>
      <c r="B43" s="37">
        <v>1</v>
      </c>
      <c r="C43" s="38" t="s">
        <v>44</v>
      </c>
      <c r="D43" s="39"/>
      <c r="E43" s="40">
        <v>1</v>
      </c>
      <c r="F43" s="40">
        <v>1</v>
      </c>
      <c r="G43" s="40">
        <v>1000000</v>
      </c>
      <c r="H43" s="24">
        <f t="shared" ref="H43" si="38">E43*F43*G43</f>
        <v>1000000</v>
      </c>
      <c r="I43" s="40"/>
      <c r="J43" s="40"/>
      <c r="K43" s="40"/>
      <c r="L43" s="40"/>
      <c r="M43" s="40"/>
      <c r="N43" s="40"/>
      <c r="O43" s="40"/>
      <c r="P43" s="40"/>
      <c r="Q43" s="24">
        <f t="shared" ref="Q43" si="39">L43+P43</f>
        <v>0</v>
      </c>
      <c r="R43" s="24">
        <f t="shared" ref="R43" si="40">H43-Q43</f>
        <v>1000000</v>
      </c>
      <c r="S43" s="53"/>
    </row>
    <row r="44" spans="1:19" x14ac:dyDescent="0.3">
      <c r="A44" s="36"/>
      <c r="B44" s="37"/>
      <c r="C44" s="38"/>
      <c r="D44" s="39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53"/>
    </row>
    <row r="45" spans="1:19" x14ac:dyDescent="0.3">
      <c r="A45" s="36"/>
      <c r="B45" s="37"/>
      <c r="C45" s="38"/>
      <c r="D45" s="39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53"/>
    </row>
    <row r="46" spans="1:19" ht="14.5" thickBot="1" x14ac:dyDescent="0.35">
      <c r="A46" s="8"/>
      <c r="B46" s="9"/>
      <c r="C46" s="10"/>
      <c r="D46" s="11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12"/>
    </row>
    <row r="47" spans="1:19" ht="14.5" thickTop="1" x14ac:dyDescent="0.3">
      <c r="A47" s="19"/>
      <c r="B47" s="13"/>
      <c r="C47" s="13"/>
      <c r="D47" s="13"/>
      <c r="E47" s="26"/>
      <c r="F47" s="26"/>
      <c r="G47" s="27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14"/>
    </row>
    <row r="48" spans="1:19" x14ac:dyDescent="0.3">
      <c r="A48" s="20"/>
      <c r="B48" s="15"/>
      <c r="C48" s="15"/>
      <c r="D48" s="15"/>
      <c r="E48" s="28"/>
      <c r="F48" s="29" t="s">
        <v>17</v>
      </c>
      <c r="G48" s="30"/>
      <c r="H48" s="56">
        <f>SUM(H11:H46)/2</f>
        <v>37165000</v>
      </c>
      <c r="I48" s="56"/>
      <c r="J48" s="56"/>
      <c r="K48" s="56"/>
      <c r="L48" s="56">
        <f>SUM(L11:L46)/2</f>
        <v>11000000</v>
      </c>
      <c r="M48" s="56"/>
      <c r="N48" s="56"/>
      <c r="O48" s="56"/>
      <c r="P48" s="56">
        <f>SUM(P11:P46)/2</f>
        <v>0</v>
      </c>
      <c r="Q48" s="56">
        <f>SUM(Q11:Q46)/2</f>
        <v>10000000</v>
      </c>
      <c r="R48" s="56">
        <f>SUM(R11:R46)/2</f>
        <v>27165000</v>
      </c>
      <c r="S48" s="16"/>
    </row>
    <row r="49" spans="1:19" ht="14.5" thickBot="1" x14ac:dyDescent="0.35">
      <c r="A49" s="21"/>
      <c r="B49" s="17"/>
      <c r="C49" s="17"/>
      <c r="D49" s="17"/>
      <c r="E49" s="31"/>
      <c r="F49" s="31"/>
      <c r="G49" s="32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18"/>
    </row>
  </sheetData>
  <mergeCells count="25">
    <mergeCell ref="B11:D11"/>
    <mergeCell ref="S8:S10"/>
    <mergeCell ref="M8:P8"/>
    <mergeCell ref="M9:M10"/>
    <mergeCell ref="N9:N10"/>
    <mergeCell ref="O9:O10"/>
    <mergeCell ref="P9:P10"/>
    <mergeCell ref="Q8:Q10"/>
    <mergeCell ref="R8:R10"/>
    <mergeCell ref="I8:L8"/>
    <mergeCell ref="I9:I10"/>
    <mergeCell ref="J9:J10"/>
    <mergeCell ref="K9:K10"/>
    <mergeCell ref="L9:L10"/>
    <mergeCell ref="E8:H8"/>
    <mergeCell ref="E9:E10"/>
    <mergeCell ref="F9:F10"/>
    <mergeCell ref="G9:G10"/>
    <mergeCell ref="H9:H10"/>
    <mergeCell ref="B3:C3"/>
    <mergeCell ref="B4:C4"/>
    <mergeCell ref="B5:C5"/>
    <mergeCell ref="B6:C6"/>
    <mergeCell ref="A8:A10"/>
    <mergeCell ref="B8:D10"/>
  </mergeCells>
  <pageMargins left="0.25" right="0.25" top="0.75" bottom="0.75" header="0.3" footer="0.3"/>
  <pageSetup paperSize="9" scale="7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25P005</vt:lpstr>
      <vt:lpstr>'25P005'!Print_Titles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Faishol Azis</dc:creator>
  <cp:lastModifiedBy>Yuanita Dhia Amirah</cp:lastModifiedBy>
  <cp:lastPrinted>2025-05-20T10:38:05Z</cp:lastPrinted>
  <dcterms:created xsi:type="dcterms:W3CDTF">2024-11-04T01:37:12Z</dcterms:created>
  <dcterms:modified xsi:type="dcterms:W3CDTF">2025-08-06T02:35:32Z</dcterms:modified>
</cp:coreProperties>
</file>