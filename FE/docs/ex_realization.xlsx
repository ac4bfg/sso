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https://d.docs.live.net/8079fe702df5404b/Documents/"/>
    </mc:Choice>
  </mc:AlternateContent>
  <xr:revisionPtr revIDLastSave="1105" documentId="13_ncr:1_{7CC9F93B-C2F8-40B3-86D1-52F3C207752B}" xr6:coauthVersionLast="47" xr6:coauthVersionMax="47" xr10:uidLastSave="{043AA075-2A7C-4DFC-8589-1527523BA110}"/>
  <bookViews>
    <workbookView xWindow="-108" yWindow="-108" windowWidth="23256" windowHeight="12456" firstSheet="15" activeTab="21" xr2:uid="{C0E64628-C711-4DD9-88C8-FC0B76FDDAFD}"/>
  </bookViews>
  <sheets>
    <sheet name="KSM24P006" sheetId="17" r:id="rId1"/>
    <sheet name="KSM24P045" sheetId="18" r:id="rId2"/>
    <sheet name="KSM24P047" sheetId="1" r:id="rId3"/>
    <sheet name="KSM24P085" sheetId="2" r:id="rId4"/>
    <sheet name="KSM24P100" sheetId="3" r:id="rId5"/>
    <sheet name="KSM24P145" sheetId="4" r:id="rId6"/>
    <sheet name="KSM24P166" sheetId="5" r:id="rId7"/>
    <sheet name="KSM24P167" sheetId="6" r:id="rId8"/>
    <sheet name="KSM24P168" sheetId="15" r:id="rId9"/>
    <sheet name="KSM25P002" sheetId="7" r:id="rId10"/>
    <sheet name="KSM25P003" sheetId="8" r:id="rId11"/>
    <sheet name="KSM25P004" sheetId="9" r:id="rId12"/>
    <sheet name="KSM25P020" sheetId="10" r:id="rId13"/>
    <sheet name="KSM25P021" sheetId="11" r:id="rId14"/>
    <sheet name="KSM25P060" sheetId="13" r:id="rId15"/>
    <sheet name="KSM25P076" sheetId="14" r:id="rId16"/>
    <sheet name="KSM25P093" sheetId="16" r:id="rId17"/>
    <sheet name="KSM25P121" sheetId="19" r:id="rId18"/>
    <sheet name="KSM25P124" sheetId="20" r:id="rId19"/>
    <sheet name="KSM25P128" sheetId="21" r:id="rId20"/>
    <sheet name="KSM25P131" sheetId="22" r:id="rId21"/>
    <sheet name="KSM25P152" sheetId="23" r:id="rId22"/>
  </sheets>
  <definedNames>
    <definedName name="_xlnm._FilterDatabase" localSheetId="0" hidden="1">KSM24P006!$A$2:$F$1064</definedName>
    <definedName name="_xlnm._FilterDatabase" localSheetId="1" hidden="1">KSM24P045!$A$2:$F$2</definedName>
    <definedName name="_xlnm._FilterDatabase" localSheetId="2" hidden="1">KSM24P047!$A$2:$F$468</definedName>
    <definedName name="_xlnm._FilterDatabase" localSheetId="3" hidden="1">KSM24P085!$A$2:$F$258</definedName>
    <definedName name="_xlnm._FilterDatabase" localSheetId="4" hidden="1">KSM24P100!$A$2:$F$531</definedName>
    <definedName name="_xlnm._FilterDatabase" localSheetId="5" hidden="1">KSM24P145!$A$2:$F$405</definedName>
    <definedName name="_xlnm._FilterDatabase" localSheetId="6" hidden="1">KSM24P166!$A$2:$F$130</definedName>
    <definedName name="_xlnm._FilterDatabase" localSheetId="7" hidden="1">KSM24P167!$A$2:$F$29</definedName>
    <definedName name="_xlnm._FilterDatabase" localSheetId="8" hidden="1">KSM24P168!$A$2:$F$2</definedName>
    <definedName name="_xlnm._FilterDatabase" localSheetId="9" hidden="1">KSM25P002!$A$2:$F$96</definedName>
    <definedName name="_xlnm._FilterDatabase" localSheetId="10" hidden="1">KSM25P003!$A$2:$F$2</definedName>
    <definedName name="_xlnm._FilterDatabase" localSheetId="11" hidden="1">KSM25P004!$A$2:$F$32</definedName>
    <definedName name="_xlnm._FilterDatabase" localSheetId="12" hidden="1">KSM25P020!$A$2:$F$63</definedName>
    <definedName name="_xlnm._FilterDatabase" localSheetId="13" hidden="1">KSM25P021!$A$2:$F$57</definedName>
    <definedName name="_xlnm._FilterDatabase" localSheetId="14" hidden="1">KSM25P060!$A$2:$F$2</definedName>
    <definedName name="_xlnm._FilterDatabase" localSheetId="15" hidden="1">KSM25P076!$A$2:$F$2</definedName>
    <definedName name="_xlnm._FilterDatabase" localSheetId="16" hidden="1">KSM25P093!$A$2:$F$2</definedName>
    <definedName name="_xlnm._FilterDatabase" localSheetId="17" hidden="1">KSM25P121!$A$2:$F$2</definedName>
    <definedName name="_xlnm._FilterDatabase" localSheetId="18" hidden="1">KSM25P124!$A$2:$F$2</definedName>
    <definedName name="_xlnm._FilterDatabase" localSheetId="19" hidden="1">KSM25P128!$A$2:$F$2</definedName>
    <definedName name="_xlnm._FilterDatabase" localSheetId="20" hidden="1">KSM25P131!$A$2:$F$2</definedName>
    <definedName name="_xlnm._FilterDatabase" localSheetId="21" hidden="1">KSM25P152!$A$2:$F$2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9" i="6" l="1"/>
  <c r="F135" i="15" l="1"/>
  <c r="F134" i="15"/>
  <c r="F242" i="18" l="1"/>
  <c r="F5" i="16" l="1"/>
  <c r="F4" i="16"/>
  <c r="F3" i="16"/>
  <c r="F3" i="13"/>
</calcChain>
</file>

<file path=xl/sharedStrings.xml><?xml version="1.0" encoding="utf-8"?>
<sst xmlns="http://schemas.openxmlformats.org/spreadsheetml/2006/main" count="19871" uniqueCount="6732">
  <si>
    <t>TGL</t>
  </si>
  <si>
    <t>BUKTI</t>
  </si>
  <si>
    <t>BEBAN</t>
  </si>
  <si>
    <t>URAIAN</t>
  </si>
  <si>
    <t xml:space="preserve">DEBET </t>
  </si>
  <si>
    <t>KREDIT</t>
  </si>
  <si>
    <t>KSM24P047</t>
  </si>
  <si>
    <t>Peralatan Utama Ultrasonic Flow Meter DN30 @ 2 Ea Inv.001 CV.Karya Mandiri Techindo</t>
  </si>
  <si>
    <t>282b</t>
  </si>
  <si>
    <t>Pembelian Peralatan Utama Ultrasonic Tester Gauge Calibration Block 4 Step Thickness Linearity @5 Inv. 00050, Karya Teknik</t>
  </si>
  <si>
    <t>Pembelian Peralatan Utama Ultrasonic Thickness Gauge Smart Sensor AR860 @1 Inv. 00050, Karya Teknik</t>
  </si>
  <si>
    <t>301a</t>
  </si>
  <si>
    <t>Pembelian Peralatan Utama Ultrasonic Thickness Gauge GM100 @3 Unit Inv. 00040, Sinar Gas Kencana</t>
  </si>
  <si>
    <t>Pembelian Peralatan Utama Meter Gas QU4D QM-G4 @1 Unit Inv. 00040, Sinar Gas Kencana</t>
  </si>
  <si>
    <t>415a</t>
  </si>
  <si>
    <t>Transport FAT, Fadjar Tri Ananda</t>
  </si>
  <si>
    <t>BK250031</t>
  </si>
  <si>
    <t>Lalamove (Handlift untuk Unloading) dari Gudang Limus ke KSM</t>
  </si>
  <si>
    <t>Biaya Transfer Lalamove (Handlift untuk Unloading) dari Gudang Limus ke KSM</t>
  </si>
  <si>
    <t>Makan Unloading USM dan IJ a.n Rafi, Komat, Rafi, Ariffiana, Didin dan Ramdan</t>
  </si>
  <si>
    <t>BK250046</t>
  </si>
  <si>
    <t>Pembayaran PO 24174 Inv. 11A14-25207 EUR 74.084.98 @ 17.300, RMG Messtechnik GmbH</t>
  </si>
  <si>
    <t>Biaya Transfer USD 35 @ 16.465</t>
  </si>
  <si>
    <t>BK250086</t>
  </si>
  <si>
    <t>Transport Toll Rudi Hartono</t>
  </si>
  <si>
    <t>Transport BBM Rudi Hartono</t>
  </si>
  <si>
    <t>Makan &amp; Minum Rudi Hartono</t>
  </si>
  <si>
    <t>B240252</t>
  </si>
  <si>
    <t>Pembayaran Pembuatan Polis Ansuransi EAR (JRP), PT.Jasa Mulya Abadi</t>
  </si>
  <si>
    <t>Biaya Transfer, PT.Jasa Mulya Abadi</t>
  </si>
  <si>
    <t>B240326</t>
  </si>
  <si>
    <t>Makan Lembur TGI Duri (Tirto &amp; Nabila), Eko Waluyo</t>
  </si>
  <si>
    <t>B240341</t>
  </si>
  <si>
    <t>Transport Ticket Pesawat a.n Azyana &amp; Amry Fajar, Rizqi Aulia</t>
  </si>
  <si>
    <t>Transport Travel a.n M.Mustafidurrahman, Rizqi Aulia</t>
  </si>
  <si>
    <t>Hotel a.n M.Rahman, Rizqi Aulia</t>
  </si>
  <si>
    <t>B240364</t>
  </si>
  <si>
    <t>Transport BBM, Ifni Adhi Brata</t>
  </si>
  <si>
    <t>Transport Toll &amp; Parkir, Ifni Adhi Brata</t>
  </si>
  <si>
    <t>Makan, Ifni Adhi Brata</t>
  </si>
  <si>
    <t>B240371</t>
  </si>
  <si>
    <t>Transport Ticket Pesawat a.n Amry Fajar &amp; Azyana Febri Rumpaka, Rizqi Aulia</t>
  </si>
  <si>
    <t>B240428</t>
  </si>
  <si>
    <t>Pembayaran DP 50% PO 24185, PT.Cahaya Bina Baja</t>
  </si>
  <si>
    <t>PPN 11% Pembayaran DP 50% PO 24185, PT.Cahaya Bina Baja</t>
  </si>
  <si>
    <t>Biaya Transfer, PT.Cahaya Bina Baja</t>
  </si>
  <si>
    <t>B240448</t>
  </si>
  <si>
    <t>Transport Ticket Pesawat a.n Cahyo Triyogo &amp; Dara Irawani, Rizqi Aulia</t>
  </si>
  <si>
    <t>Hotel a.n Dara Irawani, Rizqi Aulia</t>
  </si>
  <si>
    <t>Transport Travel a.n Dara Irawani, Rizqi Aulia</t>
  </si>
  <si>
    <t>Biaya Transfer, Rizqi Aulia</t>
  </si>
  <si>
    <t>B240478</t>
  </si>
  <si>
    <t>Perpanjangan Paspor a.n Yossi Yacob, Rizqi Aulia</t>
  </si>
  <si>
    <t>B240481</t>
  </si>
  <si>
    <t>Pembayaran PO 24183 Inv.P24071094 PT.Control Systems Arena Para Nusa</t>
  </si>
  <si>
    <t>PPN 11% Pembayaran PO 24183 Inv.P24071094 PT.Control Systems Arena Para Nusa</t>
  </si>
  <si>
    <t>Biaya Transfer PT.Control Systems Arena Para Nusa</t>
  </si>
  <si>
    <t>B240553</t>
  </si>
  <si>
    <t>Pembayaran PO 24184 Inv.S0000081641 USD 1.298,40 @ 16.270 Wika Instrumentation Pte Ltd</t>
  </si>
  <si>
    <t>Biaya Transfer USD 25 @ 16.270 Wika Instrumentation Pte Ltd</t>
  </si>
  <si>
    <t>B240587</t>
  </si>
  <si>
    <t>Transport BBM TGI Wetcall, Dara Irawani</t>
  </si>
  <si>
    <t>Transport Taxi Bandara TGI Wetcall, Dara Irawani</t>
  </si>
  <si>
    <t>Makan Bareng TGI Wetcall ((Diki Yulius (Pertamina),Saeful (TGI),Cahyo T,Yossi Yacob,Dara Irawani,M.Wildan,Faishol Aziz,Fauriza,Rudi Hartono (KSM)), Dara Irawani</t>
  </si>
  <si>
    <t>B240590</t>
  </si>
  <si>
    <t>Makan Lembur (Nita,Anjani,Isna,Azyana), Eko Waluyo</t>
  </si>
  <si>
    <t>B240773</t>
  </si>
  <si>
    <t>Transport Gocar, Anjani Dwi Syabani</t>
  </si>
  <si>
    <t>Makan dengan Tim TGI, Anjani Dwi Syabani</t>
  </si>
  <si>
    <t>BiayaTransport a.n Nurzaen, Imam, dan Widia, Anjani Dwi Syabani</t>
  </si>
  <si>
    <t>B240800</t>
  </si>
  <si>
    <t>Pembayaran Transport Uang Harian Petugas (Belanda) @ 1 Org x 8 Hari No. DL-P-24-0537 USD 2.723,20 @ 16.325, Kementerian Perdagangan</t>
  </si>
  <si>
    <t>Biaya Transfer USD 25 @ 16.325, Kementerian Perdagangan</t>
  </si>
  <si>
    <t>BM240020</t>
  </si>
  <si>
    <t>Pembayaran Pembuatan Bank Garansi BRI &amp; Ansuransi PT.CN Indonesia Kwi.VIII/V/2024 Aqiilah Ammar Cipto</t>
  </si>
  <si>
    <t>BS240564</t>
  </si>
  <si>
    <t>Transport Ticket Pesawat a.n M.Rahman,Amry Fajar &amp; Azyana Febri Rumpaka, Rizqi Aulia</t>
  </si>
  <si>
    <t>BS240647</t>
  </si>
  <si>
    <t>Pembayaran DP 20% PO 24199 Inv.PI2407043 PT.World Metal Industri National</t>
  </si>
  <si>
    <t>PPN 11% Pembayaran DP 20% PO 24199 Inv.PI2407043 PT.World Metal Industri National</t>
  </si>
  <si>
    <t>Biaya Transfer PT.World Metal Industri National</t>
  </si>
  <si>
    <t>BS240715</t>
  </si>
  <si>
    <t>Bagi Hasil Musyarakah</t>
  </si>
  <si>
    <t>BS240729</t>
  </si>
  <si>
    <t>Pembayaran Cicilan Term II 30% PO 24199 Inv.PI-2409066, PT.World Metal Industi National</t>
  </si>
  <si>
    <t>PPN 11% Pembayaran Cicilan Term II 30% PO 24199 Inv.PI-2409066, PT.World Metal Industi National</t>
  </si>
  <si>
    <t>Biaya Transfer, PT.World Metal Industri National</t>
  </si>
  <si>
    <t>BS240730</t>
  </si>
  <si>
    <t>Pembayaran PO 24186 Inv.0081, PT.Duta Firza</t>
  </si>
  <si>
    <t>PPN 11% Pembayaran PO 24186 Inv.0081, PT.Duta Firza</t>
  </si>
  <si>
    <t>Biaya Transfer, PT.Duta Firza</t>
  </si>
  <si>
    <t>BS240754</t>
  </si>
  <si>
    <t>Pembayaran Pelunasan Term II 30% PO 24199 Inv. PI-2409066, PT. World Metal Industri</t>
  </si>
  <si>
    <t>Biaya Transfer Pembayaran Pelunasan Term II 30% PO 24199 Inv. PI-2409066, PT. World Metal Industri</t>
  </si>
  <si>
    <t>BS240767</t>
  </si>
  <si>
    <t>Transport BBM Fabrikasi Spool, M.Rahman</t>
  </si>
  <si>
    <t>Transport Toll Fabrikasi Spool, M.Rahman</t>
  </si>
  <si>
    <t>Transport Parkir Fabrikasi Spool, M.Rahman</t>
  </si>
  <si>
    <t>Transport KRL Fabrikasi Spool, M.Rahman</t>
  </si>
  <si>
    <t>Transport Gojek Fabrikasi Spool, M.Rahman</t>
  </si>
  <si>
    <t>Makan Fabrikasi Spool Rahman, Rizal, WMIN &amp; TGI, M. Rahman</t>
  </si>
  <si>
    <t>BS240835</t>
  </si>
  <si>
    <t>JNE, Eko Waluyo</t>
  </si>
  <si>
    <t>BS240854</t>
  </si>
  <si>
    <t>Pembayaran Cicilan PO 24199 Inv. 2410073, PT. World Metal Industri National</t>
  </si>
  <si>
    <t>Biaya Transfer</t>
  </si>
  <si>
    <t>BS240858</t>
  </si>
  <si>
    <t>Pembayaran PO 24206 Inv. 8092069 PT. Bintang Global Services</t>
  </si>
  <si>
    <t>PPN 11% Pembayaran PO 24206 Inv. 8092069 PT. Bintang Global Services</t>
  </si>
  <si>
    <t>BS240925</t>
  </si>
  <si>
    <t>BS240963</t>
  </si>
  <si>
    <t>Makan Lembur TGI Wetcal, Eko Waluyo</t>
  </si>
  <si>
    <t>BS241027</t>
  </si>
  <si>
    <t>Material (Flowmeter Water Meter Ultrasonic Remote Reading Water Flow Meter 2 Inci), Nurjannah Luthfiyah</t>
  </si>
  <si>
    <t>Biaya Asuransi a.n Sutarno, Nurjannah Luthfiyah</t>
  </si>
  <si>
    <t>Biaya Asuransi a.n Agung Sulistyono, Nurjannah Luthfiyah</t>
  </si>
  <si>
    <t>Biaya Asuransi a.n Bu Baya (Migas), Nurjannah Luthfiyah</t>
  </si>
  <si>
    <t>Biaya Asuransi a.n Pak Wayan (Ditmet), Nurjannah Luthfiyah</t>
  </si>
  <si>
    <t>Biaya Transfer, Nurjannah Luthfiyah</t>
  </si>
  <si>
    <t>BS241033a</t>
  </si>
  <si>
    <t xml:space="preserve">Pembuatan Visa a.n Sutarno, Yuanita </t>
  </si>
  <si>
    <t>Pembuatan Visa a.n Agung Sulistyono, Yuanita</t>
  </si>
  <si>
    <t>Pembuatan Visa a.n Wayan, Yuanita</t>
  </si>
  <si>
    <t xml:space="preserve">Pembuatan Visa a.n Siti Nur Bayanah, Yuanita </t>
  </si>
  <si>
    <t>BS241064</t>
  </si>
  <si>
    <t>PPN 11% Pembayaran Cicilan PO 24199 Inv. 2410073, PT. World Metal Industri National</t>
  </si>
  <si>
    <t>Biaya Transfer, PT. World Metal Industri National</t>
  </si>
  <si>
    <t>BS241077</t>
  </si>
  <si>
    <t>Transport Gocar, Yuanita Dhia Amirah</t>
  </si>
  <si>
    <t>Transport Toll, Yuanita Dhia Amirah</t>
  </si>
  <si>
    <t>Makan Yuanita, Agung Sulistyono dan Sutarno, Yuanita Dhia Amirah</t>
  </si>
  <si>
    <t>BS241082</t>
  </si>
  <si>
    <t>Transport BBM, Ahmad Rizal Mubarak</t>
  </si>
  <si>
    <t>Transport Toll, Ahmad Rizal Mubarak</t>
  </si>
  <si>
    <t xml:space="preserve">Transport Parkir, Ahmad Rizal Mubarak </t>
  </si>
  <si>
    <t xml:space="preserve">Makan Rahman, Rizal, Anton, Agung dan TGI, Ahmad Rizal Mubarak </t>
  </si>
  <si>
    <t>BS241094</t>
  </si>
  <si>
    <t>Material (Kabel Fluke), Rizqi Aulia</t>
  </si>
  <si>
    <t>BS241101</t>
  </si>
  <si>
    <t>Pembayaran Pelunasan 70% PO 24183 Inv. P24091413, PT. Control Systems Arena Para Nusa</t>
  </si>
  <si>
    <t>PPN 11% Pembayaran Pelunasan 70% PO 24183 Inv. P24091413, PT. Control Systems Arena Para Nusa</t>
  </si>
  <si>
    <t>Biaya Transfer, PT. Control Systems Arena Para Nusa</t>
  </si>
  <si>
    <t>BS241115</t>
  </si>
  <si>
    <t>Biaya Transfer, Yuanita Dhia Amirah</t>
  </si>
  <si>
    <t>BS241128</t>
  </si>
  <si>
    <t>Biaya (Premium Lounge) a.n Sutarno Syaamsudin, Yuanita Dhia Amirah</t>
  </si>
  <si>
    <t>Biaya (Premium Lounge) a.n Agung Sulistyono, Yuanita Dhia Amirah</t>
  </si>
  <si>
    <t>Biaya (Premium Lounge) a.n Siti Nur Bayanah, Yuanita Dhia Amirah</t>
  </si>
  <si>
    <t>BS241188</t>
  </si>
  <si>
    <t>Transport Toll, Anjani Dwi Syabani</t>
  </si>
  <si>
    <t>Transport GoCar, Anjani Dwi Syabani</t>
  </si>
  <si>
    <t>BS241199</t>
  </si>
  <si>
    <t>Makan Lembur Anjani, Eko Waluyo</t>
  </si>
  <si>
    <t>BS241200</t>
  </si>
  <si>
    <t>Pembayaran Inv. INV/2024/0129 PT. Mulia Sujar Abadi, Anjani Dwi Syabani</t>
  </si>
  <si>
    <t>BS241315</t>
  </si>
  <si>
    <t>Makan Lembur TGI Wetcall (Arfa, Rendi), Eko Waluyo</t>
  </si>
  <si>
    <t>Makan Meeting TGI (Dara, Anjani), Eko Waluyo</t>
  </si>
  <si>
    <t>BS241322</t>
  </si>
  <si>
    <t>Transport Pesawat a.n Siti Nur Bayanah, Anjani Dwi Syabani</t>
  </si>
  <si>
    <t>Makan Anjani dan Siti Nur Bayanah</t>
  </si>
  <si>
    <t>Pembelian Palet, Anjani Dwi Syabani</t>
  </si>
  <si>
    <t>BS241349</t>
  </si>
  <si>
    <t>Pengembalian Pinjaman Dari BSI</t>
  </si>
  <si>
    <t>BS241353</t>
  </si>
  <si>
    <t>BS241373</t>
  </si>
  <si>
    <t>EX UMK Anjani Dwi Syabani</t>
  </si>
  <si>
    <t>Hotel a.n Sutarno, Agung Sulistyono dan I Wayan Ariada</t>
  </si>
  <si>
    <t>Pembayaran Protokeller Bandara Percepatan Imigrasi dan Bea Cukai</t>
  </si>
  <si>
    <t>Pembayaran Pemilihan Seat Pesawat</t>
  </si>
  <si>
    <t>BS241521</t>
  </si>
  <si>
    <t>Pembayaran PNBP UTTP No. P-1042-12-2024, Kementerian Perdagangan</t>
  </si>
  <si>
    <t>BSI240038</t>
  </si>
  <si>
    <t>Bea Masuk PO 24184 Inv.D000244433 PT.Birotika Semesta, Rizqi Aulia</t>
  </si>
  <si>
    <t>PPN Import PO 24184 Inv.D000244433 PT.Birotika Semesta, Rizqi Aulia</t>
  </si>
  <si>
    <t>PPH Import PO 24184 Inv.D000244433 PT.Birotika Semesta, Rizqi Aulia</t>
  </si>
  <si>
    <t>Pembayaran Shipment PO 24184 Inv.D000244433 PT.Birotika Semesta, Rizqi Aulia</t>
  </si>
  <si>
    <t>PPN 11% Pembayaran Shipment PO 24184 Inv.D000244433 PT.Birotika Semesta, Rizqi Aulia</t>
  </si>
  <si>
    <t>PPh 2% Pembayaran Shipment PO 24184 Inv.D000244433 PT.Birotika Semesta, Rizqi Aulia</t>
  </si>
  <si>
    <t>BSI240039</t>
  </si>
  <si>
    <t xml:space="preserve">Pembayaran Gaji (TGI Wetcall) Periode Agustus 2024 </t>
  </si>
  <si>
    <t>BSI240059</t>
  </si>
  <si>
    <t>Pembayaran Shipment PO 24184 Inv.JKTIR00774948, PT.Birotika Semesta</t>
  </si>
  <si>
    <t>PPN 11% Pembayaran Shipment PO 24184 Inv.JKTIR00774948, PT.Birotika Semesta</t>
  </si>
  <si>
    <t>PPh 2% Pembayaran Shipment PO 24184 Inv.JKTIR00774948, PT.Birotika Semesta</t>
  </si>
  <si>
    <t>Biaya Transfer, PT.Birotika Semesta</t>
  </si>
  <si>
    <t>BSI240064</t>
  </si>
  <si>
    <t xml:space="preserve">Pembayaran Pelunasan 50% PO 24185 Inv.CBB/99/54, PT.Cahaya Bina Baja </t>
  </si>
  <si>
    <t xml:space="preserve">PPN 11% Pembayaran Pelunasan 50% PO 24185 Inv.CBB/99/54, PT.Cahaya Bina Baja </t>
  </si>
  <si>
    <t xml:space="preserve">Denda Keterlambatan PO 24185 Inv.CBB/99/54, PT.Cahaya Bina Baja </t>
  </si>
  <si>
    <t xml:space="preserve">Biaya Transfer, PT.Cahaya Bina Baja </t>
  </si>
  <si>
    <t>BSI240067</t>
  </si>
  <si>
    <t>Makan Lembur (Anjani), Eko Waluyo</t>
  </si>
  <si>
    <t>BSI240102</t>
  </si>
  <si>
    <t>Makan Meeting TGI (Dara), Eko Waluyo</t>
  </si>
  <si>
    <t>Makan Meeting CL (Rahman &amp; Rahman), Eko Waluyo</t>
  </si>
  <si>
    <t>KK250105</t>
  </si>
  <si>
    <t>PPN Import PO 24174, Direktorat Jenderal Bea &amp; Cukai</t>
  </si>
  <si>
    <t>PPh Import PO 24174, Direktorat Jenderal Bea &amp; Cukai</t>
  </si>
  <si>
    <t>KK250124</t>
  </si>
  <si>
    <t xml:space="preserve">KSM24P047 </t>
  </si>
  <si>
    <t>Extend Hotel a.n Ahmad Rizal Mubarak @1 Malam, Moura</t>
  </si>
  <si>
    <t xml:space="preserve">Biaya Transfer, Moura </t>
  </si>
  <si>
    <t>KK250127a</t>
  </si>
  <si>
    <t xml:space="preserve">Sewa Mobil + Driver Periode 11 - 22 Apr, Moura  </t>
  </si>
  <si>
    <t xml:space="preserve">PPh 2% Sewa Mobil + Driver Periode 11 - 22 Apr, Moura  </t>
  </si>
  <si>
    <t xml:space="preserve">Biaya Transfer, Moura  </t>
  </si>
  <si>
    <t xml:space="preserve">UMK a.n Ahmad Rizal, Moura  </t>
  </si>
  <si>
    <t>KK250148</t>
  </si>
  <si>
    <t>Transport Reservasi Tiket Pesawat, Moura</t>
  </si>
  <si>
    <t>Biaya Transfer, Moura</t>
  </si>
  <si>
    <t xml:space="preserve">Transport Visa a.n Fadjar Tri Ananda, Moura </t>
  </si>
  <si>
    <t>KK250150</t>
  </si>
  <si>
    <t>Transport Kereta a.n Rinto (Ditmet), Rizqi Aulia</t>
  </si>
  <si>
    <t>Makan a.n Hetti &amp; Ditmet, Rizqi Aulia</t>
  </si>
  <si>
    <t>KK250152</t>
  </si>
  <si>
    <t xml:space="preserve">Makan a.n Bayhaqy, Moura </t>
  </si>
  <si>
    <t>BSK250004</t>
  </si>
  <si>
    <t>Makan Lembur KSM24P047 (Anjani), Eko</t>
  </si>
  <si>
    <t>BSK250045</t>
  </si>
  <si>
    <t>Pembayaran Shipment Ekspor Sementara PO 24174 Inv. P1/2024/10/0071, PT. Kartika Eka Yudha Maritim</t>
  </si>
  <si>
    <t>PPN 11% Pembayaran Shipment Ekspor Sementara PO 24174 Inv. P1/2024/10/0071, PT. Kartika Eka Yudha Maritim</t>
  </si>
  <si>
    <t>PPh 2% Pembayaran Shipment Ekspor Sementara PO 24174 Inv. P1/2024/10/0071, PT. Kartika Eka Yudha Maritim</t>
  </si>
  <si>
    <t>Pembayaran Shipment Ekspor Sementara PO 24174 Inv. P2/2024/10/0060, PT. Kartika Eka Yudha Maritim</t>
  </si>
  <si>
    <t>PPN 1,1% Pembayaran Shipment Ekspor Sementara PO 24174 Inv. P2/2024/10/0060, PT. Kartika Eka Yudha Maritim</t>
  </si>
  <si>
    <t>PPh 2% Pembayaran Shipment Ekspor Sementara PO 24174 Inv. P2/2024/10/0060, PT. Kartika Eka Yudha Maritim</t>
  </si>
  <si>
    <t>Pembayaran Warehouse Cost Ekspor Sementara PO 24174 Inv. NR/2024/10/0050, PT. Kartika Eka Yudha Maritim</t>
  </si>
  <si>
    <t>PPN 11% Pembayaran Warehouse Cost Ekspor Sementara PO 24174 Inv. NR/2024/10/0050, PT. Kartika Eka Yudha Maritim</t>
  </si>
  <si>
    <t>PPh 2% Pembayaran Warehouse Cost Ekspor Sementara PO 24174 Inv. NR/2024/10/0050, PT. Kartika Eka Yudha Maritim</t>
  </si>
  <si>
    <t>Biaya Transfer, PT. Kartika Eka Yudha Maritim</t>
  </si>
  <si>
    <t>BSK250072</t>
  </si>
  <si>
    <t>Makan Lembur TGI WetCall (Dara), Eko</t>
  </si>
  <si>
    <t>BSK250074</t>
  </si>
  <si>
    <t>Transport a.n Pak Bagus TGI EUR 5.600 @ 16.915, Rusli Bakri</t>
  </si>
  <si>
    <t>Biaya Transfer, Rusli Bakri</t>
  </si>
  <si>
    <t>BSK250130</t>
  </si>
  <si>
    <t>Biaya Makan Lembur KSM24P047Anjani</t>
  </si>
  <si>
    <t>Biaya Makan Meeting TGI Wetcall (Dara)</t>
  </si>
  <si>
    <t>BSK250140c</t>
  </si>
  <si>
    <t>Biaya Bagi Hasil Musyarakah</t>
  </si>
  <si>
    <t>BSK250147</t>
  </si>
  <si>
    <t>Hotel a.n Nabila Assalamah, Dimas, Hidayatus, Irwan, Aditya, Yudi, Agung Sulistyo, BSI Hasanah Card</t>
  </si>
  <si>
    <t>Entertain dengan Tim TGI, BSI Hasanah Card</t>
  </si>
  <si>
    <t>BSK250183</t>
  </si>
  <si>
    <t>Bea Masuk PO 24174</t>
  </si>
  <si>
    <t>PPN Import PO 24174</t>
  </si>
  <si>
    <t>PPh Import PO 24174</t>
  </si>
  <si>
    <t>BSK250324</t>
  </si>
  <si>
    <t>Makan Lembur TGI (Nabila)</t>
  </si>
  <si>
    <t>Makan Meeting TGI Wetcall (Rahman)</t>
  </si>
  <si>
    <t>BSK250328</t>
  </si>
  <si>
    <t>Material (Pipa Tubing, Male Conn dan Bail Valve)</t>
  </si>
  <si>
    <t>BSK250342</t>
  </si>
  <si>
    <t>Transport LRT, Anjani Dwi Syabani</t>
  </si>
  <si>
    <t>Makan dan Minum, Anjani Dwi Syabani</t>
  </si>
  <si>
    <t>BSM250052</t>
  </si>
  <si>
    <t>Cancel Hotel a.n Nabila Assalamah, Dimas, Hidayatus, Irwan, Aditya, Yudi, Agung Sulistyo</t>
  </si>
  <si>
    <t>Cancel Entertain dengan Tim TGI</t>
  </si>
  <si>
    <t>BSK250354</t>
  </si>
  <si>
    <t>BSK250387</t>
  </si>
  <si>
    <t>Transport Taxi Anjani Dwi Syabani</t>
  </si>
  <si>
    <t>Makan dan Minum Anjani Dwi Syabani</t>
  </si>
  <si>
    <t>BSK250403</t>
  </si>
  <si>
    <t>Makan Lembur Wetcall (Arfa, Ikmal)</t>
  </si>
  <si>
    <t>BSK250444</t>
  </si>
  <si>
    <t>Pembayaran PNBP UTTP Meter Gas Ultrasonik No. T-2246-02-2025</t>
  </si>
  <si>
    <t>BSK250457</t>
  </si>
  <si>
    <t>Material (Police Line @ 1 Roll)</t>
  </si>
  <si>
    <t>Material (Sarung Tangan, Helm Proyek, Kacamata Safety)</t>
  </si>
  <si>
    <t>UMK a.n Azyana Febri Rumpaka</t>
  </si>
  <si>
    <t>Hotel a.n Azyana Febri Rumpaka</t>
  </si>
  <si>
    <t>BSK250529</t>
  </si>
  <si>
    <t>Makan Lembur Wetcall (Arfa), Eko Waluyo</t>
  </si>
  <si>
    <t>BSK250538</t>
  </si>
  <si>
    <t>Transport Pengiriman Barang Crane ke Duri, Adinda Novianti Fadli</t>
  </si>
  <si>
    <t>Biaya Transfer, Adinda Novianti Fadli</t>
  </si>
  <si>
    <t>Pembayaran Sewa Kendaraan Mobilio BM 1405 VA Selama 4 Hari, Adinda Novianti Fadli</t>
  </si>
  <si>
    <t>PPh 2% Pembayaran Sewa Kendaraan Mobilio BM 1405 VA Selama 4 Hari, Adinda Novianti Fadli</t>
  </si>
  <si>
    <t>Transport BBM Sewa Kendaraan Mobilio BM 1405 VA Selama 4 Hari, Adinda Novianti Fadli</t>
  </si>
  <si>
    <t>Transport Pesawat a.n Azyana, Adinda Novianti Fadli</t>
  </si>
  <si>
    <t>Material (Coverall) Wetcall Duri, Adinda Novianti Fadli</t>
  </si>
  <si>
    <t>Material (Terpal) Wetcall Duri, Adinda Novianti Fadli</t>
  </si>
  <si>
    <t>BSK250657</t>
  </si>
  <si>
    <t>Transport Pesawat a.n Azyana, BSI Hasanah Card</t>
  </si>
  <si>
    <t>BSK250674</t>
  </si>
  <si>
    <t>BSK250715</t>
  </si>
  <si>
    <t>Transport Pesawat a.n (M Rahman) Adinda Novianti Fadli</t>
  </si>
  <si>
    <t>Makan a.n (M Rahman) Adinda Novianti Fadli</t>
  </si>
  <si>
    <t>Transport a.n (M Rahman) Adinda Novianti Fadli</t>
  </si>
  <si>
    <t>Transport BBM a.n (M Rahman) Adinda Novianti Fadli</t>
  </si>
  <si>
    <t>Transport Toll a.n (M Rahman) Adinda Novianti Fadli</t>
  </si>
  <si>
    <t>Penginapan Duri a.n (M Rahman) Adinda Novianti Fadli</t>
  </si>
  <si>
    <t>Penginapan Pekanbaru a.n (M Rahman) Adinda Novianti Fadli</t>
  </si>
  <si>
    <t>Material a.n (M Rahman) Adinda Novianti Fadli</t>
  </si>
  <si>
    <t>ATK (Banner HSE) Adinda Novianti Fadli</t>
  </si>
  <si>
    <t>Biaya Transfer Adinda Novianti Fadli</t>
  </si>
  <si>
    <t>BSK250720</t>
  </si>
  <si>
    <t>Pembayaran DP 50% PO 25114 Inv.022/AKP-KSM/3-2025 PT.Abdi Karya Pratama</t>
  </si>
  <si>
    <t>PPN Pembayaran DP 50% PO 25114 Inv.022/AKP-KSM/3-2025 PT.Abdi Karya Pratama</t>
  </si>
  <si>
    <t>PPh 2% Pembayaran DP 50% PO 25114 Inv.022/AKP-KSM/3-2025 PT.Abdi Karya Pratama</t>
  </si>
  <si>
    <t>Biaya Transfer PT.Abdi Karya Pratama</t>
  </si>
  <si>
    <t>BSK250734</t>
  </si>
  <si>
    <t>Biaya Transfer Rudi Hartono</t>
  </si>
  <si>
    <t>BSK250751</t>
  </si>
  <si>
    <t>Pembayaran Tagihan Uang Harian Petugas Kab.Bengkalis, Riau @ 1 Org x 5 Hari No.SPUH : MR.05.01/218/PKTN 4.5/ST/04/2025 Kementrian Perdagangan</t>
  </si>
  <si>
    <t>Biaya Transfer Kementrian Perdagangan</t>
  </si>
  <si>
    <t>BSK250763</t>
  </si>
  <si>
    <t>Pembayaran Shipment P1 PO 24174 Inv.0393 PT.Kartika Eka Yudha Maritim</t>
  </si>
  <si>
    <t>PPN Pembayaran Shipment P1 PO 24174 Inv.0393  PT.Kartika Eka Yudha Maritim</t>
  </si>
  <si>
    <t>PPh 2% Pembayaran Shipment P1 PO 24174 Inv.0393 PT.Kartika Eka Yudha Maritim</t>
  </si>
  <si>
    <t>Pembayaran Warehouse Cost PO 24174 Inv.0285 EUR 735 @ 17.510 PT.Kartika Eka Yudha Maritim</t>
  </si>
  <si>
    <t>Biaya Transfer PT.Kartika Eka Yudha Maritim</t>
  </si>
  <si>
    <t>BSK250764</t>
  </si>
  <si>
    <t>Hotel a.n Achmad Bayhaqi Adinda Novianti Fadli</t>
  </si>
  <si>
    <t>Pembayaran DP Penginapan Selama 1 Bulan Adinda Novianti Fadli</t>
  </si>
  <si>
    <t>Material (Flange Insulation Kit) Adinda Novianti Fadli</t>
  </si>
  <si>
    <t>JNT (Alat Kalibrasi Wetcall) Adinda Novianti Fadli</t>
  </si>
  <si>
    <t>Pembayaran DP Penginapan a.n Arief Budiman dan Achmad Bayhaqi Adinda Novianti Fadli</t>
  </si>
  <si>
    <t>BSK250766a</t>
  </si>
  <si>
    <t>BSK250779</t>
  </si>
  <si>
    <t>Makan Lembur (Faishol Aziz,Fajar Andik) Eko Waluyo</t>
  </si>
  <si>
    <t>BSK250797</t>
  </si>
  <si>
    <t>Pembayaran DP 50% PO 25138 Inv.017 PT.Titian Maju Bersama</t>
  </si>
  <si>
    <t>PPN Pembayaran DP 50% PO 25138 Inv.017 PT.Titian Maju Bersama</t>
  </si>
  <si>
    <t>PPh 2% Pembayaran DP 50% PO 25138 Inv.017 PT.Titian Maju Bersama</t>
  </si>
  <si>
    <t>BSK250799</t>
  </si>
  <si>
    <t>Laundry a.n (M.Rahman) Adinda Novianti Fadli</t>
  </si>
  <si>
    <t>Makan a.n (M.Rahman) Bersama Team TGI &amp; KSM Adinda Novianti Fadli</t>
  </si>
  <si>
    <t>Transport BBM a.n (M.Rahman) Adinda Novianti Fadli</t>
  </si>
  <si>
    <t>Transport Toll a.n (M.Rahman) Adinda Novianti Fadli</t>
  </si>
  <si>
    <t>ATK (Print) Adinda Novianti Fadli</t>
  </si>
  <si>
    <t>Peralatan (Helm,Kunci L,Tabung Apar 6kg) Adinda Novianti Fadli</t>
  </si>
  <si>
    <t>Material (Resistor,Skun 2,5mm,Paku 3kg,Weebing Rechet dll) Adinda Novianti Fadli</t>
  </si>
  <si>
    <t>Makan a.n (Rudi Hartono) Bersama Ditmet Adinda Novianti Fadli</t>
  </si>
  <si>
    <t>Hotel a.n (Rudi Hartono) Bersama Ditmet Adinda Novianti Fadli</t>
  </si>
  <si>
    <t>Transport Tiket Pesawat a.n (Dio Nesta Herdiansyah) Adinda Novianti Fadli</t>
  </si>
  <si>
    <t>Hotel a.n (Dio Nesta Herdiansyah) Adinda Novianti Fadli</t>
  </si>
  <si>
    <t>Pengiriman Lintas Shuttle Adinda Novianti Fadli</t>
  </si>
  <si>
    <t>Transport BBM a.n (Raffi Achmad) Adinda Novianti Fadli</t>
  </si>
  <si>
    <t>Transport Parkir a.n (Raffi Achmad) Adinda Novianti Fadli</t>
  </si>
  <si>
    <t>Pembayaran PNBP Meter Gas Turbin G400 Adinda Novianti Fadli</t>
  </si>
  <si>
    <t>Makan a.n (Angga L Ditmet) Adinda Novianti Fadli</t>
  </si>
  <si>
    <t>Transport Tiket Pesawat a.n (Achmad Rizal Mubarrak) Adinda Novianti Fadli</t>
  </si>
  <si>
    <t>Transport Blue Bird a.n (Rudi Hartono) Adinda Novianti Fadli</t>
  </si>
  <si>
    <t>Transport Shuttle Bus a.n (Annad Rahman Ditmet) Adinda Novianti Fadli</t>
  </si>
  <si>
    <t>Material (Cat,Amplas,Kuas) Adinda Novianti Fadli</t>
  </si>
  <si>
    <t>Transport Tiket Pesawat a.n (Fentarie Gumilang Migas) Adinda Novianti Fadli</t>
  </si>
  <si>
    <t>Material (Namplate) Adinda Novianti Fadli</t>
  </si>
  <si>
    <t>Hotel a.n (Achmad Rizal Mubarrak) Adinda Novianti Fadli</t>
  </si>
  <si>
    <t>Hotel a.n (Achmad Rizal Mubarrak dan Migas) Adinda Novianti Fadli</t>
  </si>
  <si>
    <t>BSK250804</t>
  </si>
  <si>
    <t>Material (Flange Insulation Kit @ 4 Ea) Adinda Novianti Fadli</t>
  </si>
  <si>
    <t>Material (Pressure Gauge 0-6 Bar @ 4 Pcs) Adinda Novianti Fadli</t>
  </si>
  <si>
    <t>Transport Toll a.n M.Rahman Adinda Novianti Fadli</t>
  </si>
  <si>
    <t>Transport BBM a.n M.Rahman Adinda Novianti Fadli</t>
  </si>
  <si>
    <t>Transport Parkir a.n M.Rahman Adinda Novianti Fadli</t>
  </si>
  <si>
    <t>Makan Bersama Team TGI dan KSM a.n M.Rahman Adinda Novianti Fadli</t>
  </si>
  <si>
    <t>Laundry a.n M.Rahman Adinda Novianti Fadli</t>
  </si>
  <si>
    <t>Material (Paku 1 1/2") Adinda Novianti Fadli</t>
  </si>
  <si>
    <t>Peralatan (Senter) Adinda Novianti Fadli</t>
  </si>
  <si>
    <t>Perlengkapan (Sarung Tangan dan Baterai) Adinda Novianti Fadli</t>
  </si>
  <si>
    <t>Token Listrik Kos Pekanbaru Adinda Novianti Fadli</t>
  </si>
  <si>
    <t>Pembelian Tinta Printer Catridge IP2770 @ 3 Pcs Adinda Novianti Fadli</t>
  </si>
  <si>
    <t>Penginapan a.n (Achmad Bayhaqi &amp; Arief Budiman) Adinda Novianti Fadli</t>
  </si>
  <si>
    <t>Transport Forter Cargo a.n Achmad Bayhaqi Adinda Novianti Fadli</t>
  </si>
  <si>
    <t>Material (Maleconnector @ 22 Pcs) Adinda Novianti Fadli</t>
  </si>
  <si>
    <t>Perlengkapan (Sarung Tangan Safety,Helm Safety,Rompi Safety) Adinda Novianti Fadli</t>
  </si>
  <si>
    <t>Pembayaran Sewa Mobil Terios + Driver + BBM Selama @ 2 Hari Di Pekanbaru Adinda Novianti Fadli</t>
  </si>
  <si>
    <t>PPh 2% Pembayaran Sewa Mobil Terios + Driver + BBM Selama @ 2 Hari Di Pekanbaru Adinda Novianti Fadli</t>
  </si>
  <si>
    <t>Pembayaran Sewa Mobil Expander Selama 12 Hari Di Duri Adinda Novianti Fadli</t>
  </si>
  <si>
    <t>PPh 2% Pembayaran Sewa Mobil Expander Selama 12 Hari Di Duri Adinda Novianti Fadli</t>
  </si>
  <si>
    <t>Biaya Transfer Pembayaran Sewa Mobil Expander Selama 12 Hari Di Duri Adinda Novianti Fadli</t>
  </si>
  <si>
    <t>Transport Tiket Pesawat a.n Dio Nesta Herdiansyah Adinda Novianti Fadli</t>
  </si>
  <si>
    <t>BSK250814</t>
  </si>
  <si>
    <t>Pembayaran Sewa Mobil + Driver Periode 22-25 Fauzan Arif Baren Fandi</t>
  </si>
  <si>
    <t>PPh 2% Pembayaran Sewa Mobil + Driver Periode 22-25 Fauzan Arif Baren Fandi</t>
  </si>
  <si>
    <t>Transfer Antar Bank Fauzan Arif Baren Fandi</t>
  </si>
  <si>
    <t>BSK250826</t>
  </si>
  <si>
    <t>Makan Lembur Watcall (Faishol,Agung,Nita,Arfa,Ikmal,Azyana,Anjani) Eko Waluyo</t>
  </si>
  <si>
    <t>JNE</t>
  </si>
  <si>
    <t>BSK250831</t>
  </si>
  <si>
    <t>Material Lapangan (Flange Spreader) Moura</t>
  </si>
  <si>
    <t>Biaya Transfer Moura</t>
  </si>
  <si>
    <t>Pengiriman DTW Ke Jambi Moura</t>
  </si>
  <si>
    <t>BSK250833</t>
  </si>
  <si>
    <t>Transport Taxi Arief Budiman</t>
  </si>
  <si>
    <t>Transport Bagasi Arief Budiman</t>
  </si>
  <si>
    <t>Biaya Transfer Arief Budiman</t>
  </si>
  <si>
    <t>BSK250836a</t>
  </si>
  <si>
    <t>Makan a.n M.rahman Bersama Team TGI, Adinda Novianti Fadli</t>
  </si>
  <si>
    <t>Material (Sticker Sconlet,Container UK 125,Kuas,Ember), Adinda Novianti Fadli</t>
  </si>
  <si>
    <t>BSK250841</t>
  </si>
  <si>
    <t>Pembayaran PO 25153 Inv.070/SHS-INV/IV/2025, PT.Synergy Hydro Service</t>
  </si>
  <si>
    <t>PPN Pembayaran PO 25153 Inv.070/SHS-INV/IV/2025, PT.Synergy Hydro Service</t>
  </si>
  <si>
    <t>PPh 2% Pembayaran PO 25153 Inv.070/SHS-INV/IV/2025, PT.Synergy Hydro Service</t>
  </si>
  <si>
    <t>Transfer Antar Bank, PT.Synergy Hydro Service</t>
  </si>
  <si>
    <t>BSK250842</t>
  </si>
  <si>
    <t>Pembayaran Pelunasan PO 25138 Inv.020/IV/2025-PTKS, PT.Titian Maju Bersama</t>
  </si>
  <si>
    <t>PPN Pembayaran Pelunasan PO 25138 Inv.020/IV/2025-PTKS, PT.Titian Maju Bersama</t>
  </si>
  <si>
    <t>PPh 2% Pembayaran Pelunasan PO 25138 Inv.020/IV/2025-PTKS, PT.Titian Maju Bersama</t>
  </si>
  <si>
    <t>Transfer Antar Bank, Pembayaran Pelunasan PO 25138 Inv.020/IV/2025-PTKS, PT.Titian Maju Bersama</t>
  </si>
  <si>
    <t>BSK250852</t>
  </si>
  <si>
    <t>Makan Lembur Watcall (Arfa,Ikmal,Hetty), Eko Waluyo</t>
  </si>
  <si>
    <t>BSK250861</t>
  </si>
  <si>
    <t>Transport Toll, Agung Sulistyono</t>
  </si>
  <si>
    <t>Transport BBM, Agung Sulistyono</t>
  </si>
  <si>
    <t>Makan (Agung,Putu TGI), Agung Sulistyono</t>
  </si>
  <si>
    <t>BSK250864</t>
  </si>
  <si>
    <t>Transport Travel Duri-Bandara, Mukhammad Mustafidurrahman</t>
  </si>
  <si>
    <t>Transport Toll, Mukhammad Mustafidurrahman</t>
  </si>
  <si>
    <t>Transport Taxi Soetta-Rumah, Mukhammad Mustafidurrahman</t>
  </si>
  <si>
    <t>Material Lapangan (Cat), Mukhammad Mustafidurrahman</t>
  </si>
  <si>
    <t>Laundry Sepatu, Mukhammad Mustafidurrahman</t>
  </si>
  <si>
    <t>Pengiriman Barang Material, Mukhammad Mustafidurrahman</t>
  </si>
  <si>
    <t>Makan, Mukhammad Mustafidurrahman</t>
  </si>
  <si>
    <t>BSK250868</t>
  </si>
  <si>
    <t>Pembayaran PNBP Sistem Meter Gas Ultrasonik RMG/USM GT-400, Adinda Novianti Fadli</t>
  </si>
  <si>
    <t>Material (Cat), Adinda Novianti Fadli</t>
  </si>
  <si>
    <t>Pembayaran Sewa Mobil Xpander Selama 7 Hari Di Duri, Adinda Novianti Fadli</t>
  </si>
  <si>
    <t>PPh 2% Sewa Mobil Expander Selama 7 Hari Di Duri, Adinda Novianti Fadli</t>
  </si>
  <si>
    <t>Material (Sensor Oxygen For BW Honeywell), Adinda Novianti Fadli</t>
  </si>
  <si>
    <t>BSK250885</t>
  </si>
  <si>
    <t>Pembayaran Shipment P1 PO 24174 Inv.0071, PT.Kartika Eka Yudha Maritim</t>
  </si>
  <si>
    <t>PPN Pembayaran Shipment P1 PO 24174 Inv.0071, PT.Kartika Eka Yudha Maritim</t>
  </si>
  <si>
    <t>PPh 2% Pembayaran Shipment P1 PO 24174 Inv.0071, PT.Kartika Eka Yudha Maritim</t>
  </si>
  <si>
    <t>Pembayaran Shipment P2 PO 24174 Inv.0058, PT.Kartika Eka Yudha Maritim</t>
  </si>
  <si>
    <t>PPN Pembayaran Shipment P2 PO 24174 Inv.0058, PT.Kartika Eka Yudha Maritim</t>
  </si>
  <si>
    <t>PPh 2% Pembayaran Shipment P2 PO 24174 Inv.0058, PT.Kartika Eka Yudha Maritim</t>
  </si>
  <si>
    <t>Pembayaran Warehouse Cost PO 24174 Inv.0039, PT.Kartika Eka Yudha Maritim</t>
  </si>
  <si>
    <t>PPN Pembayaran Warehouse Cost PO 24174 Inv.0039, PT.Kartika Eka Yudha Maritim</t>
  </si>
  <si>
    <t>PPh 2% Pembayaran Warehouse Cost PO 24174 Inv.0039, PT.Kartika Eka Yudha Maritim</t>
  </si>
  <si>
    <t>Transfer Antar Bank, PT.Kartika Eka Yudha Maritim</t>
  </si>
  <si>
    <t>BSK250908a</t>
  </si>
  <si>
    <t>Transport Pesawat a.n Rudi Hartono,Achmad Bayhaqi,Fajar Andik Cahyono,Agung Sulistyono,Reli,Dio Nesta Herdiansyah,Santi &amp; Murdiyanto, BSI Hasanah Card</t>
  </si>
  <si>
    <t>Hotel a.n Achmad Bayhaqi &amp; Rudi Hartono, BSI Hasanah Card</t>
  </si>
  <si>
    <t>BSK250917</t>
  </si>
  <si>
    <t>Makan Lembur Jargas (Icang,Toro), Eko Waluyo</t>
  </si>
  <si>
    <t>BSK250918</t>
  </si>
  <si>
    <t>Pembayaran Visa Schengen a.n Edy Nurhamid Amin,Muhammad Rinto,Fentarie Gumilang,Achmad Bayhaqi,Hadiah Tri Novianti,Sela Rahmala,Aizah Rafifah), Adinda Novianti Fadli</t>
  </si>
  <si>
    <t>Pembelian Oli Shell Tellus S2 VX/V22, Adinda Novianti Fadli</t>
  </si>
  <si>
    <t>Transport Ticket Whoosh Ditmet a.n Muhammad Rinto, Adinda Novianti Fadli</t>
  </si>
  <si>
    <t>Transport Ticket Pesawat a.n Achmad Bayhaqi &amp; Arief Budiman, Adinda Novianti Fadli</t>
  </si>
  <si>
    <t>Pembayaran Transport Petugas (Kab.Indragiri Hulu,Riau) @ 1 Org x 4 Hari x 370.000, Adinda Novianti Fadli</t>
  </si>
  <si>
    <t>BSK250919</t>
  </si>
  <si>
    <t>Makan (Rudi Hartono,Anjani,Fadjar Tri Ananda &amp; Bp.Hikmat), Rudi Hartono</t>
  </si>
  <si>
    <t>Makan (Rudi Hartono &amp; Ditmet), Rudi Hartono</t>
  </si>
  <si>
    <t>Transport BBM, Rudi Hartono</t>
  </si>
  <si>
    <t>Transport Toll, Rudi Hartono</t>
  </si>
  <si>
    <t>Obat-Obatan (Greenmax,Simvastatin,Panadol), Rudi Hartono</t>
  </si>
  <si>
    <t>BSK250923</t>
  </si>
  <si>
    <t>Transport BBM, Achmad Bayhaqi</t>
  </si>
  <si>
    <t>Transport Bagasi, Achmad Bayhaqi</t>
  </si>
  <si>
    <t>Transport Parkir, Achmad Bayhaqi</t>
  </si>
  <si>
    <t>Transport Taxi, Achmad Bayhaqi</t>
  </si>
  <si>
    <t>Makan &amp; Minum, Achmad Bayhaqi</t>
  </si>
  <si>
    <t>Pengiriman Alat Kerja, Achmad Bayhaqi</t>
  </si>
  <si>
    <t>Laundry, Achmad Bayhaqi</t>
  </si>
  <si>
    <t>ATK (Catidge Tinta), Achmad Bayhaqi</t>
  </si>
  <si>
    <t>Transfer Antar Bank, Achmad Bayhaqi</t>
  </si>
  <si>
    <t>BSK250947</t>
  </si>
  <si>
    <t>Transport GoCar a.n Anjani Dwi Syabani, Anjani Dwi Syabani</t>
  </si>
  <si>
    <t>Transport Toll a.n Anjani Dwi Syabani, Anjani Dwi Syabani</t>
  </si>
  <si>
    <t>Makan &amp; Minum, Anjani Dwi Syabani</t>
  </si>
  <si>
    <t>BSK250970</t>
  </si>
  <si>
    <t>Makan Lembur TGI (Rizal,Hetty,Dani,Toro,Rudi), Eko Waluyo</t>
  </si>
  <si>
    <t>BSK250972</t>
  </si>
  <si>
    <t>BSK250982</t>
  </si>
  <si>
    <t>Pembayaran Pengiriman Barang Ke PT.World Metal Industri National Inv.BBI-2025-001047 PT.Berkah Bersama Insani</t>
  </si>
  <si>
    <t>PPN 05002500122604035 Pembayaran Pengiriman Barang Ke PT.World Metal Industri National Inv.BBI-2025-001047 PT.Berkah Bersama Insani</t>
  </si>
  <si>
    <t>PPh 2% Pembayaran Pengiriman Barang Ke PT.World Metal Industri National Inv.BBI-2025-001047 PT.Berkah Bersama Insani</t>
  </si>
  <si>
    <t>Transfer Antar Bank PT.Berkah Bersama Insani</t>
  </si>
  <si>
    <t>BSK250998</t>
  </si>
  <si>
    <t>Transport Visa @ 6 Org, Yuli Irawati</t>
  </si>
  <si>
    <t>Transport Whoosh a.n Rinto Ditmet, Yuli Irawati</t>
  </si>
  <si>
    <t>Pembayaran Sewa Mobil Terios BM 1697 QI Selama 7 Hari a.n Achmad Bayhaqi, Yuli Irawati</t>
  </si>
  <si>
    <t>PPh 2% Pembayaran Sewa Mobil Terios BM 1697 QI Selama 7 Hari a.n Achmad Bayhaqi, Yuli Irawati</t>
  </si>
  <si>
    <t>Biaya Transfer, Yuli Irawati</t>
  </si>
  <si>
    <t>Hotel a.n Achmad Bayhaqi, Yuli Irawati</t>
  </si>
  <si>
    <t>BSK251003</t>
  </si>
  <si>
    <t>Makan Lembur TGI (Hetti), Eko Waluyo</t>
  </si>
  <si>
    <t>BSK251004</t>
  </si>
  <si>
    <t>Transport BBM, M.Rahman</t>
  </si>
  <si>
    <t>Makan (Rahman,Rizal), M.Rahman</t>
  </si>
  <si>
    <t>BSK251011</t>
  </si>
  <si>
    <t>Transport GoRide, Yuanita Dhia A</t>
  </si>
  <si>
    <t>Transport GoCar, Yuanita Dhia A</t>
  </si>
  <si>
    <t>Transport LRT, Yuanita Dhia A</t>
  </si>
  <si>
    <t>Transport Toll, Yuanita Dhia A</t>
  </si>
  <si>
    <t>BSK251016</t>
  </si>
  <si>
    <t>Transport Rumah - Bandara (PP), Arief Budiman</t>
  </si>
  <si>
    <t>Transfer Antar Bank, Arief Budiman</t>
  </si>
  <si>
    <t>BSK251023</t>
  </si>
  <si>
    <t>Pembayaran Ansuransi Perjalanan Ke Luar Negeri (Schengen) a.n Edy Nurhamid Amin OP202505001017 CV.Gewinner Expert Indonesia</t>
  </si>
  <si>
    <t>Pembayaran Ansuransi Perjalanan Ke Luar Negeri (Schengen) a.n Fentarie Gumilang OP202505001018 CV.Gewinner Expert Indonesia</t>
  </si>
  <si>
    <t>Pembayaran Ansuransi Perjalanan Ke Luar Negeri (Schengen) a.n Tirtonoto OP202505001021 CV.Gewinner Expert Indonesia</t>
  </si>
  <si>
    <t>Pembayaran Ansuransi Perjalanan Ke Luar Negeri (Schengen) a.n Herosobroto OP202505001022 CV.Gewinner Expert Indonesia</t>
  </si>
  <si>
    <t>Pembayaran Ansuransi Perjalanan Ke Luar Negeri (Schengen) a.n Muhamad Rinto OP202505001020 CV.Gewinner Expert Indonesia</t>
  </si>
  <si>
    <t>Pembayaran Ansuransi Perjalanan Ke Luar Negeri (Schengen) a.n Fadjar Tri Ananda OP202505001019 CV.Gewinner Expert Indonesia</t>
  </si>
  <si>
    <t>Lebih Bayar Pembayaran Ansuransi Perjalanan Ke Luar Negeri (Schengen) a.n Fadjar Tri Ananda OP202505001019 CV.Gewinner Expert Indonesia</t>
  </si>
  <si>
    <t>BSK251031</t>
  </si>
  <si>
    <t>KSM23P036,KSM24P085 &amp; KSM24P047</t>
  </si>
  <si>
    <t>Pembayaran Sewa Alat Decade Resistance Box @ 28 Hari, Muchtar FA</t>
  </si>
  <si>
    <t>PPh 2% Pembayaran Sewa Alat Decade Resistance Box @ 28 Hari, Muchtar FA</t>
  </si>
  <si>
    <t>BSK251049</t>
  </si>
  <si>
    <t>Makan Lembur TGI (Rizal,Aditya,Anjani), Eko Waluyo</t>
  </si>
  <si>
    <t>BSK251056b</t>
  </si>
  <si>
    <t>Pembelian Perlengkapan Safety Raka Coverall Safety Lapangan @ 13 Pcs Inv.3456734CH9XGDF (Fee), Achmad Rizal Mubarrak</t>
  </si>
  <si>
    <t>BSK251059</t>
  </si>
  <si>
    <t>Biaya Cetak Rekening Koran (Keperluan Visa), Achmad Bayhaqi</t>
  </si>
  <si>
    <t>Biaya Transfer, Achmad Bayhaqi</t>
  </si>
  <si>
    <t>BSK251080</t>
  </si>
  <si>
    <t>Pembayaran Pengurusan Visa @ 9 Org a,n (Edy Nurhamid Amin,Hadiah Tri Novianti,Sigit Indra,Istri,Achmad Bayhaqi,Rinto,Fetarie,Istri &amp; Anak), Yuli Irawati</t>
  </si>
  <si>
    <t>BSK251090</t>
  </si>
  <si>
    <t>Makan Lembur Duri (Diva,Amry), Eko Waluyo</t>
  </si>
  <si>
    <t>BSK251098</t>
  </si>
  <si>
    <t>Transport Rumah-Bandara (PP), Achmad Rizal Mubarrak</t>
  </si>
  <si>
    <t>Transport Grab, Achmad Rizal Mubarrak</t>
  </si>
  <si>
    <t>Transport BBM, Achmad Rizal Mubarrak</t>
  </si>
  <si>
    <t>Makan (TGI Hydro,TGI Duri Kalibrasi,Migas), Achmad Rizal Mubarrak</t>
  </si>
  <si>
    <t>Transport Toll, Achmad Rizal Mubarrak</t>
  </si>
  <si>
    <t>Pembelian Oleh-Oleh Untuk (Migas), Achmad Rizal Mubarrak</t>
  </si>
  <si>
    <t>Laundry, Achmad Rizal Mubarrak</t>
  </si>
  <si>
    <t>BSK251126</t>
  </si>
  <si>
    <t>BSK251146</t>
  </si>
  <si>
    <t>Makan Lembur TGI (Bayu,Bayhaqi), Eko Waluyo</t>
  </si>
  <si>
    <t>BSK251158</t>
  </si>
  <si>
    <t>Pembayaran Pengiriman Barang Ke Pekanbaru Inv.SPX-1279, CV.Sarana Pratama Expressindo</t>
  </si>
  <si>
    <t>PPh 2% Pembayaran Pengiriman Barang Ke Pekanbaru Inv.SPX-1279, CV.Sarana Pratama Expressindo</t>
  </si>
  <si>
    <t>Pembayaran Pengiriman Barang Ke Pekanbaru Inv.SPX-1281, CV.Sarana Pratama Expressindo</t>
  </si>
  <si>
    <t>PPh 2% Pembayaran Pengiriman Barang Ke Pekanbaru Inv.SPX-1281, CV.Sarana Pratama Expressindo</t>
  </si>
  <si>
    <t>Pembayaran Pengiriman Barang Dari Pekanbaru Ke KSM Inv.SPX-1282, CV.Sarana Pratama Expressindo</t>
  </si>
  <si>
    <t>PPh 2% Pembayaran Pengiriman Barang Dari Pekanbaru Ke KSM Inv.SPX-1282, CV.Sarana Pratama Expressindo</t>
  </si>
  <si>
    <t>BSK251172</t>
  </si>
  <si>
    <t>Makan Lembur TGI (Anjani,Isna,Hetty), Eko Waluyo</t>
  </si>
  <si>
    <t>BSK251286</t>
  </si>
  <si>
    <t>Makan Lembur (Hetty), Eko Waluyo</t>
  </si>
  <si>
    <t>BSK251307</t>
  </si>
  <si>
    <t>Pembayaran Shipment P1 PO 25038 Inv.0171, PT.Kartika Eka Yudha Maritim</t>
  </si>
  <si>
    <t>PPN Pembayaran Shipment P1 PO 25038 Inv.0171 (040.004-25.88414546), PT.Kartika Eka Yudha Maritim</t>
  </si>
  <si>
    <t>PPh 2% Pembayaran Shipment P1 PO 25038 Inv.0171, PT.Kartika Eka Yudha Maritim</t>
  </si>
  <si>
    <t>Pembayaran Shipment P2 PO 25038 Inv.0124, PT.Kartika Eka Yudha Maritim</t>
  </si>
  <si>
    <t>PPN Pembayaran Shipment P2 PO 25038 Inv.0124 (050.004-25.88414547), PT.Kartika Eka Yudha Maritim</t>
  </si>
  <si>
    <t>PPh 2% Pembayaran Shipment P2 PO 25038 Inv.0124, PT.Kartika Eka Yudha Maritim</t>
  </si>
  <si>
    <t>Pembayaran Warehouse Cost PO 25038 Inv.0122, PT.Kartika Eka Yudha Maritim</t>
  </si>
  <si>
    <t>PPN Pembayaran Warehouse Cost PO 25038 Inv.0122 (04002500092748483), PT.Kartika Eka Yudha Maritim</t>
  </si>
  <si>
    <t>PPh 2% Pembayaran Warehouse Cost PO 25038 Inv.0122, PT.Kartika Eka Yudha Maritim</t>
  </si>
  <si>
    <t>KSM24P085</t>
  </si>
  <si>
    <t>Transport FAT EUR 38.000 @ 17.000, Nabila Assalamah</t>
  </si>
  <si>
    <t>Transport FAT, Nabila Assalamah</t>
  </si>
  <si>
    <t>Biaya Transfer, Nabila Assalamah</t>
  </si>
  <si>
    <t>B240574</t>
  </si>
  <si>
    <t>Pembuatan Jaminan Pelaksanaan Pengadaan USM Stasiun Metering Petrokimia Gresik Inv.68 Christine Ramadhany</t>
  </si>
  <si>
    <t>Biaya Transfer Christine Ramadhany</t>
  </si>
  <si>
    <t>B240580</t>
  </si>
  <si>
    <t>Makan Lembur (Nabila &amp; Tirto), Eko Waluyo</t>
  </si>
  <si>
    <t>B240744</t>
  </si>
  <si>
    <t>B240782</t>
  </si>
  <si>
    <t>Transport Taksi, Achmad Bayhaqy</t>
  </si>
  <si>
    <t>Transport Toll, Achmad Bayhaqy</t>
  </si>
  <si>
    <t>Transport GoCar, Achmad Bayhaqy</t>
  </si>
  <si>
    <t>B240795</t>
  </si>
  <si>
    <t>Pembayaran PO 24344 Inv. S000012001-1 USD 557,10 @ 16.375, Wika Instrumentation Pte Ltd</t>
  </si>
  <si>
    <t>Biaya Transfer USD 25 @ 16.375, Wika Instrumentation Pte Ltd</t>
  </si>
  <si>
    <t>B240801</t>
  </si>
  <si>
    <t>Pembayaran Transport Uang Harian Petugas (Jerman) @ 1 Org x 9 Hari No. DL-P-24-041 USD 3.091,20 @ 16.315, Kementerian Perdagangan</t>
  </si>
  <si>
    <t>BM240031</t>
  </si>
  <si>
    <t>Pembayaran Penerbitan Garansi Bank Jaminan Pelaksanaan Pelaksanaan Ultrasonic Flow Meter (USM) Stasiun Metering Petrokimia Gresik PT. Pertamina Gas, Mandiri Cabang Jakarta Mid Plaza</t>
  </si>
  <si>
    <t>Biaya Materai</t>
  </si>
  <si>
    <t>BS240686</t>
  </si>
  <si>
    <t>Hotel a.n Fajar Andik Cahyono, Rizqi Aulia</t>
  </si>
  <si>
    <t>Transport Ticket Pesawat a.n Fajar Andik C,Slamet Ramdani,Sunadi &amp; Agus Mulyana, Rizqi Aulia</t>
  </si>
  <si>
    <t>Transport Ticket Pesawat a.n Fajar Andik C,Dio Nesta H,Agung Sulistyono &amp; Amry Fajar, Rizqi Aulia</t>
  </si>
  <si>
    <t>Makan Lembur Isna (Pertagas), Eko Waluyo</t>
  </si>
  <si>
    <t>BS240946</t>
  </si>
  <si>
    <t>EX UMK Dio Nesta</t>
  </si>
  <si>
    <t>Transport BBM (Survei), Dio Nesta</t>
  </si>
  <si>
    <t>Transport Toll (Survei), Dio Nesta</t>
  </si>
  <si>
    <t>Transport GoCar (Survei), Dio Nesta</t>
  </si>
  <si>
    <t>Transport Taxi (Survei), Dio Nesta</t>
  </si>
  <si>
    <t>Transport Parkir (Survei), Dio Nesta</t>
  </si>
  <si>
    <t>Makan Dio, Fajar, Irwan Pertagas, Aep Pertagas, Dio Nesta</t>
  </si>
  <si>
    <t>Peralatan (Helm Safety &amp; Sarung Tangan), Dio Nesta</t>
  </si>
  <si>
    <t>BS240956</t>
  </si>
  <si>
    <t>Pembayaran DP 50% PO 24292 Inv. 175, PT. Hanang Gema Instrument</t>
  </si>
  <si>
    <t>PPN 11% Pembayaran DP 50% PO 24292 Inv. 175, PT. Hanang Gema Instrument</t>
  </si>
  <si>
    <t>Biaya Transfer, PT. Hanang Gema Instrument</t>
  </si>
  <si>
    <t>BS241226</t>
  </si>
  <si>
    <t>Pembayaran PO 24293 Inv. 120/P.INV/DP/SS/24, PT. Siwali Swantika</t>
  </si>
  <si>
    <t>PPN 11% Pembayaran PO 24293 Inv. 120/P.INV/DP/SS/24, PT. Siwali Swantika</t>
  </si>
  <si>
    <t>Biaya Transfer, PT. Siwali Swantika</t>
  </si>
  <si>
    <t>BS241259</t>
  </si>
  <si>
    <t>BS241368</t>
  </si>
  <si>
    <t>BS241374</t>
  </si>
  <si>
    <t>Transport Pembuatan Paspor a.n Bayhaqy, Rizqi Aulia</t>
  </si>
  <si>
    <t>Biaya Transfer Transport Pembuatan Paspor a.n Bayhaqy, Rizqi Aulia</t>
  </si>
  <si>
    <t>BS241435</t>
  </si>
  <si>
    <t>BS241450</t>
  </si>
  <si>
    <t>Transport Pesawat a.n Dimas, Hidayatus, Aditya, Nabila, Yudi dan Agung Inv. 2024, PT. Mulia Sujar Abadi</t>
  </si>
  <si>
    <t>Biaya Transport, PT. Mulia Sujar Abadi</t>
  </si>
  <si>
    <t>BS241494</t>
  </si>
  <si>
    <t>Makan Lembur KSM24P085 (Nabila), Eko</t>
  </si>
  <si>
    <t>BS241522</t>
  </si>
  <si>
    <t>Bea Masuk PO 24344</t>
  </si>
  <si>
    <t>PPN Import PO 24344</t>
  </si>
  <si>
    <t>Pembayaran Shipment PO 24344 Inv. D000352664</t>
  </si>
  <si>
    <t>PPN 11% Pembayaran Shipment PO 24344 Inv. D000352664</t>
  </si>
  <si>
    <t>PPh 2% Pembayaran Shipment PO 24344 Inv. D000352664</t>
  </si>
  <si>
    <t>Lebih Bayar PPh 2% Pembayaran Shipment PO 24344 Inv. D000352664</t>
  </si>
  <si>
    <t>Transport Ticket Pesawat a.n Fajar Andik,Dio Nesta &amp; Amry Fajar, Rizqi Aulia</t>
  </si>
  <si>
    <t>Makan Lembur (Dara), Eko Waluyo</t>
  </si>
  <si>
    <t>BSI240100</t>
  </si>
  <si>
    <t>Sewa Kendaraan Mobil Inova Reborn L 1770 ACX, Rizqi Aulia</t>
  </si>
  <si>
    <t>PPh 2% Sewa Kendaraan Mobil Inova Reborn L 1770 ACX, Rizqi Aulia</t>
  </si>
  <si>
    <t>Makan Lembur (Dara &amp; Andre), Eko Waluyo</t>
  </si>
  <si>
    <t>BSI240121</t>
  </si>
  <si>
    <t>Makan Lembur PKG (Andre), Eko Waluyo</t>
  </si>
  <si>
    <t>KK250118</t>
  </si>
  <si>
    <t>UMK a.n Agung Sulistyono (PettyCash), Moura</t>
  </si>
  <si>
    <t>KK250126</t>
  </si>
  <si>
    <t>Deposit Penginapan a.n Fajar Andik</t>
  </si>
  <si>
    <t>KM250025</t>
  </si>
  <si>
    <t>Transport Gocar, Agung Sulistyono</t>
  </si>
  <si>
    <t>Makan dan Minum, Agung Sulistyono</t>
  </si>
  <si>
    <t>KK250140</t>
  </si>
  <si>
    <t>Transport Toll a.n Fajar Andik</t>
  </si>
  <si>
    <t>Transport BBM a.n Fajar Andik</t>
  </si>
  <si>
    <t>ATK (HVS @1Rim)</t>
  </si>
  <si>
    <t>Sparepart Mobil (Tambah Angin Nitrogen) a.n Fajar Andik</t>
  </si>
  <si>
    <t>KK250141</t>
  </si>
  <si>
    <t>Sewa Mobil Agung &amp; Ditmet @ 3 Hari, Yuli Irawati</t>
  </si>
  <si>
    <t>PPh 2% Sewa Mobil Agung &amp; Ditmet @ 3 Hari, Yuli Irawati</t>
  </si>
  <si>
    <t>KK250142</t>
  </si>
  <si>
    <t>KK250143</t>
  </si>
  <si>
    <t xml:space="preserve">KSM24P085 </t>
  </si>
  <si>
    <t xml:space="preserve">Transport BBM a.n Fajar Andik, Moura </t>
  </si>
  <si>
    <t xml:space="preserve">Transport Toll a.n Fajar Andik, Moura </t>
  </si>
  <si>
    <t>BK250026</t>
  </si>
  <si>
    <t>Pembayaran PNBP UTTP Meter Gas Ultrasonik No. P-1058-12-2024</t>
  </si>
  <si>
    <t>BK250045</t>
  </si>
  <si>
    <t>PPN Import PO 24347,24261,24350 Direktorat Jenderal Bea &amp; Cukai</t>
  </si>
  <si>
    <t>BK250054</t>
  </si>
  <si>
    <t>Pembayaran PO 24251 Inv. 11A14-25367 EUR 54.750,56 @ 17.439, RMG Messtechnik GmbH</t>
  </si>
  <si>
    <t>Biaya Transfer USD 35 @ 16.535</t>
  </si>
  <si>
    <t>BSK250029</t>
  </si>
  <si>
    <t>Transport KCIC a.n Yudi Risman Hadiyanto, Adinda Naufianti</t>
  </si>
  <si>
    <t>BSK250052</t>
  </si>
  <si>
    <t>Pembayaran Pelunasan 70% PO 24293 Inv. 5/P.INV/BP/SS/25, PT. Siwali Swantika</t>
  </si>
  <si>
    <t>PPN 11% Pembayaran Pelunasan 70% PO 24293 Inv. 5/P.INV/BP/SS/25, PT. Siwali Swantika</t>
  </si>
  <si>
    <t>BSK250056</t>
  </si>
  <si>
    <t>Pembayaran Re-Schedule Tiket Pesawat a.n Hadiyanto, Yuda Risman Inv. INV/2025/0002, PT. Mulia Sujar Abadi</t>
  </si>
  <si>
    <t>Biaya Transfer, PT. Mulia Sujar Abadi</t>
  </si>
  <si>
    <t>Makan Lembur KSM24P085 (Nabila, Anjani), Eko</t>
  </si>
  <si>
    <t>BSK250079</t>
  </si>
  <si>
    <t>Pembayaran Koordinasi Percepatan Pembuatan Visa, Nurjannah Luthfiyah</t>
  </si>
  <si>
    <t>BSK250083</t>
  </si>
  <si>
    <t>Pembayaran Koordinasi Pemilihan Seat, Anjani Dwi Syabani</t>
  </si>
  <si>
    <t>BSK250101</t>
  </si>
  <si>
    <t>Pembayaran Shipment PO 24344 Inv. JKTIR00817436, PT. Birotika Semesta</t>
  </si>
  <si>
    <t>PPN 1,1% Pembayaran Shipment PO 24344 Inv. JKTIR00817436, PT. Birotika Semesta</t>
  </si>
  <si>
    <t>PPh 2% Pembayaran Shipment PO 24344 Inv. JKTIR00817436, PT. Birotika Semesta</t>
  </si>
  <si>
    <t>Biaya Transfer, PT. Birotika Semesta</t>
  </si>
  <si>
    <t>BSK250108</t>
  </si>
  <si>
    <t>Pembayaran Rebooking Fee &amp; Upgrade a.n Nabila Assalamah &amp; Yudi Risman Inv. 0006, PT. Mulia Sujar Abadi</t>
  </si>
  <si>
    <t>BSK250121</t>
  </si>
  <si>
    <t>Transport Whoosh a.n Yudi Risman</t>
  </si>
  <si>
    <t>BSK250133</t>
  </si>
  <si>
    <t>Biaya Transport Toll Agung Sulistyono</t>
  </si>
  <si>
    <t>Biaya Transport BBM Agung Sulistyono</t>
  </si>
  <si>
    <t>Biaya Makan Agung Sulistyono</t>
  </si>
  <si>
    <t>BSK250140d</t>
  </si>
  <si>
    <t>BSM250016</t>
  </si>
  <si>
    <t>Biaya Toll Nabila</t>
  </si>
  <si>
    <t>Biaya Parkir Nabila</t>
  </si>
  <si>
    <t>Biaya BBM Nabila</t>
  </si>
  <si>
    <t>Biaya Makan Nabila dan Ibu Nurjannah Luthfiyah</t>
  </si>
  <si>
    <t>Cetak Plat Logo KSM</t>
  </si>
  <si>
    <t>Pembelian Souvenir FAT</t>
  </si>
  <si>
    <t>Biaya Transport Reschedule Pesawat a.n Pak Yudi</t>
  </si>
  <si>
    <t>Biaya Transport Visa @5 Pax</t>
  </si>
  <si>
    <t>Biaya Transport Visa Schengen Pak Yudi</t>
  </si>
  <si>
    <t>Biaya Transport Loket VFS @ 5 Pax</t>
  </si>
  <si>
    <t>Biaya Transport @ 5 Pax Visa Schengen</t>
  </si>
  <si>
    <t>Biaya Transport Bandara</t>
  </si>
  <si>
    <t>Biaya Terjemahan KK &amp; NIB Pertagas dan Asuransi @ 5 Pax</t>
  </si>
  <si>
    <t>BSK250163</t>
  </si>
  <si>
    <t>Makan Lembur KSM24P085 (Nabila, Anjani)</t>
  </si>
  <si>
    <t>BSK250180</t>
  </si>
  <si>
    <t>Pembayaran PO 25021 Inv. 61PIUI25 PT. Pipe Indonesia Utama</t>
  </si>
  <si>
    <t>PPN 11% Pembayaran PO 25021 Inv. 61PIUI25 PT. Pipe Indonesia Utama</t>
  </si>
  <si>
    <t>Biaya Transfer Pembayaran PO 25021 Inv. 61PIUI25 PT. Pipe Indonesia Utama</t>
  </si>
  <si>
    <t>BSK250187</t>
  </si>
  <si>
    <t>Pembayaran DP 30% PO 25022</t>
  </si>
  <si>
    <t>PPN 11% Pembayaran DP 30% PO 25022</t>
  </si>
  <si>
    <t>BSK250217</t>
  </si>
  <si>
    <t>Makan Lembur PKG (Arfa, Ikmal)</t>
  </si>
  <si>
    <t>BSK250269</t>
  </si>
  <si>
    <t>Makan dan Minum (Pak Agung KSM, Pak Irwan PGN, Pak Rizki PGN, Pak Dimas PGN dan Bu Saniya PGN)</t>
  </si>
  <si>
    <t>Makan Lembur Petrokimia (Nabila dan Anjani)</t>
  </si>
  <si>
    <t>BSK250325</t>
  </si>
  <si>
    <t>Pembayaran Pelunasan PO 25022, PT. Dwitama Sukses Mandiri</t>
  </si>
  <si>
    <t>PPN 11% Pembayaran Pelunasan PO 25022, PT. Dwitama Sukses Mandiri</t>
  </si>
  <si>
    <t>Biaya Transfer, PT. Dwitama Sukses Mandiri</t>
  </si>
  <si>
    <t>BSK250355</t>
  </si>
  <si>
    <t>BSK250375</t>
  </si>
  <si>
    <t xml:space="preserve">Pembayaran PO 25044 Inv. PI-CKR-2025-033, PT. Eonchemicals Putra </t>
  </si>
  <si>
    <t xml:space="preserve">PPN 11% Pembayaran PO 25044 Inv. PI-CKR-2025-033, PT. Eonchemicals Putra </t>
  </si>
  <si>
    <t>BSK250386</t>
  </si>
  <si>
    <t>Makan dan Minum (Anjani dan RMG)</t>
  </si>
  <si>
    <t>Makan Lembur KSM24P085 (Anjani, Nabila)</t>
  </si>
  <si>
    <t>BSK250404</t>
  </si>
  <si>
    <t>Material (Thermocouple @ 2 Pcs)</t>
  </si>
  <si>
    <t>BSK250445</t>
  </si>
  <si>
    <t>Pembayaran PNBP UTTP Meter Gas Ultrasonik No. T-2019-11-2024</t>
  </si>
  <si>
    <t>BSK250449</t>
  </si>
  <si>
    <t>Makan Lembur (Anjani, Bayhaqy, Tirto, Isna)</t>
  </si>
  <si>
    <t>Pembayaran PNBP UTTP Additel No. V-5478-02-2025</t>
  </si>
  <si>
    <t>BSK250473</t>
  </si>
  <si>
    <t>Transport Kereta Fajar Andik</t>
  </si>
  <si>
    <t>Hotel Fajar Andik</t>
  </si>
  <si>
    <t>Material (Tubing Connector)</t>
  </si>
  <si>
    <t>Administrasi Project</t>
  </si>
  <si>
    <t>BSK250500</t>
  </si>
  <si>
    <t>Pembayaran PO 25044 Inv.ECV-ARINV-019995, PT. Eonchemicals Putra</t>
  </si>
  <si>
    <t>PPN 11% Pembayaran PO 25044 Inv.ECV-ARINV-019995, PT. Eonchemicals Putra</t>
  </si>
  <si>
    <t>Transfer Antar Bank</t>
  </si>
  <si>
    <t>Pembayaran PNBP UTTP Additel No. K-4094-02-2025, Kementerian Perdagangan, Adinda Novianti Fadli</t>
  </si>
  <si>
    <t>BSM250073a</t>
  </si>
  <si>
    <t>Pengembalian Double Transfer Pembayaran PO 25044 Inv.ECV-ARINV-019995, PT. Eonchemicals Putra</t>
  </si>
  <si>
    <t>BSK250605</t>
  </si>
  <si>
    <t>Pembayaran Pelunasan 50% PO 24292 Inv.129 PT.Hanang Gema Instrument</t>
  </si>
  <si>
    <t>PPN 11% Pembayaran Pelunasan 50% PO 24292 Inv.129PT.Hanang Gema Instrument</t>
  </si>
  <si>
    <t>Transfer Antar Bank PT.Hanang Gema Instrument</t>
  </si>
  <si>
    <t>BSK250609</t>
  </si>
  <si>
    <t>Pembayaran DP 30% PO 25098 Inv.02/Inv/Ajp/III/2025 PT.Anita Jaya Perkasa</t>
  </si>
  <si>
    <t xml:space="preserve">PPN 11% Pembayaran DP 30% PO 25098 Inv.02/Inv/Ajp/III/2025 PT.Anita Jaya Perkasa </t>
  </si>
  <si>
    <t>PPH 2% Pembayaran DP 30% PO 25098 Inv.02/Inv/Ajp/III/2025 PT.Anita Jaya Perkasa</t>
  </si>
  <si>
    <t>Biaya Transfer PT.Anita Jaya Perkasa</t>
  </si>
  <si>
    <t>Transport Parkir Rudi Hartono</t>
  </si>
  <si>
    <t>Makan &amp; Minum (Rudi &amp; Angga Ditmet) Rudi Hartono</t>
  </si>
  <si>
    <t>Transport Tiket Pesawat a.n (Fajar Andik Cahyono dan Reli Nurfaiz) Adinda Novianti Fadli</t>
  </si>
  <si>
    <t>Hotel a.n (Fajar Andik Cahyono dan Reli Nurfaiz) Adinda Novianti Fadli</t>
  </si>
  <si>
    <t>Transport Toll a.n Fajar Andik Cahyono Adinda Novianti Fadli</t>
  </si>
  <si>
    <t>Transport Parkir a.n Fajar Andik Cahyono Adinda Novianti Fadli</t>
  </si>
  <si>
    <t>Transport BBM a.n Fajar Andik Cahyono Adinda Novianti Fadli</t>
  </si>
  <si>
    <t>Transport GoCar a.n Fajar Andik Cahyono Adinda Novianti Fadli</t>
  </si>
  <si>
    <t>Makan Bersama Team Pertagas a.n Fajar Andik Cahyono Adinda Novianti Fadli</t>
  </si>
  <si>
    <t>Pembayaran MCU a.n (Riski Ali,Junaedi,Achmad Basori,Sinu Afiat,Fandra,Sumedi,Supriadi,Fatchul,Abdul,Sultoni,Arif,Sutrisno,Hermawan) Adinda Novianti Fadli</t>
  </si>
  <si>
    <t>ATK (ID Card @ 19 Pcs dan Print) Adinda Novianti Fadli</t>
  </si>
  <si>
    <t>BSK250821</t>
  </si>
  <si>
    <t>Transport GoCar a.n Murdiyanto</t>
  </si>
  <si>
    <t>Makan Murdiyanto</t>
  </si>
  <si>
    <t>BSK250823</t>
  </si>
  <si>
    <t>Transport Gosend (Pengiriman Material) Ahmad Rizal</t>
  </si>
  <si>
    <t>ATK (Isolasi Kertas,Cutter,Isi Cutter,Isolasi Hitam,Testpen), Adinda Novianti Fadli</t>
  </si>
  <si>
    <t>Makan a.n Fajar Andik Cahyono Bersama Team Pertagas, Adinda Novianti Fadli</t>
  </si>
  <si>
    <t>Pembayaran Kalibrasi Max XTII Inv.132.25 PT.Buana Pandu Cahaya, Adinda Novianti Fadli</t>
  </si>
  <si>
    <t>PPN Pembayaran Kalibrasi Max XTII Inv.132.25 PT.Buana Pandu Cahaya, Adinda Novianti Fadli</t>
  </si>
  <si>
    <t>PPh 2% Pembayaran Kalibrasi Max XTII Inv.132.25 PT.Buana Pandu Cahaya, Adinda Novianti Fadli</t>
  </si>
  <si>
    <t>ATK (Print), Adinda Novianti Fadli</t>
  </si>
  <si>
    <t>Laundry a.n Fajar Andik Cahyono, Adinda Novianti Fadli</t>
  </si>
  <si>
    <t>ATK (Clip Board,Solasi,Pulpen,Spidol,Print Warna), Adinda Novianti Fadli</t>
  </si>
  <si>
    <t>HSE Reward (Botol Minum), Adinda Novianti Fadli</t>
  </si>
  <si>
    <t>Makan Lembur PKG (Arfa), Eko Waluyo</t>
  </si>
  <si>
    <t>Pembayaran Sewa Mobil Avanza Periode 20 April sd 20 Mei 2025 PT.Asy Transport Surabaya, Adinda Novianti Fadli</t>
  </si>
  <si>
    <t>PPh 2% Pembayaran Sewa Mobil Avanza Periode 202 April sd 20 Mei 2025 PT.Asy Transport Surabaya, Adinda Novianti Fadli</t>
  </si>
  <si>
    <t>Makan a.n Fajar Andik Bersama Team Pertagas, Adinda Novianti Fadli</t>
  </si>
  <si>
    <t>Material (Fort Skun) Adinda Novianti Fadli</t>
  </si>
  <si>
    <t>Foto Copy (Print Laminating) Adinda Novianti Fadli</t>
  </si>
  <si>
    <t>Shuttle (Kirim Barang Ke Surabaya) Adinda Novianti Fadli</t>
  </si>
  <si>
    <t>BSK250893</t>
  </si>
  <si>
    <t>Pembayaran Pelunasan PO 25098 Inv.04, CV.Anita Jaya Perkasa</t>
  </si>
  <si>
    <t>PPN Pembayaran Pelunasan PO 25098 Inv.04, CV.Anita Jaya Perkasa</t>
  </si>
  <si>
    <t>PPh 2% Pembayaran Pelunasan PO 25098 Inv.04, CV.Anita Jaya Perkasa</t>
  </si>
  <si>
    <t>Transfer Antar Bank, CV.Anita Jaya Perkasa</t>
  </si>
  <si>
    <t>BSK250896</t>
  </si>
  <si>
    <t>Material (Mata Bor,Oli Shock,Lakban,Kartu Accses), Adinda Novianti Fadli</t>
  </si>
  <si>
    <t>Pembayaran Transport Petugas Kota Surabaya Jawa Timur @ 1 Org x 4 Hari, Adinda Novianti Fadli</t>
  </si>
  <si>
    <t>Transport Tiket Whoosh Ditmet a.n Santi Retno Sasi, Adinda Novianti Fadli</t>
  </si>
  <si>
    <t>Pengiriman HJEX, Adinda Novianti Fadli</t>
  </si>
  <si>
    <t>Makan a.n Rudi Hartono Bersama Ditmet, Adinda Novianti Fadli</t>
  </si>
  <si>
    <t>Material (Kunci Pipa &amp; Kabel Roll), Adinda Novianti Fadli</t>
  </si>
  <si>
    <t>Jamuan Makan Team Pertagas, Adinda Novianti Fadli</t>
  </si>
  <si>
    <t>Makan a.n Agung Sulistyono Bersama Ditmet, Adinda Novianti Fadli</t>
  </si>
  <si>
    <t>Transport Wrapping Bagasi a.n Agung Sulistyono, Adinda Novianti Fadli</t>
  </si>
  <si>
    <t>Material (Kabel Roll,Kunci Pipa,Mata Bor,Fort Skun,Tespen,Isolasi,Cutter), Adinda Novianti Fadli</t>
  </si>
  <si>
    <t>Transport Pesawat a.n Achmad Bayhaqi,Fajar Andik Cahyono,Agung Sulistyono,Reli,Dio Nesta Herdiansyah,Santi &amp; Murdiyanto, BSI Hasanah Card</t>
  </si>
  <si>
    <t>Hotel a.n Agung Sulistyono, BSI Hasanah Card</t>
  </si>
  <si>
    <t>Makan Lembur (Yudi,Didin,Rafi), Eko Waluyo</t>
  </si>
  <si>
    <t>ATK (HVS @ 10 Rim), Adinda Novianti Fadli</t>
  </si>
  <si>
    <t>Transport GoCar a.n Agung Sulistyono, Adinda Novianti Fadli</t>
  </si>
  <si>
    <t>Transport GoCar a.n Dio Nesta Herdiansyah, Adinda Novianti Fadli</t>
  </si>
  <si>
    <t>Pengiriman HJEX dari Surabaya, Adinda Novianti Fadli</t>
  </si>
  <si>
    <t>Transport Tiket Pesawat a.n Achmad Bayhaqi, Adinda Novianti Fadli</t>
  </si>
  <si>
    <t>BSK250929</t>
  </si>
  <si>
    <t>Pembayaran PO 25126 Inv.250103697, PT.Putra Restu Ibu Abadi</t>
  </si>
  <si>
    <t>PPN Pembayaran PO 25126 Inv.250103697, PT.Putra Restu Ibu Abadi</t>
  </si>
  <si>
    <t>PPh 2% Pembayaran PO 25126 Inv.250103697, PT.Putra Restu Ibu Abadi</t>
  </si>
  <si>
    <t>Pembayaran PO 25126 Inv.250103698, PT.Putra Restu Ibu Abadi</t>
  </si>
  <si>
    <t>PPh 2% Pembayaran PO 25126 Inv.250103698, PT.Putra Restu Ibu Abadi</t>
  </si>
  <si>
    <t>Transfer Antar Bank, PT.Putra Restu Ibu Abadi</t>
  </si>
  <si>
    <t>BSK250967</t>
  </si>
  <si>
    <t>Transport BBM a.n Fajar Andik Cahyono, Yuli Irawati</t>
  </si>
  <si>
    <t>Transport Toll a.n Fajar Andik Cahyono, Yuli Irawati</t>
  </si>
  <si>
    <t>Makan Lembur PKG (Agung,Faishol,Arfa), Eko Waluyo</t>
  </si>
  <si>
    <t>BSK251081</t>
  </si>
  <si>
    <t>Pembayaran PNBP Meter Gas Orifice TU-4301-04-2025 Direktorat Metrologi, Yuli Irawati</t>
  </si>
  <si>
    <t>BSK251122</t>
  </si>
  <si>
    <t>ATK (WD), Yuli Irawati</t>
  </si>
  <si>
    <t>Transport a.n Nabila Assalamah Inv. 0055 PT. Mulia Sujar Abadi, Yuli Irawati</t>
  </si>
  <si>
    <t>BSM250100</t>
  </si>
  <si>
    <t>Penerimaan Dari Pengembalian Deposit Penginapan Apartement Surabaya a.n fajar Andik cahyono</t>
  </si>
  <si>
    <t>Pembayaran Utilities (Listrik &amp; Air) Penginapan Apartement Surabaya a.n fajar Andik cahyono</t>
  </si>
  <si>
    <t>Makan Lembur (Nabila), Eko Waluyo</t>
  </si>
  <si>
    <t>Makan Lembur PKG (Hisyam,Bayu,Alifia,Arfa), Eko Waluyo</t>
  </si>
  <si>
    <t>BSK251263</t>
  </si>
  <si>
    <t>Pembayaran Pengiriman Barang Gresik &amp; Bengkalis Inv.BBI-2025-001039 PT.Berkah Bersama Insani</t>
  </si>
  <si>
    <t>PPN Pembayaran Pengiriman Barang Gresik &amp; Bengkalis Inv.BBI-2025-001039 PT.Berkah Bersama Insani</t>
  </si>
  <si>
    <t>PPh 2% Pembayaran Pengiriman Barang Gresik &amp; Bengkalis Inv.BBI-2025-001039 PT.Berkah Bersama Insani</t>
  </si>
  <si>
    <t>BSK251292</t>
  </si>
  <si>
    <t>JNE (Pengiriman Dokumen), Savira Akmalia Putri</t>
  </si>
  <si>
    <t>KSM24P100</t>
  </si>
  <si>
    <t>Biaya Makan &amp; Minum Hadi</t>
  </si>
  <si>
    <t>Biaya Transport (Toll) Hadi</t>
  </si>
  <si>
    <t>Biaya Transport Pembongkaran Filter</t>
  </si>
  <si>
    <t>Bea Masuk PO 24240, Direktorat Jenderal Bea &amp; Cukai</t>
  </si>
  <si>
    <t>PPN Import PO 24240, Direktorat Jenderal Bea &amp; Cukai</t>
  </si>
  <si>
    <t>PPh Import PO 24240, Direktorat Jenderal Bea &amp; Cukai</t>
  </si>
  <si>
    <t>Bea Masuk PO 24326, Direktorat Jenderal Bea &amp; Cukai</t>
  </si>
  <si>
    <t>PPN Import PO 24326, Direktorat Jenderal Bea &amp; Cukai</t>
  </si>
  <si>
    <t>PPh Import PO 24326, Direktorat Jenderal Bea &amp; Cukai</t>
  </si>
  <si>
    <t>Biaya Transfer, Ghulam Murtadlo</t>
  </si>
  <si>
    <t>Makan Meeting (Hadi T,Murdiyanto,Rahman), Eko Waluyo</t>
  </si>
  <si>
    <t>B240604</t>
  </si>
  <si>
    <t>Makan, Faishol Aziz</t>
  </si>
  <si>
    <t>B240646</t>
  </si>
  <si>
    <t>Pembayaran DP 30% PO 24304 Inv. 24VIZA-S1106 USD 5.385 @ 16.095, Suzhou Viza Valve Co.,Ltd</t>
  </si>
  <si>
    <t>Biaya Transfer USD 25 @ 16.095, Suzhou Viza Valve Co.,Ltd</t>
  </si>
  <si>
    <t>B240690</t>
  </si>
  <si>
    <t>Pembayaran PO 24326 Inv. 202 USD 4.874,28 @ 15.995, Tormene Industiale</t>
  </si>
  <si>
    <t>Biaya Transfer USD 25 @ 15.995, Tormene Industiale</t>
  </si>
  <si>
    <t>B240697</t>
  </si>
  <si>
    <t>Pembayaran PO 24253 Inv. 189 USD 37.922,68 @ 16.055, Tormene Industiale Srl</t>
  </si>
  <si>
    <t>Biaya Transfer USD 25 @ 16.055, Tormene Industiale Srl</t>
  </si>
  <si>
    <t>B240740</t>
  </si>
  <si>
    <t>Pembayaran Pelunasan 70% PO 24306 Inv. 3S/INV/24-11/0622, PT. 3S International</t>
  </si>
  <si>
    <t>PPN 11% Pembayaran Pelunasan 70% PO 24306 Inv. 3S/INV/24-11/0622, PT. 3S International</t>
  </si>
  <si>
    <t>Biaya Transfer, PT. 3S International</t>
  </si>
  <si>
    <t>B240748</t>
  </si>
  <si>
    <t>Pembayaran Pembelian Gas Detector BW Alertmax XT II @ 1 Unit, Marine Maju Mandiri</t>
  </si>
  <si>
    <t>B240763</t>
  </si>
  <si>
    <t>Pembayaran PO 24240 Inv. 11A14-24656 EUR 10.730 @ 16.997, RMG Messtechnik GmbH</t>
  </si>
  <si>
    <t>Biaya Transfer EUR 35 @ 16.997, RMG Messtechnik GmbH</t>
  </si>
  <si>
    <t>B240765</t>
  </si>
  <si>
    <t>Pembayaran PO 24303 Inv. 8115458, PT. Bintang Global Services</t>
  </si>
  <si>
    <t>PPN 11% Pembayaran PO 24303 Inv. 8115458, PT. Bintang Global Services</t>
  </si>
  <si>
    <t>Biaya Transfer, PT. Bintang Global Services</t>
  </si>
  <si>
    <t>B240777</t>
  </si>
  <si>
    <t>Transport GoCar, Reli Nurfaiz</t>
  </si>
  <si>
    <t>Transport Toll, Reli Nurfaiz</t>
  </si>
  <si>
    <t>Transport BBM, Reli Nurfaiz</t>
  </si>
  <si>
    <t>Biaya Transfer, Reli Nurfaiz</t>
  </si>
  <si>
    <t>B240778</t>
  </si>
  <si>
    <t>Transport Toll, M. Rahman</t>
  </si>
  <si>
    <t>Transport BBM, M. Rahman</t>
  </si>
  <si>
    <t>Makan Rahman dan Tim PGAS, M. Rahman</t>
  </si>
  <si>
    <t>Biaya Transfer, M. Rahman</t>
  </si>
  <si>
    <t>B240786</t>
  </si>
  <si>
    <t>Makan Lembur Pondok Ungu (Heti), Eko Waluyo</t>
  </si>
  <si>
    <t>B240805</t>
  </si>
  <si>
    <t>Pembayaran PO 24283 Inv. 3S/INV/24-10/0597, PT. 3S International</t>
  </si>
  <si>
    <t>PPN 11% Pembayaran PO 24283 Inv. 3S/INV/24-10/0597, PT. 3S International</t>
  </si>
  <si>
    <t>BS240678a</t>
  </si>
  <si>
    <t>Pembayaran Penerbitan Garansi Bank Jaminan Pelaksanaan Pengadaan Barang &amp; Jasa Kontruksi Pekerjaan Perbaikan MRS Sektor Pondok Ungu No.451-A 022301 PT.Bank Syariah Indonesia Tbk</t>
  </si>
  <si>
    <t>BS240680</t>
  </si>
  <si>
    <t>Makan Lembur Pondok Ungu (Rizal,Agung,Amry), Eko Waluyo</t>
  </si>
  <si>
    <t>BS240764</t>
  </si>
  <si>
    <t>Makan Lembur Pondok Ungu (Agung Sulistyono), Eko Waluyo</t>
  </si>
  <si>
    <t>Makan Meeting Pondok Ungu (Agung Sulistyono), Eko Waluyo</t>
  </si>
  <si>
    <t>BS240784</t>
  </si>
  <si>
    <t>Pembayaran BPJS Ketenagakerjaan Pengadaan Barang Dan Jasa Konstruksi Pekerjaan Perbaikan MRS Sektor Pondok Ungu 1, BPJS Ketenagakerjaan</t>
  </si>
  <si>
    <t>Makan Lembur Amry (Pondok Ungu), Eko Waluyo</t>
  </si>
  <si>
    <t>BS240881</t>
  </si>
  <si>
    <t>Makan Tirto, Tirtonoto</t>
  </si>
  <si>
    <t>BS240904</t>
  </si>
  <si>
    <t>Pembayaran DP 50% PO 24242 Inv. 058, PT. Angka Teknik Sepadan</t>
  </si>
  <si>
    <t>PPN 11% Pembayaran DP 50% PO 24242 Inv. 058, PT. Angka Teknik Sepadan</t>
  </si>
  <si>
    <t>BS240941</t>
  </si>
  <si>
    <t>Makan Lembur Pondok Ungu, Eko Waluyo</t>
  </si>
  <si>
    <t>BS240961</t>
  </si>
  <si>
    <t>Transport Toll, Murdiyanto</t>
  </si>
  <si>
    <t>Transport GoCar, Murdiyanto</t>
  </si>
  <si>
    <t>Makan Murdiyanto, Mardhani dan Pak Yasir PGASol (Murdiyanto)</t>
  </si>
  <si>
    <t>BS241011</t>
  </si>
  <si>
    <t>Pembayaran Penerbitan Garansi Bank Jaminan Uang Muka Pengadaan barang dan Jasa Konstruksi Pekerjaan Perbaikan MRS Sektor Pondok Ungu 1 - PT PGAS Solution, PT. Jasa Mulya Abadi</t>
  </si>
  <si>
    <t>Transfer Antar Bank, PT. Jaya Mulya Abadi</t>
  </si>
  <si>
    <t>BS241065</t>
  </si>
  <si>
    <t>Hotel a.n Murdiyanto di Hotel Santika Premiere, Murdiyanto</t>
  </si>
  <si>
    <t>BS241092</t>
  </si>
  <si>
    <t xml:space="preserve">Makan Lembur Pondok Ungu, Eko Waluyo </t>
  </si>
  <si>
    <t>BS241126</t>
  </si>
  <si>
    <t>Transport Toll, M. Mustafidurrahman</t>
  </si>
  <si>
    <t>Transport BBM, M. Mustafidurrahman</t>
  </si>
  <si>
    <t>Transport Parkir, M. Mustafidurrahman</t>
  </si>
  <si>
    <t>Transport Gojek dan Maxim, M. Mustafidurrahman</t>
  </si>
  <si>
    <t>Transport PGN, M. Mustafidurrahman</t>
  </si>
  <si>
    <t>Makan dan Minum Rahman, Hadi, Yanek, Tim PGN dan Tim PGASol, M. Mustafidurrahman</t>
  </si>
  <si>
    <t>Material (Oli Shell), M. Mustafidurrahman</t>
  </si>
  <si>
    <t>Peralatan (Sarung Tangan, Kain Majun, Amplas, Gris, dan Kuas), M. Mustafidurrahman</t>
  </si>
  <si>
    <t>BS241135</t>
  </si>
  <si>
    <t>BS241160</t>
  </si>
  <si>
    <t>PPN Import PO 24253, Direktorat Jenderal Bea &amp; Cukai</t>
  </si>
  <si>
    <t>PPh Import PO 24253, Direktorat Jenderal Bea &amp; Cukai</t>
  </si>
  <si>
    <t>BS241173</t>
  </si>
  <si>
    <t>Pembayaran DP 30% PO 24318 Inv. 0501124, PT. Nurman Indoban Sentosa</t>
  </si>
  <si>
    <t>PPN 11% Pembayaran DP 30% PO 24318 Inv. 0501124, PT. Nurman Indoban Sentosa</t>
  </si>
  <si>
    <t>Biaya Transfer, PT. Nurman Indoban Sentosa</t>
  </si>
  <si>
    <t>BS241177</t>
  </si>
  <si>
    <t>Pembayaran DP 30% PO 24306 Inv. 3S/INV/24-10/0600, PT. 3S International</t>
  </si>
  <si>
    <t>PPN 11% Pembayaran DP 30% PO 24306 Inv. 3S/INV/24-10/0600, PT. 3S International</t>
  </si>
  <si>
    <t>BS241179</t>
  </si>
  <si>
    <t>Pembayaran Pelunasan 50% PO 24242 Inv. 073/PI-XI/ATS/2024, PT. Angka Teknik Sepadan</t>
  </si>
  <si>
    <t>PPN 11% Pembayaran Pelunasan 50% PO 24242 Inv. 073/PI-XI/ATS/2024, PT. Angka Teknik Sepadan</t>
  </si>
  <si>
    <t>Biaya Transfer, PT. Angka Teknik Sepadan</t>
  </si>
  <si>
    <t>BS241198</t>
  </si>
  <si>
    <t>Lalamove dari PGN Klender ke PT. Nurman Cikarang, Rizqi Aulia</t>
  </si>
  <si>
    <t>Makan Meeting Pondok Ungu, Eko Waluyo</t>
  </si>
  <si>
    <t>BS241204</t>
  </si>
  <si>
    <t>Transport BBM, Hadi Triyono</t>
  </si>
  <si>
    <t>Makan dan Minum, Hadi Triyono</t>
  </si>
  <si>
    <t>Transport Pemindahan Valve (Gudang Klender), Hadi Triyono</t>
  </si>
  <si>
    <t>Biaya Transfer, Hadi Triyono</t>
  </si>
  <si>
    <t>BS241233</t>
  </si>
  <si>
    <t>Makan Lembur Pondok Ungu (Amry Fajar), Eko Waluyo</t>
  </si>
  <si>
    <t>BS241285</t>
  </si>
  <si>
    <t>Pembayaran PO 24345 Inv. 155.INV.MRI.XI.24, PT. Mahkota Raja Indonesia</t>
  </si>
  <si>
    <t>PPN 11% Pembayaran PO 24345 Inv. 155.INV.MRI.XI.24, PT. Mahkota Raja Indonesia</t>
  </si>
  <si>
    <t>PPh 2% Pembayaran PO 24345 Inv. 155.INV.MRI.XI.24, PT. Mahkota Raja Indonesia</t>
  </si>
  <si>
    <t>Biaya Transfer, PT. Mahkota Raja Indonesia</t>
  </si>
  <si>
    <t>Makan Lembur Pondok Ungu (Amry, Heti), Eko Waluyo</t>
  </si>
  <si>
    <t>BS241347</t>
  </si>
  <si>
    <t>BS241351</t>
  </si>
  <si>
    <t>BS241352</t>
  </si>
  <si>
    <t>Pembelian Electric MCB 16A, Rizqi Aulia</t>
  </si>
  <si>
    <t>BS241421</t>
  </si>
  <si>
    <t>Makan Lembur Pondok Ungu (Heti, Agung, Faishol, Dio, Cindy, Amry), Eko Waluyo</t>
  </si>
  <si>
    <t>Makan Meeting Pondok Ungu (Tirto), Eko Waluyo</t>
  </si>
  <si>
    <t>Makan Lembur Pondok Ungu (Amry, Agung, Ilham, Dani), Eko</t>
  </si>
  <si>
    <t>BS241495</t>
  </si>
  <si>
    <t>Transport GoRide, Mardhani Cahyanto</t>
  </si>
  <si>
    <t>Transport InDrive, Mardhani Cahyanto</t>
  </si>
  <si>
    <t>Transport Toll, Mardhani Cahyanto</t>
  </si>
  <si>
    <t>Makan Lembur (Rahman), Eko Waluyo</t>
  </si>
  <si>
    <t>BSI240108</t>
  </si>
  <si>
    <t>Transport Toll, M.Rahman</t>
  </si>
  <si>
    <t>Makan (Rahman,Amry,Yasir,Heri,Etanto &amp; Driver), M.Rahman</t>
  </si>
  <si>
    <t>BSI240109</t>
  </si>
  <si>
    <t>Makan, Hadi Triyono</t>
  </si>
  <si>
    <t>Transport Toll, Hadi Triyono</t>
  </si>
  <si>
    <t>Makan Lembur (Rizal &amp; Agung Sulistyono), Eko Waluyo</t>
  </si>
  <si>
    <t>KK250044</t>
  </si>
  <si>
    <t>PPN Import PO 24304, Direktorat Jenderal Bea &amp; Cukai</t>
  </si>
  <si>
    <t>PPh Import PO 24304, Direktorat Jenderal Bea &amp; Cukai</t>
  </si>
  <si>
    <t>KK250045</t>
  </si>
  <si>
    <t>Sumbangan Untuk Bpk. Abdul Rohman dan Ibu Layyinatus Munawaroh (Ditmet), Rudi Hartono</t>
  </si>
  <si>
    <t>KK250048g</t>
  </si>
  <si>
    <t>Pembayaran Medical Check Up a.n Anjani Dwi Syabani, Anjani Dwi Syabani (F)</t>
  </si>
  <si>
    <t>Wifi Dirkit Pondok Ungu, Yuli Irawati</t>
  </si>
  <si>
    <t>Listrik Dirkit Pondok Ungu, Yuli Irawati</t>
  </si>
  <si>
    <t>KK250145</t>
  </si>
  <si>
    <t>Material Pondok Ungu (Marker Post)</t>
  </si>
  <si>
    <t>Biaya Transfer Material Pondok Ungu (Marker Post)</t>
  </si>
  <si>
    <t>KK250147</t>
  </si>
  <si>
    <t>Peralatan (V-Gen SSD Portable 256GB), Adinda Naufianti</t>
  </si>
  <si>
    <t xml:space="preserve">Material Lapangan (Marker Post), Moura </t>
  </si>
  <si>
    <t>ATK (Bantex @5), Moura</t>
  </si>
  <si>
    <t>KK250151</t>
  </si>
  <si>
    <t>Lalamove Kirim Marker Post Ke Jargas Pondok Ungu,  Yuli Irawati</t>
  </si>
  <si>
    <t>Transfer Antar Bank,  Yuli Irawati</t>
  </si>
  <si>
    <t xml:space="preserve">Makan dan Minum (Minum PGASOL Urus Dokumen), Moura  </t>
  </si>
  <si>
    <t>KK250165</t>
  </si>
  <si>
    <t>Lalamove Pengambilan Marker Post Pondok Ungu, Salisah</t>
  </si>
  <si>
    <t>Biaya Transfer, Salisah</t>
  </si>
  <si>
    <t>KK250176</t>
  </si>
  <si>
    <t>Pembayaran Thickness Filter &amp; Dismantling Jargas Pondok Ungu, Rizqi Aulia</t>
  </si>
  <si>
    <t>KK250188</t>
  </si>
  <si>
    <t>Fee</t>
  </si>
  <si>
    <t>BK250010</t>
  </si>
  <si>
    <t xml:space="preserve">Pembayaran Pelunasan 70% PO 24304 Inv. 25VIZA-S0113 USD 12.565 @16.490, Suzhou Viza Valve Co., Ltd </t>
  </si>
  <si>
    <t xml:space="preserve">Biaya Transfer USD 25 @16.490, Suzhou Viza Valve Co., Ltd </t>
  </si>
  <si>
    <t>Pembayaran PNBP UTTP Meter Gas Turbin No. T-2205-01-2025 Kementerian Perdagangan</t>
  </si>
  <si>
    <t>Transport BBM a.n Rudi Hartono</t>
  </si>
  <si>
    <t>Makan a.n Leo dan Dimet</t>
  </si>
  <si>
    <t>Transport Bluebird a.n Rudi Hartono</t>
  </si>
  <si>
    <t>Lounge Access a.n Rudi dan Ditmet</t>
  </si>
  <si>
    <t>Biaya Transfer Lounge Access a.n Rudi dan Ditmet</t>
  </si>
  <si>
    <t>Deposit Hotel a.n Rudi Hartono</t>
  </si>
  <si>
    <t>Biaya Transfer Deposit Hotel a.n Rudi Hartono</t>
  </si>
  <si>
    <t>BK250060a</t>
  </si>
  <si>
    <t>Pembayaran PO 25020 Inv.3S/INV/25-02/075 PT.3S International</t>
  </si>
  <si>
    <t>PPN 11% Pembayaran PO 25020 Inv.3S/INV/25-02/075 PT.3S International</t>
  </si>
  <si>
    <t>Transfer Antar Bank PT.3S International</t>
  </si>
  <si>
    <t>Makan Meeting CSMS Pondok Ungu (Dio), Eko</t>
  </si>
  <si>
    <t>Makan Lembur Pondok Ungu (Amry, Dani, Hety), Eko</t>
  </si>
  <si>
    <t>Lalamove Kalibrasi Pondok Ungu PT KSM - Heksa Instrumen, Adinda Naufianti</t>
  </si>
  <si>
    <t>Makan Lembur Pondok Ungu (Amry, Bay), Eko</t>
  </si>
  <si>
    <t>Makan Meeting Pondok Ungu (Amry), Eko</t>
  </si>
  <si>
    <t>BSK250114</t>
  </si>
  <si>
    <t>Pembayaran PO 24423 Inv. 25/HIS/INV/I/0030, PT. Heksa Instrumen Sinergi</t>
  </si>
  <si>
    <t>PPN 11% Pembayaran PO 24423 Inv. 25/HIS/INV/I/0030, PT. Heksa Instrumen Sinergi</t>
  </si>
  <si>
    <t>PPh 2% Pembayaran PO 24423 Inv. 25/HIS/INV/I/0030, PT. Heksa Instrumen Sinergi</t>
  </si>
  <si>
    <t>Biaya Transfer, PT. Heksa Instrumen Sinergi</t>
  </si>
  <si>
    <t>Lalamove dari Heksa Instrumen</t>
  </si>
  <si>
    <t>Biaya Makan Lembur Pondok Ungu (Cindy,Hetty,Ilham,Tirto,Bay)</t>
  </si>
  <si>
    <t xml:space="preserve">Biaya Makan Meeting Pondok Ungu (Rahman) </t>
  </si>
  <si>
    <t>BSK250136</t>
  </si>
  <si>
    <t>Biaya Makan Dio Nesta dengan Tim PGN dan PGAS Solution</t>
  </si>
  <si>
    <t>Biaya Transport Toll Dio Nesta</t>
  </si>
  <si>
    <t>Biaya Peralatan (Kacamata Safety,Sarung Tangan Safety,Rompi)</t>
  </si>
  <si>
    <t>Pembelian Spanduk</t>
  </si>
  <si>
    <t>Pemberian Kepada Tim PGAS yang membantu pelepasan Spool PSV</t>
  </si>
  <si>
    <t>BSK250138</t>
  </si>
  <si>
    <t>UMK Rudi Hartono</t>
  </si>
  <si>
    <t>Biaya Transfer UMK Rudi Hartono</t>
  </si>
  <si>
    <t>BSK250140e</t>
  </si>
  <si>
    <t>BSK250144</t>
  </si>
  <si>
    <t>Sewa Kendaraan Mobil Rocky BP 1958 GJ Selama 2 hari</t>
  </si>
  <si>
    <t>PPh 2% Sewa Kendaraan Mobil Rocky BP 1958 GJ Selama 2 hari</t>
  </si>
  <si>
    <t>Biaya Transfer Sewa Kendaraan Mobil Rocky BP 1958 GJ Selama 2 hari</t>
  </si>
  <si>
    <t>Makan Lembur Pondok Ungu (amry, Rahman)</t>
  </si>
  <si>
    <t>Makan Lembur Pondok Ungu (Amry)</t>
  </si>
  <si>
    <t>BSK250165</t>
  </si>
  <si>
    <t>Transport Gocar</t>
  </si>
  <si>
    <t>Transport Toll dan Parkir</t>
  </si>
  <si>
    <t>Makan dan Minum</t>
  </si>
  <si>
    <t>BSK250179</t>
  </si>
  <si>
    <t>Transport Toll</t>
  </si>
  <si>
    <t>Transport BBM</t>
  </si>
  <si>
    <t>BSK250199</t>
  </si>
  <si>
    <t>Transport Taxi</t>
  </si>
  <si>
    <t>Peralatan (Majun dan Kertas)</t>
  </si>
  <si>
    <t>Hotel Upgrade</t>
  </si>
  <si>
    <t>Makan dan Minum (Rudi, Ditmet, PGAS, PGN</t>
  </si>
  <si>
    <t>BSK250213</t>
  </si>
  <si>
    <t>Transport Toll Mustafidurrahman</t>
  </si>
  <si>
    <t>Transport BBM Mustafidurrahman</t>
  </si>
  <si>
    <t>Transport Parkir Mustafidurrahman</t>
  </si>
  <si>
    <t>Transport Gojek Mustafidurrahman</t>
  </si>
  <si>
    <t>Makan Meeting Pondok Ungu (Rahman)</t>
  </si>
  <si>
    <t>BSK250227</t>
  </si>
  <si>
    <t>Makan a.n Rudi Hartono dan Ditmet</t>
  </si>
  <si>
    <t>Pembelian Oleh-oleh Ditmet</t>
  </si>
  <si>
    <t>Biaya Transfer Pembelian Oleh-oleh Ditmet</t>
  </si>
  <si>
    <t>Pembayaran Sewa Kendaraan Mobil Xenia Periode 30/01/25 - 01/02/25</t>
  </si>
  <si>
    <t>PPh 2% Pembayaran Sewa Kendaraan Mobil Xenia Periode 30/01/25 - 01/02/25</t>
  </si>
  <si>
    <t>Biaya Transfer Pembayaran Sewa Kendaraan Mobil Xenia Periode 30/01/25 - 01/02/25</t>
  </si>
  <si>
    <t>Biaya Transfer Makan a.n Rudi Hartono dan Ditmet</t>
  </si>
  <si>
    <t>BSK250232</t>
  </si>
  <si>
    <t>Pembayaran PO 25030 Inv. P1/133/II/2025</t>
  </si>
  <si>
    <t>PPN 11% Pembayaran PO 25030 Inv. P1/133/II/2025</t>
  </si>
  <si>
    <t>BSK250233</t>
  </si>
  <si>
    <t>Pembayaran Term II PO 24318 Inv. 0020125</t>
  </si>
  <si>
    <t>PPN 11% Pembayaran Term II PO 24318 Inv. 0020125</t>
  </si>
  <si>
    <t>PPh 2% Pembayaran Term II PO 24318 Inv. 0020125</t>
  </si>
  <si>
    <t>BSK250267</t>
  </si>
  <si>
    <t>Makan dan Minum (Rahman, Arief, Orang Gudang, PGN, Pgasol)</t>
  </si>
  <si>
    <t>BSK250284</t>
  </si>
  <si>
    <t>Transport Taxi Rudi Hartono</t>
  </si>
  <si>
    <t>Peralatan (Kapas, Laurier, Pepsodent) Rudi Hartono</t>
  </si>
  <si>
    <t>Makan dan Minum Rudi Hartono</t>
  </si>
  <si>
    <t>Material (Thermowell 150mm 15cm 1/2 Inch NPT Stainless Steel)  Rudi Hartono</t>
  </si>
  <si>
    <t>Peralatan (Amplop) Rudi Hartono</t>
  </si>
  <si>
    <t>BSK250289</t>
  </si>
  <si>
    <t>Pembayaran PO 25029 Inv.00019 CV.Dwi Filter, Adinda Novianti Fadli</t>
  </si>
  <si>
    <t>PPN Pembayaran PO 25029 Inv.00019 CV.Dwi Filter, Adinda Novianti Fadli</t>
  </si>
  <si>
    <t>BSK250290</t>
  </si>
  <si>
    <t>Biaya Transport Uang Harian Kota Batam (2 Orang x 5 hari@370.000)</t>
  </si>
  <si>
    <t>Biaya Transfer Transport Uang Harian Kota Batam (2 Orang x 5 hari@370.000)</t>
  </si>
  <si>
    <t>BSK250300</t>
  </si>
  <si>
    <t>Makan Lembur Pondok Ungu (Rahman, Amry, Hetty)</t>
  </si>
  <si>
    <t>Makan Meeting Pondok Ungu (Dio Nesta)</t>
  </si>
  <si>
    <t>BSK250339</t>
  </si>
  <si>
    <t>Transport BBM, Cindy Novani</t>
  </si>
  <si>
    <t>Transport Toll, Cindy Novani</t>
  </si>
  <si>
    <t>BSK250353</t>
  </si>
  <si>
    <t>BSK250357</t>
  </si>
  <si>
    <t>Pembayaran PO 25057 Inv. INV-HLN 2502574, PT. Helen Internusa Flamindo</t>
  </si>
  <si>
    <t>PPN 11% Pembayaran PO 25057 Inv. INV-HLN 2502574, PT. Helen Internusa Flamindo</t>
  </si>
  <si>
    <t>BSK250366</t>
  </si>
  <si>
    <t>GoSend (Kirim Kotak Sparepart)</t>
  </si>
  <si>
    <t>GoSend (Kirim Banner)</t>
  </si>
  <si>
    <t>Peralatan (Tempat Sampah Injak @ 3)</t>
  </si>
  <si>
    <t>Material (Kabel Power 3x2.5mm)</t>
  </si>
  <si>
    <t>Material (Pilot Lamp dan Selector Switch On)</t>
  </si>
  <si>
    <t>BSK250373</t>
  </si>
  <si>
    <t>Fee Ahmad Rizal</t>
  </si>
  <si>
    <t>BSK250374</t>
  </si>
  <si>
    <t>Pembayaran DP 50% PO 25051 Inv. 027/INV-LPS/I-XXIV-5, PT. Lancar Petir Semesta</t>
  </si>
  <si>
    <t>PPN 11% Pembayaran DP 50% PO 25051 Inv. 027/INV-LPS/I-XXIV-5, PT. Lancar Petir Semesta</t>
  </si>
  <si>
    <t>PPh 2% Pembayaran DP 50% PO 25051 Inv. 027/INV-LPS/I-XXIV-5, PT. Lancar Petir Semesta</t>
  </si>
  <si>
    <t>BSK250376</t>
  </si>
  <si>
    <t>KSM224P100</t>
  </si>
  <si>
    <t>Pembayaran PO 25027 Inv. INV-050225-SJ-03, Sami Jaya Instrument</t>
  </si>
  <si>
    <t>BSK250378</t>
  </si>
  <si>
    <t>Pembayaran PO 25029 Inv. DF/INV/25/02/00019, CV. Dewi Filter</t>
  </si>
  <si>
    <t>PPN 11% Pembayaran PO 25029 Inv. DF/INV/25/02/00019, CV. Dewi Filter</t>
  </si>
  <si>
    <t>BSK250395</t>
  </si>
  <si>
    <t>Transport Toll Dio Nesta</t>
  </si>
  <si>
    <t>Transport BBM Dio Nesta</t>
  </si>
  <si>
    <t>Makan Lembur Pondok Ungu (Dio, Leo, Didin, Rafi, Jiko, Agung, Tirto, Faishol)</t>
  </si>
  <si>
    <t>Material (Earplug, Sarung Tangan, Police Line)</t>
  </si>
  <si>
    <t>Makan a.n Dio, Rizal dengan PMI dan PGAS</t>
  </si>
  <si>
    <t>Makan a.n Agung Sulistyono dengan PGN dan PGAS</t>
  </si>
  <si>
    <t>Lalamove (Kirim Meja dan Kursi)</t>
  </si>
  <si>
    <t>BSK250412</t>
  </si>
  <si>
    <t>Transport Toll Hetti Simbolon</t>
  </si>
  <si>
    <t>Transport Gojek Hetti Simbolon</t>
  </si>
  <si>
    <t>Transport Kereta Hetti Simbolon</t>
  </si>
  <si>
    <t xml:space="preserve">Transfer Antar Bank </t>
  </si>
  <si>
    <t>BSK250417</t>
  </si>
  <si>
    <t>Pembayaran Pelunasan PO 25072 Inv. 036/INV-LPS/II-XXIV-5, PT. Lancar Petir Semesta</t>
  </si>
  <si>
    <t>PPN 11% Pembayaran Pelunasan PO 25072 Inv. 036/INV-LPS/II-XXIV-5, PT. Lancar Petir Semesta</t>
  </si>
  <si>
    <t>Transport Toll a.n M. Rahman</t>
  </si>
  <si>
    <t>Makan a.n M. Rahman</t>
  </si>
  <si>
    <t>Peralatan (Tenda Lipat)</t>
  </si>
  <si>
    <t>Material (Helm Proyek @ 12 Pcs)</t>
  </si>
  <si>
    <t>Transport BBM a.n Dio Nesta</t>
  </si>
  <si>
    <t>UMK a.n M. Rahman</t>
  </si>
  <si>
    <t>Lalamove (Kirim Material)</t>
  </si>
  <si>
    <t>Makan Meeting Dio Nesta dan Tim PGN</t>
  </si>
  <si>
    <t>Material (Banner)</t>
  </si>
  <si>
    <t>Pembayaran PO 25071 Inv. 25-0339/MTS PT. Mentari Timur Sentosa</t>
  </si>
  <si>
    <t>GoSend (Kirim Material)</t>
  </si>
  <si>
    <t>BSK250456</t>
  </si>
  <si>
    <t>Makan dan Minum (Rahman dan Hetti)</t>
  </si>
  <si>
    <t>Material Lapangan (Fort Maker Tube, SCR, Vynil, Ferules, Marking Tube, dan Jembo Nnyaf 10 MM)</t>
  </si>
  <si>
    <t>Transport BBM a.n M. Rahman</t>
  </si>
  <si>
    <t xml:space="preserve">Lalamove ke PGN Pondok Ungu </t>
  </si>
  <si>
    <t>Material (Paku, Karung, Kayu)</t>
  </si>
  <si>
    <t>BSK250458</t>
  </si>
  <si>
    <t>Makan Lembur Pondok Ungu (amry)</t>
  </si>
  <si>
    <t>Makan Meeting Pondok Ungu (Arief)</t>
  </si>
  <si>
    <t>BSK250503</t>
  </si>
  <si>
    <t>Pembayaran DP 50% PO 25079 Inv.041/INV-LPS/III-XXIV-5, PT. Lancar Petir Semesta</t>
  </si>
  <si>
    <t>PPN 11% Pembayaran DP 50% PO 25079 Inv.041/INV-LPS/III-XXIV-5, PT. Lancar Petir Semesta</t>
  </si>
  <si>
    <t>BSK250506</t>
  </si>
  <si>
    <t>Pembayaran PO 25041 Inv.022.INV.MRI.II.25, PT. Mahkota Raja Indonesia</t>
  </si>
  <si>
    <t>PPN 11% Pembayaran PO 25041 Inv.022.INV.MRI.II.25, PT. Mahkota Raja Indonesia</t>
  </si>
  <si>
    <t>PPh 2% Pembayaran PO 25041 Inv.022.INV.MRI.II.25, PT. Mahkota Raja Indonesia</t>
  </si>
  <si>
    <t>BSK250509</t>
  </si>
  <si>
    <t>Pembayaran Shipment PO 24253 Inv.0427, PT. Kartika Eka Yudha Maritim</t>
  </si>
  <si>
    <t>PPN 11% Pembayaran Shipment PO 24253 Inv.0427, PT. Kartika Eka Yudha Maritim</t>
  </si>
  <si>
    <t>PPh 2% Pembayaran Shipment PO 24253 Inv.0427, PT. Kartika Eka Yudha Maritim</t>
  </si>
  <si>
    <t>Pembayaran Shipment PO 24253 Inv.0366, PT. Kartika Eka Yudha Maritim</t>
  </si>
  <si>
    <t>PPN 11% Pembayaran Shipment PO 24253 Inv.0366, PT. Kartika Eka Yudha Maritim</t>
  </si>
  <si>
    <t>PPh 2% Pembayaran Shipment PO 24253 Inv.0366, PT. Kartika Eka Yudha Maritim</t>
  </si>
  <si>
    <t>Pembayaran Shipment PO 24253 Inv.0331, PT. Kartika Eka Yudha Maritim</t>
  </si>
  <si>
    <t>PPN 11% Pembayaran Shipment PO 24253 Inv.0331, PT. Kartika Eka Yudha Maritim</t>
  </si>
  <si>
    <t>PPh 2% Pembayaran Shipment PO 24253 Inv.0331, PT. Kartika Eka Yudha Maritim</t>
  </si>
  <si>
    <t>BSK250516</t>
  </si>
  <si>
    <t>Bea Masuk Import PO 25051</t>
  </si>
  <si>
    <t>PPN Masuk Import PO 25051</t>
  </si>
  <si>
    <t>PPh Masuk Import PO 25051</t>
  </si>
  <si>
    <t>BSK250527</t>
  </si>
  <si>
    <t>EX UMK Mustafidurrahman</t>
  </si>
  <si>
    <t>UMK Mustafidurrahman</t>
  </si>
  <si>
    <t>Transport Goride Mustafidurrahman</t>
  </si>
  <si>
    <t>Transport Gosend Mustafidurrahman</t>
  </si>
  <si>
    <t>Material Lapangan (Conduit Hanger, SKUN, BMP, Baut, dan Flexible) Mustafidurrahman</t>
  </si>
  <si>
    <t>Makan dan Minum (Rahman, PGN, Pgasol) Mustafidurrahman</t>
  </si>
  <si>
    <t>Perlengkapan (Battery dan Isolasi) Mustafidurrahman</t>
  </si>
  <si>
    <t>Peralatan (Tangga, Catwalk, Jackbase) Mustafidurrahman</t>
  </si>
  <si>
    <t>Makan a.n Dio Nesta, M. Rahman dan Tim PGN, Adinda Novianti Fadli</t>
  </si>
  <si>
    <t>Transport Toll a.n M. Rahman, Adinda Novianti Fadli</t>
  </si>
  <si>
    <t>Transport BBM a.n M. Rahman, Adinda Novianti Fadli</t>
  </si>
  <si>
    <t>Material (Baut M10, Mata Bor dan Spiral 1"), Adinda Novianti Fadli</t>
  </si>
  <si>
    <t>Lalamove a.n M. Rahman, Adinda Novianti Fadli</t>
  </si>
  <si>
    <t>Transport Parkir a.n M. Rahman, Adinda Novianti Fadli</t>
  </si>
  <si>
    <t>BSK250584</t>
  </si>
  <si>
    <t>Pembayaran Listrik Idpel 544102007981 Pondok Ungu Adinda Novianti Fadli</t>
  </si>
  <si>
    <t>BSK250586</t>
  </si>
  <si>
    <t>Transport BBM Anjani Dwi Syabani</t>
  </si>
  <si>
    <t>Transport Parkir Anjani Dwi Syabani</t>
  </si>
  <si>
    <t>Transport Toll Anjani Dwi Syabani</t>
  </si>
  <si>
    <t>BSK250596</t>
  </si>
  <si>
    <t>Transport BBM Achmad Rizal Mubarrak</t>
  </si>
  <si>
    <t>Transport Toll Achmad Rizal Mubarrak</t>
  </si>
  <si>
    <t>Transport Parkir Achmad Rizal Mubarrak</t>
  </si>
  <si>
    <t>Biaya Transfer Achmad Rizal Mubarrak</t>
  </si>
  <si>
    <t>BSK250604</t>
  </si>
  <si>
    <t>Pembayaran Pelunasan 50% PO 25051 Inv.041/Inv/Lsp/III-XXV-5 PT.Lancar Petir Semesta</t>
  </si>
  <si>
    <t>PPN 11% Pembayaran Pelunasan 50% PO 25051 Inv.041/Inv/Lsp/III-XXV-5 PT.Lancar Petir Semesta</t>
  </si>
  <si>
    <t>PPH 2% Pembayaran Pelunasan 50% PO 25051 Inv.041/Inv/Lsp/III-XXV-5 PT.Lancar Petir Semesta</t>
  </si>
  <si>
    <t>Transfer Antar Bank PT.Lancar Petir Semesta</t>
  </si>
  <si>
    <t>BSK250620</t>
  </si>
  <si>
    <t>Pengiriman Coupling dari Sidoarjo Adinda Novianti Fadli</t>
  </si>
  <si>
    <t>Material (Kaso &amp; Paku Beton) Adinda Novianti Fadli</t>
  </si>
  <si>
    <t>BSK250624</t>
  </si>
  <si>
    <t>Transport BBM M.Rahman</t>
  </si>
  <si>
    <t>Transport Toll M.Rahman</t>
  </si>
  <si>
    <t>Transport Helper Pemasangan Cable M.Rahman</t>
  </si>
  <si>
    <t>Makan &amp; Minum M.Rahman</t>
  </si>
  <si>
    <t>BSK250639</t>
  </si>
  <si>
    <t>Penginapan Pondok Ungu Adinda Novianti Fadli</t>
  </si>
  <si>
    <t>BSK250659</t>
  </si>
  <si>
    <t>Pembayaran Shipment P1 PO 24240 Inv.0225 PT.Kartika Eka Yudha Maritim</t>
  </si>
  <si>
    <t>PPN Pembayaran Shipment P1 PO 24240 Inv.0225 PT.Kartika Eka Yudha Maritim</t>
  </si>
  <si>
    <t>PPH 2% Pembayaran Shipment P1 PO 24240 Inv.0225 PT.Kartika Eka Yudha Maritim</t>
  </si>
  <si>
    <t>Pembayaran Shipment P2 PO 24240 Inv.0171 PT.Kartika Eka Yudha Maritim</t>
  </si>
  <si>
    <t>PPN Pembayaran Shipment P2 PO 24240 Inv.0171 PT.Kartika Eka Yudha Maritim</t>
  </si>
  <si>
    <t>PPH 2% Pembayaran Shipment P2 PO 24240 Inv.0171 PT.Kartika Eka Yudha Maritim</t>
  </si>
  <si>
    <t>Pembayaran Warehouse Cost PO 24240 Inv.0160 PT.Kartika Eka Yudha Maritim</t>
  </si>
  <si>
    <t>PPN Pembayaran Warehouse Cost PO 24240 Inv.0160 PT.Kartika Eka Yudha Maritim</t>
  </si>
  <si>
    <t>PPH 2% Pembayaran Warehouse Cost PO 24240 Inv.0160 PT.Kartika Eka Yudha Maritim</t>
  </si>
  <si>
    <t>BSK250668</t>
  </si>
  <si>
    <t>Pembayaran PO 25079 Inv.045/INV-LPS/III-XXIV-5 PT.Lancar Petir Semesta</t>
  </si>
  <si>
    <t>PPN Pembayaran PO 25079 Inv.045/INV-LPS/III-XXIV-5 PT.Lancar Petir Semesta</t>
  </si>
  <si>
    <t>PPh 2% Pembayaran PO 25079 Inv.045/INV-LPS/III-XXIV-5 PT.Lancar Petir Semesta</t>
  </si>
  <si>
    <t>BSK250669</t>
  </si>
  <si>
    <t>Pembayaran PO 25107 Inv.016 PT.Patra Solusi Instrument</t>
  </si>
  <si>
    <t>PPN Pembayaran PO 25107 Inv.016 PT.Patra Solusi Instrument</t>
  </si>
  <si>
    <t>Transfer Antar Bank PT.Patra Solusi Instrument</t>
  </si>
  <si>
    <t>BSM250075c</t>
  </si>
  <si>
    <t xml:space="preserve">Penerimaan Atas Salah Pengakuan PPN Pembayaran PO 24253 Inv.0211835 November 2024 PT.Cakrawala Persada Logistic, PT.Kian Santang </t>
  </si>
  <si>
    <t>BSK250675</t>
  </si>
  <si>
    <t>Jamuan Makan Bersama. Anjani Dwi Syabani</t>
  </si>
  <si>
    <t>BSK250728</t>
  </si>
  <si>
    <t>Pengiriman Barang Ke PT.PGAS Solution Batam &amp; Bekasi Inv.SPX-1257 CV.Sarana Pratama Expressindo</t>
  </si>
  <si>
    <t>PPh 2% Pengiriman Barang Ke PT.PGAS Solution Batam &amp; Bekasi Inv.SPX-1257 CV.Sarana Pratama Expressindo</t>
  </si>
  <si>
    <t>BSK250741</t>
  </si>
  <si>
    <t>Makan a.n Dio Nesta &amp; Tim PGN Adinda Novianti Fadli</t>
  </si>
  <si>
    <t>Pembayaran Wifi Periode Maret 2025 Adinda Novianti Fadli</t>
  </si>
  <si>
    <t>UMK a.n Dio Nesta Adinda Novianti Fadli</t>
  </si>
  <si>
    <t>BSK250755</t>
  </si>
  <si>
    <t>Pembayaran PO 24428 Inv.3720 PT.PGAS Solution</t>
  </si>
  <si>
    <t>PPN Pembayaran PO 24428 Inv.3720 (04002500055640069) PT.PGAS Solution</t>
  </si>
  <si>
    <t>PPh 2,65% Pembayaran PO 24428 Inv.3720 PT.PGAS Solution</t>
  </si>
  <si>
    <t>Lebih Bayar PPh 2,65% Pembayaran PO 24428 Inv.3720 PT.PGAS Solution</t>
  </si>
  <si>
    <t>Biaya Transfer PT.PGAS Solution</t>
  </si>
  <si>
    <t>Makan a.n Dio Nesta dan Tim PGN Adinda Novianti Fadli</t>
  </si>
  <si>
    <t>Gosend (Selang) Adinda Novianti Fadli</t>
  </si>
  <si>
    <t>ATK (Banner) Adinda Novianti Fadli</t>
  </si>
  <si>
    <t>Makan a.n (Dio Nesta Herdiansyah dg Team PGN) Adinda Novianti Fadli</t>
  </si>
  <si>
    <t>Makan a.n (Fajar Andik Cahyono dg Team Batamindo) Adinda Novianti Fadli</t>
  </si>
  <si>
    <t>Transport Grabcar a.n (Bagus Anugrah) Adinda Novianti Fadli</t>
  </si>
  <si>
    <t>Transport Toll a.n (Bagus Anugrah) Adinda Novianti Fadli</t>
  </si>
  <si>
    <t>Material (Male Elbow @ 4 Ea,Maleconne @ 13 Ea,Femaleconne @ 8 Ea,Ferrul @c 5 Ea) Adinda Novianti Fadli</t>
  </si>
  <si>
    <t>Lalamove Ke Dirkit Pondok Ungu Adinda Novianti Fadli</t>
  </si>
  <si>
    <t>BSK250810</t>
  </si>
  <si>
    <t>Pembayaran PO 25149 PT.Dwitama Sukses Mandiri</t>
  </si>
  <si>
    <t>PPN 11% Pembayaran PO 25149 PT.Dwitama Sukses Mandiri</t>
  </si>
  <si>
    <t>Transfer Antar Bank PT.Dwitama Sukses Mandiri</t>
  </si>
  <si>
    <t>BSK250811</t>
  </si>
  <si>
    <t>Transport BBM Mardhani</t>
  </si>
  <si>
    <t>Transport Toll Mardhani</t>
  </si>
  <si>
    <t>Material Lapangan (Regulator,Oring,Connector) Mardhani</t>
  </si>
  <si>
    <t>Transfer Antar Bank Mardhani</t>
  </si>
  <si>
    <t>BSK250822</t>
  </si>
  <si>
    <t>Transport BBM Dinda Aji Pangestu</t>
  </si>
  <si>
    <t>Transfer Antar Bank Dinda Aji Pangestu</t>
  </si>
  <si>
    <t>Makan Meeting Pondok Ungu (Arief Budiman) Eko Waluyo</t>
  </si>
  <si>
    <t>Pembayaran Kalibrasi Max XTII Inv.150.25 PT.Buana Pandu Cahaya, Adinda Novianti Fadli</t>
  </si>
  <si>
    <t>PPN 11% Kalibrasi Max XTII Inv.150.25 PT.Buana Pandu Cahaya, Adinda Novianti Fadli</t>
  </si>
  <si>
    <t>PPh 2% Kalibrasi Max XTII Inv.150.25 PT.Buana Pandu Cahaya, Adinda Novianti Fadli</t>
  </si>
  <si>
    <t>Makan a.n M.rahman Dengan Team PSSR PGN,PMO,PGAS Solution, Adinda Novianti Fadli</t>
  </si>
  <si>
    <t>BSK250838</t>
  </si>
  <si>
    <t>Material Lapangan (Klem Selang House Clamp), Moura</t>
  </si>
  <si>
    <t>Makan Lembur Pondok Ungu (Mardani) Eko Waluyo</t>
  </si>
  <si>
    <t>Material N2, Adinda Novianti Fadli</t>
  </si>
  <si>
    <t>Material (Nameplate), Adinda Novianti Fadli</t>
  </si>
  <si>
    <t>BSK250910</t>
  </si>
  <si>
    <t>Transport BBM, Mukhammad Mustafidurrahman</t>
  </si>
  <si>
    <t>Transport Tol, Mukhammad Mustafidurrahman</t>
  </si>
  <si>
    <t>Makan &amp; Minum (PGN,Pgasol &amp; KSM), Mukhammad Mustafidurrahman</t>
  </si>
  <si>
    <t>Perlengkapan (Solasi Hitam), Mukhammad Mustafidurrahman</t>
  </si>
  <si>
    <t>BSK250931</t>
  </si>
  <si>
    <t>Pembayaran PO 24318 (Additional) Inv.0220525, PT.Nurman Indoban Sentosa</t>
  </si>
  <si>
    <t>PPN 11% Pembayaran PO 24318 (Additional) Inv.0220525, PT.Nurman Indoban Sentosa</t>
  </si>
  <si>
    <t>PPh 2% Pembayaran PO 24318 (Additional) Inv.0220525, PT.Nurman Indoban Sentosa</t>
  </si>
  <si>
    <t>Transfer Antar Bank, PT.Nurman Indoban Sentosa</t>
  </si>
  <si>
    <t>BSK250941</t>
  </si>
  <si>
    <t>Pembayaran Shipment P1 PO 24304 Inv.0409, PT.Kartika Eka Yudha Maritim</t>
  </si>
  <si>
    <t>PPN 11% Pembayaran Shipment P1 PO 24304 Inv.0409, PT.Kartika Eka Yudha Maritim</t>
  </si>
  <si>
    <t>PPh 2% Pembayaran Shipment P1 PO 24304 Inv.0409, PT.Kartika Eka Yudha Maritim</t>
  </si>
  <si>
    <t>Pembayaran Shipment P2 PO 24304 Inv.0409, PT.Kartika Eka Yudha Maritim</t>
  </si>
  <si>
    <t>PPN 11% Pembayaran Shipment P2 PO 24304 Inv.0409, PT.Kartika Eka Yudha Maritim</t>
  </si>
  <si>
    <t>PPh 2% Pembayaran Shipment P2 PO 24304 Inv.0409, PT.Kartika Eka Yudha Maritim</t>
  </si>
  <si>
    <t>Pembayaran Warehouse Cost PO 24304 Inv.0263, PT.Kartika Eka Yudha Maritim</t>
  </si>
  <si>
    <t>PPN 11% Pembayaran Warehouse Cost PO 24304 Inv.0263, PT.Kartika Eka Yudha Maritim</t>
  </si>
  <si>
    <t>PPh 2% Pembayaran Warehouse Cost PO 24304 Inv.0263, PT.Kartika Eka Yudha Maritim</t>
  </si>
  <si>
    <t>BSK250949</t>
  </si>
  <si>
    <t>Transport Toll a.n M.Rahman, M.Rahman</t>
  </si>
  <si>
    <t>Transport BBM a.n M.Rahman, M.Rahman</t>
  </si>
  <si>
    <t>Makan (Mardani,Rahman,PGN,PGASol), M.Rahman</t>
  </si>
  <si>
    <t>Sticker Vynil a.n M.Rahman, M.Rahman</t>
  </si>
  <si>
    <t>Makan Lembur Pondok Ungu (Dio,Amry,Alifia), Eko Waluyo</t>
  </si>
  <si>
    <t>Makan Lembur Pondok Ungu (Rahman,Dio,Amry), Eko Waluyo</t>
  </si>
  <si>
    <t>Makan (Rahman,PGN,PGAS Sol), M.Rahman</t>
  </si>
  <si>
    <t>BSK251027</t>
  </si>
  <si>
    <t>Pembayaran Pelunasan PO 24318 Inv.0250525 PT.Nurman Indoban Sentosa</t>
  </si>
  <si>
    <t>PPN Pembayaran Pelunasan PO 24318 Inv.0250525 (04002500144551467) PT.Nurman Indoban Sentosa</t>
  </si>
  <si>
    <t>PPh 2,65% Pembayaran Pelunasan PO 24318 Inv.0250525 PT.Nurman Indoban Sentosa</t>
  </si>
  <si>
    <t>Kurang Potong PPh dari Tagihan Sebelumnya PT.Nurman Indoban Sentosa</t>
  </si>
  <si>
    <t>Biaya Transfer PT.Nurman Indoban Sentosa</t>
  </si>
  <si>
    <t>BSK251037</t>
  </si>
  <si>
    <t>Pembayaran Shipment P1 PO 25051 Inv.0181 PT.Kartika Eka Yudha Maritim</t>
  </si>
  <si>
    <t>PPN Pembayaran Shipment P1 PO 25051 Inv.0181 (0410042505214885) PT.Kartika Eka Yudha Maritim</t>
  </si>
  <si>
    <t>PPh 2% Pembayaran Shipment P1 PO 25051 Inv.0181 PT.Kartika Eka Yudha Maritim</t>
  </si>
  <si>
    <t>Pembayaran Shipment P2 PO 25051 Inv.0093 PT.Kartika Eka Yudha Maritim</t>
  </si>
  <si>
    <t>PPN Pembayaran Shipment P2 PO 25051 Inv.0093 (0410042505214886)PT.Kartika Eka Yudha Maritim</t>
  </si>
  <si>
    <t>PPh 2% Pembayaran Shipment P2 PO 25051 Inv.0093 PT.Kartika Eka Yudha Maritim</t>
  </si>
  <si>
    <t>Pembayaran Warehouse Cost PO 25051 Inv.0099 PT.Kartika Eka Yudha Maritim</t>
  </si>
  <si>
    <t>PPN Pembayaran Warehouse Cost PO 25051 Inv.0099 (0400012584889747) PT.Kartika Eka Yudha Maritim</t>
  </si>
  <si>
    <t>PPh 2% Pembayaran Warehouse Cost PO 25051 Inv.0099 PT.Kartika Eka Yudha Maritim</t>
  </si>
  <si>
    <t>BSK251039</t>
  </si>
  <si>
    <t>Pembayaran PO 25162 Inv.0230525 PT.Nurman Indoban Sentosa</t>
  </si>
  <si>
    <t>PPN Pembayaran PO 25162 Inv.0230525 (04002500141061455) PT.Nurman Indoban Sentosa</t>
  </si>
  <si>
    <t>PPh 2% Pembayaran PO 25162 Inv.0230525 PT.Nurman Indoban Sentosa</t>
  </si>
  <si>
    <t>Makan Lembur Pondok Ungu (Arfa,Bayu,Alifia), Eko Waluyo</t>
  </si>
  <si>
    <t>Makan Meeting Pondok Ungu Document (Arfa), Eko Waluyo</t>
  </si>
  <si>
    <t>BSK251056a</t>
  </si>
  <si>
    <t>ATK (Paper One A4 HVS Digital 85gr @ 5 Unit Inv.018 (Fee), Achmad Rizal Mubarrak</t>
  </si>
  <si>
    <t>ATK (Tinta Canon Ink Catridge CL-811 @ 20 Unit Inv.018 (Fee), Achmad Rizal Mubarrak</t>
  </si>
  <si>
    <t>BSM250096</t>
  </si>
  <si>
    <t>Penerimaan Dari Pengembalian Lebih Bayar PPh 2,65% Pembayaran PO 24428 Inv.3720 PT.PGAS Solution</t>
  </si>
  <si>
    <t>BSK251103</t>
  </si>
  <si>
    <t>Transport Toll, Dio Nesta Herdiansyah</t>
  </si>
  <si>
    <t>Transport BBM, Dio Nesta Herdiansyah</t>
  </si>
  <si>
    <t>Transport Parkir, Dio Nesta Herdiansyah</t>
  </si>
  <si>
    <t>Transport Gocar, Dio Nesta Herdiansyah</t>
  </si>
  <si>
    <t>Transport Gosend, Dio Nesta Herdiansyah</t>
  </si>
  <si>
    <t>Makan (PGAS Sol &amp; PGN Gagas), Dio Nesta Herdiansyah</t>
  </si>
  <si>
    <t>Makan (Wetcall Duri), Dio Nesta Herdiansyah</t>
  </si>
  <si>
    <t>Makan (UM,MP Unloading), Dio Nesta Herdiansyah</t>
  </si>
  <si>
    <t>Material Lapangan (Karung,Palstik Cor,K 4x6), Dio Nesta Herdiansyah</t>
  </si>
  <si>
    <t>Perlengkapan (Plastik Sampah,Teko,Gelas), Dio Nesta Herdiansyah</t>
  </si>
  <si>
    <t>Peralatan (Kacamata Safety), Dio Nesta Herdiansyah</t>
  </si>
  <si>
    <t>ATK (Print,Laminating,Double Tape,Sticker Vinyle), Dio Nesta Herdiansyah</t>
  </si>
  <si>
    <t>BSK251106</t>
  </si>
  <si>
    <t>Transport BBM, Mardhani Cahyanto</t>
  </si>
  <si>
    <t>Transport PGN OM, Mardhani Cahyanto</t>
  </si>
  <si>
    <t>Transport Gojek, Mardhani Cahyanto</t>
  </si>
  <si>
    <t>Lalamove, Mardhani Cahyanto</t>
  </si>
  <si>
    <t>Makan, Mardhani Cahyanto</t>
  </si>
  <si>
    <t>Material Lapangan (Plug Besi,Spiral Wound Gasket,Kabelties), Mardhani Cahyanto</t>
  </si>
  <si>
    <t>Perlengkapan (Sarung Tangan), Mardhani Cahyanto</t>
  </si>
  <si>
    <t>ATK (Print,Laminating), Mardhani Cahyanto</t>
  </si>
  <si>
    <t>Material Lapangan (Timah Patri Batangan), Yuli Irawati</t>
  </si>
  <si>
    <t>Material (Rtrama @ 2,16m,Plat Alumunium 2mm @ 1), Yuli Irawati</t>
  </si>
  <si>
    <t>Transfer Antar Bank, Yuli Irawati</t>
  </si>
  <si>
    <t>BSK251128</t>
  </si>
  <si>
    <t>Makan (PGN,PGAS Sol,Rahman,Dhani,Dio,Slamet), M.Rahman</t>
  </si>
  <si>
    <t>Material Lapangan (Baut,Ring,Skrup,Timah), M.Rahman</t>
  </si>
  <si>
    <t>Makan Lembur Pondok Ungu (Faishol,Agung S), Eko Waluyo</t>
  </si>
  <si>
    <t>BSK251183</t>
  </si>
  <si>
    <t>Transport Toll, Alifia Nurul Anisa</t>
  </si>
  <si>
    <t>Makan (Alifia,Fathia PU), Alifia Nurul Anisa</t>
  </si>
  <si>
    <t>Transfer Antar Bank, Alifia Nurul Anisa</t>
  </si>
  <si>
    <t>BSK251190</t>
  </si>
  <si>
    <t>Pembayaran Kalibrasi Max XTII MA217-029982 Inv.231, PT.Buana Pandu Cahaya, Adinda Novianti Fadli</t>
  </si>
  <si>
    <t>4002500164641960 Pembayaran Kalibrasi Max XTII MA217-029982 Inv.231, PT.Buana Pandu Cahaya, Adinda Novianti Fadli</t>
  </si>
  <si>
    <t>PPh 2% Pembayaran Kalibrasi Max XTII MA217-029982 Inv.231, PT.Buana Pandu Cahaya, Adinda Novianti Fadli</t>
  </si>
  <si>
    <t>Pembayaran Filter Tebal Tipis,Sensor Oxygen Kenso,Battery Memory Max XTII, PT.Buana Pandu Cahaya, Adinda Novianti Fadli</t>
  </si>
  <si>
    <t>4002500165599710, PT.Buana Pandu Cahaya, Adinda Novianti Fadli</t>
  </si>
  <si>
    <t>Material (Solder Patri 300 Watt), Adinda Novianti Fadli</t>
  </si>
  <si>
    <t>BSK251212</t>
  </si>
  <si>
    <t>Makan a.n Rahman &amp; Tim PGN, Savira Akmalia Putri</t>
  </si>
  <si>
    <t>Makan a.n Rizal &amp; Migas, Savira Akmalia Putri</t>
  </si>
  <si>
    <t>BSK251229</t>
  </si>
  <si>
    <t xml:space="preserve">Transport LRT, Yuanita </t>
  </si>
  <si>
    <t>Transport GoRide, Yuanita</t>
  </si>
  <si>
    <t>BSK251238</t>
  </si>
  <si>
    <t>BSK251279</t>
  </si>
  <si>
    <t>BSEK250005</t>
  </si>
  <si>
    <t>Penurunan Pokok BSI, Bank BSI</t>
  </si>
  <si>
    <t>BSEK250007</t>
  </si>
  <si>
    <t>BSEK250008</t>
  </si>
  <si>
    <t>Pembayaran Tunggakan Pokok</t>
  </si>
  <si>
    <t>KSM24P145</t>
  </si>
  <si>
    <t>Pembelian Alat Safety (Rompi Safety, Helm Safety) Tokopedia</t>
  </si>
  <si>
    <t>Pembayaran PO 24397 Inv. 0307-DI/ASS/XII/2024, PT. Adi Surya Steel</t>
  </si>
  <si>
    <t>Biaya Transfer, PT. Adi Surya Steel</t>
  </si>
  <si>
    <t>Pembayaran Deposit PO 24397 Inv. 0307-DI/ASS/XII/2024, PT. Adi Surya Steel</t>
  </si>
  <si>
    <t>PPh 2% Pembayaran Deposit PO 24397 Inv. 0307-DI/ASS/XII/2024, PT. Adi Surya Steel</t>
  </si>
  <si>
    <t>B240712</t>
  </si>
  <si>
    <t>Pembayaran PO 24377 Inv. PRO-24120247/CAA, PT. Citra Airindo Abadi</t>
  </si>
  <si>
    <t>PPN 11% Pembayaran PO 24377 Inv. PRO-24120247/CAA, PT. Citra Airindo Abadi</t>
  </si>
  <si>
    <t>Biaya Transfer, PT. Citra Airindo Abadi</t>
  </si>
  <si>
    <t>B240720</t>
  </si>
  <si>
    <t>Transport BBM, Azyana Febri Rumpaka</t>
  </si>
  <si>
    <t>Transport Toll, Azyana Febri Rumpaka</t>
  </si>
  <si>
    <t>Transport GrabCar, Azyana Febri Rumpaka</t>
  </si>
  <si>
    <t>Makan Azyana, Mardhani, dan Arffa, Azyana Febri Rumpaka</t>
  </si>
  <si>
    <t>B240725</t>
  </si>
  <si>
    <t>KSM24P145 &amp; KSM24P176</t>
  </si>
  <si>
    <t>Bea Masuk PO 24313 dan 24357, Direktorat Jenderal Bea &amp; Cukai</t>
  </si>
  <si>
    <t>PPN Import PO 24313 dan 24357, Direktorat Jenderal Bea &amp; Cukai</t>
  </si>
  <si>
    <t>PPh Import PO 24313 dan 24357, Direktorat Jenderal Bea &amp; Cukai</t>
  </si>
  <si>
    <t>B240730</t>
  </si>
  <si>
    <t>Pembayaran PO 24383 Inv. 168.INV.MRI.XII.24, PT Mahkota Raja Indonesia</t>
  </si>
  <si>
    <t>PPN 11% Pembayaran PO 24383 Inv. 168.INV.MRI.XII.24, PT Mahkota Raja Indonesia</t>
  </si>
  <si>
    <t>Biaya Transfer, PT Mahkota Raja Indonesia</t>
  </si>
  <si>
    <t>B240734</t>
  </si>
  <si>
    <t>Pembayaran DP 60% PO 24372 Inv. THE-062, PT. Tlaga Jaya Engineering</t>
  </si>
  <si>
    <t>PPN 11% Pembayaran DP 60% PO 24372 Inv. THE-062, PT. Tlaga Jaya Engineering</t>
  </si>
  <si>
    <t>Biaya Transfer, PT. Tlaga Jaya Engineering</t>
  </si>
  <si>
    <t>B240764c</t>
  </si>
  <si>
    <t>Pembayaran Pqwt - G50 Multifuncion Auto Water Leak Detection For Dam Levee Pipelin @ 2 Unit Inv.012, Sudarman H</t>
  </si>
  <si>
    <t>Biaya Transfer, Sudarman H</t>
  </si>
  <si>
    <t>B240776</t>
  </si>
  <si>
    <t>Pembayaran PO 24389 Inv. PI/123/XII/2024, PT. Pelita Bintang Berkat</t>
  </si>
  <si>
    <t>PPN 11% Pembayaran PO 24389 Inv. PI/123/XII/2024, PT. Pelita Bintang Berkat</t>
  </si>
  <si>
    <t>Biaya Transfer, PT. Pelita Bintang Berkat</t>
  </si>
  <si>
    <t>B240783</t>
  </si>
  <si>
    <t>Transport BBM, Fajar Andik C</t>
  </si>
  <si>
    <t>Makan dengan Tim PT BIG, Fajar Andik C</t>
  </si>
  <si>
    <t>Makan Lembur BIG (Amry, Arfa, Ikmal, Rendi), Eko Waluyo</t>
  </si>
  <si>
    <t>Makan Meeting BIG  (Faisol), Eko Waluyo</t>
  </si>
  <si>
    <t>Makan Lembur PT BIG, Eko Waluyo</t>
  </si>
  <si>
    <t>BS240973</t>
  </si>
  <si>
    <t>Makan Rudi, Tirto, Marshanda, Amry Fajar, Agung Sulistyono (Kick Of Meeting PT. BIG), Rudi Hartono</t>
  </si>
  <si>
    <t>BS240974</t>
  </si>
  <si>
    <t>Pembayaran PO 24295 Inv. 069, PT. Angka Teknik Sepadan</t>
  </si>
  <si>
    <t>PPN 11% Pembayaran PO 24295 Inv. 069, PT. Angka Teknik Sepadan</t>
  </si>
  <si>
    <t>BS241003</t>
  </si>
  <si>
    <t>Makan Adip, Adit dan Ditmet (Adip Trisnanto)</t>
  </si>
  <si>
    <t>Transport Toll, Adip Trisnanto</t>
  </si>
  <si>
    <t>Transport BBM, Adip Trisnanto</t>
  </si>
  <si>
    <t>BS241024</t>
  </si>
  <si>
    <t>Makan Hadi, Doni, Arfa, Rendy, Amry, Otoy, Patriya, Manurung, dan Operator (Hadi Triyono)</t>
  </si>
  <si>
    <t>Material (Handlift Manual), Rizqi Aulia</t>
  </si>
  <si>
    <t>Makan Lembur BIG, Eko Waluyo</t>
  </si>
  <si>
    <t>BS241136</t>
  </si>
  <si>
    <t>Pembelian ATK, Rizqi Aulia</t>
  </si>
  <si>
    <t>BS241142</t>
  </si>
  <si>
    <t>Pembayaran PNBP Pengujian Meter Gas Turbin No. T-1964-11-2024, Kementrian Perdagangan</t>
  </si>
  <si>
    <t>Makan Meeting BIG, Eko Waluyo</t>
  </si>
  <si>
    <t>Makan Meeting CL, Eko Waluyo</t>
  </si>
  <si>
    <t>Makan Lembur CL, Eko Waluyo</t>
  </si>
  <si>
    <t>BS241202</t>
  </si>
  <si>
    <t>Pembayaran DP 30% PO 24369 Inv. 160.INV.MRI.XI.24, PT. Mahkota Raja Indonesia</t>
  </si>
  <si>
    <t>PPN 11% Pembayaran DP 30% PO 24369 Inv. 160.INV.MRI.XI.24, PT. Mahkota Raja Indonesia</t>
  </si>
  <si>
    <t>PPh 2% Pembayaran DP 30% PO 24369 Inv. 160.INV.MRI.XI.24, PT. Mahkota Raja Indonesia</t>
  </si>
  <si>
    <t>BS241208</t>
  </si>
  <si>
    <t>Makan dan Minum dengan Tim BIG, Rudi Hartono</t>
  </si>
  <si>
    <t>Material (Mur, Baut, dan Lakban), Rudi Hartono</t>
  </si>
  <si>
    <t>Makan Lembur BIG (Dani, Azyana), Eko Waluyo</t>
  </si>
  <si>
    <t>BS241246</t>
  </si>
  <si>
    <t>Pembayaran PO 24370 Inv. 24.11-03821, PT. Palvindo Megah</t>
  </si>
  <si>
    <t>PPN 11% Pembayaran PO 24370 Inv. 24.11-03821, PT. Palvindo Megah</t>
  </si>
  <si>
    <t>Biaya Transfer, PT. Palvindo Megah</t>
  </si>
  <si>
    <t>BS241250</t>
  </si>
  <si>
    <t>Pembayaran 70% PO 24368, Mochammad Nursiba</t>
  </si>
  <si>
    <t>PPh 2% Pembayaran 70% PO 24368, Mochammad Nursiba</t>
  </si>
  <si>
    <t>Biaya Transfer, Mochammad Nursiba</t>
  </si>
  <si>
    <t>BS241251</t>
  </si>
  <si>
    <t>Pembayaran PO 24371 Inv. 007/AGP-INV/IX/2024, PT. Apik Gemilang Pratama</t>
  </si>
  <si>
    <t>PPN 11% Pembayaran PO 24371 Inv. 007/AGP-INV/IX/2024, PT. Apik Gemilang Pratama</t>
  </si>
  <si>
    <t>Biaya Transfer, PT. Apik Gemilang Pratama</t>
  </si>
  <si>
    <t>BS241280</t>
  </si>
  <si>
    <t>Pembayaran DP 30% PO 24338 Inv. 208/BHIMA/XI/2024-H.RO, PT. Bhirawa Metal Mandiri</t>
  </si>
  <si>
    <t>PPN 11% Pembayaran DP 30% PO 24338 Inv. 208/BHIMA/XI/2024-H.RO, PT. Bhirawa Metal Mandiri</t>
  </si>
  <si>
    <t>Biaya Transfer, PT. Bhirawa Metal Mandiri</t>
  </si>
  <si>
    <t>BS241296</t>
  </si>
  <si>
    <t>Pembayaran Pengiriman Barang ke PT. Jaya Abadi Stell Inv. 1108/11/2024, CV. Sarana Pratama Expressindo</t>
  </si>
  <si>
    <t>PPh 2% Pembayaran Pengiriman Barang ke PT. Jaya Abadi Stell Inv. 1108/11/2024, CV. Sarana Pratama Expressindo</t>
  </si>
  <si>
    <t>BS241302</t>
  </si>
  <si>
    <t>Pembayaran DP 30% PO 24368 Mochammad Nursiba, Rizqi Aulia</t>
  </si>
  <si>
    <t>PPh 2% Pembayaran DP 30% PO 24368 Mochammad Nursiba, Rizqi Aulia</t>
  </si>
  <si>
    <t>Biaya Transfer Pembayaran DP 30% PO 24368 Mochammad Nursiba, Rizqi Aulia</t>
  </si>
  <si>
    <t>Pembayaran DP Transport MRS, Rizqi Aulia</t>
  </si>
  <si>
    <t>Biaya Transfer Pembayaran DP Transport MRS, Rizqi Aulia</t>
  </si>
  <si>
    <t>Makan Lembur BIG (Rendi, Fajar, Dani, Amry, Agung HSE), Eko Waluyo</t>
  </si>
  <si>
    <t>BS241316</t>
  </si>
  <si>
    <t>Transport Toll, Amry Fajar</t>
  </si>
  <si>
    <t>Makan Amry Fajar dan Azyana, Amry Fajar</t>
  </si>
  <si>
    <t>Transport MRS BIG, Rizqi Aulia</t>
  </si>
  <si>
    <t>Biaya Transfer Transport MRS BIG, Rizqi Aulia</t>
  </si>
  <si>
    <t>Peralatan (Mesin Potong Besi, Mesin Las, Gerinda Tangan, Gerinda Poles, Gerinda Potong), Rizqi Aulia</t>
  </si>
  <si>
    <t>BS241382</t>
  </si>
  <si>
    <t>Pembelian Material (Cangkul, Linggis, Palu, Meteran, Terpal, Kawat, Paku, Kunci, Gergaji, Besi, Tali, Triplek), Masduki</t>
  </si>
  <si>
    <t>Biaya Transfer, Masduki</t>
  </si>
  <si>
    <t>BS241399</t>
  </si>
  <si>
    <t>Pembayaran PO 24376 Inv. INV-171224-SJ-6, Sami Jaya Instrument</t>
  </si>
  <si>
    <t>Makan Lembur BIG (Arfa, Rendi, Ikmal), Eko Waluyo</t>
  </si>
  <si>
    <t>BS241433</t>
  </si>
  <si>
    <t>Transport Toll, Faishol Azis</t>
  </si>
  <si>
    <t>Transport BBM, Faishol Azis</t>
  </si>
  <si>
    <t>Makan Faishol, Azyana, dan Amry Fajar, Faishol Azis</t>
  </si>
  <si>
    <t>Transport BBM, Anjani Dwi Syabani</t>
  </si>
  <si>
    <t>BS241438</t>
  </si>
  <si>
    <t>Pembayaran PO 24403, PT. Sinar Utama Grounding</t>
  </si>
  <si>
    <t>PPN 11% Pembayaran PO 24403, PT. Sinar Utama Grounding</t>
  </si>
  <si>
    <t>Biaya Transfer, PT. Sinar Utama Grounding</t>
  </si>
  <si>
    <t>BS241446</t>
  </si>
  <si>
    <t>Pembayaran Talangan DP Material (Cangkul, Linggis, Palu, Meteran, Besi, Triplek), Azyana Febri Rumpaka</t>
  </si>
  <si>
    <t>Biaya Transfer, Azyana Febri Rumpaka</t>
  </si>
  <si>
    <t>Makan Lembur BIG (Lutfi, Randi, Arfa, Dani), Eko</t>
  </si>
  <si>
    <t>BS241510</t>
  </si>
  <si>
    <t>Pembelian Material (Paralon, Seng Talang, Pasir, Karung, Bambu, Kaso, Terpal), Masduki</t>
  </si>
  <si>
    <t>Peralatan (Tambang, Sarung Tangan dan Earplug Safety)</t>
  </si>
  <si>
    <t>KK250031</t>
  </si>
  <si>
    <t>Pembayaran Pembelian Pressure Gauge 4" @ 3 Pcs, CV. Idea Solution</t>
  </si>
  <si>
    <t>KK250036</t>
  </si>
  <si>
    <t>Material (Semen, Pasir dan Besi), Sui Fong</t>
  </si>
  <si>
    <t>Biaya Transfer, Sui Fong</t>
  </si>
  <si>
    <t>KK250046</t>
  </si>
  <si>
    <t>Material (K300), Jeffri Heryanto</t>
  </si>
  <si>
    <t>Biaya Transfer, Jeffri Heryanto</t>
  </si>
  <si>
    <t>KK250103</t>
  </si>
  <si>
    <t>Pembelian Sparepart Power Monitoring, Power Meter, Schneider, Pm5000, Metsepm 5110 @ 5 Unit Inv. 070, CV Lancar Anugrah Mandiri (F)</t>
  </si>
  <si>
    <t>Pembelian Sparepart Schneider Power Meter Metsepm5560 @ 4 Unit Inv. 070, CV Lancar Anugrah Mandiri (F)</t>
  </si>
  <si>
    <t>KK250157</t>
  </si>
  <si>
    <t>Pembelian Turbin Flowmeter @ 10 Unit Inv. 020 (F), Bangun Jaya Sejahtera</t>
  </si>
  <si>
    <t>Pembelian Mechanical Flow Meter @ 10 Unit Inv. 020 (F), Bangun Jaya Sejahtera</t>
  </si>
  <si>
    <t>Pembelian Gas Meter @ 10 Unit Inv. 020 (F), Bangun Jaya Sejahtera</t>
  </si>
  <si>
    <t>Pembelian Regulator @ 300 Unit Inv. 020 (F), Bangun Jaya Sejahtera</t>
  </si>
  <si>
    <t>Pembelian Ball Valve @ 50 Unit Inv. 020 (F), Bangun Jaya Sejahtera</t>
  </si>
  <si>
    <t>Pembelian Material Closing Punchlist BIG, Salisah</t>
  </si>
  <si>
    <t>BK250003</t>
  </si>
  <si>
    <t xml:space="preserve">Pembayaran PO 24313 Inv. 210 USD 10.483,42 @16.340, Tormene Industriale Srl </t>
  </si>
  <si>
    <t xml:space="preserve">Biaya Transfer USD 25 @16.340, Tormene Indsutriale Srl </t>
  </si>
  <si>
    <t>BK250024</t>
  </si>
  <si>
    <t xml:space="preserve">Pembayaran PO 24394 Inv. 011 (Man Power Sipil), Bpk. Materi </t>
  </si>
  <si>
    <t xml:space="preserve">PPh 2,5% Pembayaran PO 24394 Inv. 011 (Man Power Sipil), Bpk. Materi </t>
  </si>
  <si>
    <t xml:space="preserve">Biaya Transfer, Bpk. Materi </t>
  </si>
  <si>
    <t>BK250027</t>
  </si>
  <si>
    <t xml:space="preserve">Pembayaran PO 24394 Inv.010 (Man Power Sipil), Bpk. Materi </t>
  </si>
  <si>
    <t>PPh 2,5% Pembayaran PO 24394 Inv.010 (Man Power Sipil), Bpk. Materi</t>
  </si>
  <si>
    <t>Material (Batu Split, Triplek, Kaso)</t>
  </si>
  <si>
    <t>Biaya Transfer Material (Batu Split, Triplek, Kaso)</t>
  </si>
  <si>
    <t>Makan a.n Rudi Hartono dan Tim BIG</t>
  </si>
  <si>
    <t>Material (Baut, Kabel, Lampu, Kunci Inggris, Ring Bucan)</t>
  </si>
  <si>
    <t>Biaya Transfer Material (Baut, Kabel, Lampu, Kunci Inggris, Ring Bucan)</t>
  </si>
  <si>
    <t>Material (Clamp Pipa 6" @ 3 Ea)</t>
  </si>
  <si>
    <t>Biaya Transfer Material (Clamp Pipa 6" @ 3 Ea)</t>
  </si>
  <si>
    <t>Material (Lem Fox dan Lem Korea)</t>
  </si>
  <si>
    <t>Biaya Transfer Material (Lem Fox dan Lem Korea)</t>
  </si>
  <si>
    <t>Material (Kaso dan Paku)</t>
  </si>
  <si>
    <t>Biaya Transfer Material (Kaso dan Paku)</t>
  </si>
  <si>
    <t>Material (Besi 12 @ 15 Btg)</t>
  </si>
  <si>
    <t>Biaya Transfer Material (Besi 12 @ 15 Btg)</t>
  </si>
  <si>
    <t>BK250039</t>
  </si>
  <si>
    <t>Pembayaran PO 25012 Inv. 0G25 2500112, PT. Karya Prima Suplindo</t>
  </si>
  <si>
    <t>PPN 11% Pembayaran PO 25012 Inv. 0G25 2500112, PT. Karya Prima Suplindo</t>
  </si>
  <si>
    <t>BK250040</t>
  </si>
  <si>
    <t>Pembayaran PO 25011 Inv.010 MRI I.25 PT. Mahkota Raja Indonesia</t>
  </si>
  <si>
    <t>PPN 11% Pembayaran PO 25011 Inv.010 MRI I.25 PT. Mahkota Raja Indonesia</t>
  </si>
  <si>
    <t>PPh 2% Pembayaran PO 25011 Inv.010 MRI I.25 PT. Mahkota Raja Indonesia</t>
  </si>
  <si>
    <t>Biaya Transfer PT. Mahkota Raja Indonesia</t>
  </si>
  <si>
    <t>BK250042</t>
  </si>
  <si>
    <t>Pembayaran PO 24290 Inv. P25000007 EUR 4.991 @ 17.177, RMG Messtechnik GmbH</t>
  </si>
  <si>
    <t>Biaya Transfer USD 35 @ 16.450</t>
  </si>
  <si>
    <t>BK250061</t>
  </si>
  <si>
    <t>Pembayaran PO 24379 Inv.3S/INV/24 -12/0707 PT.3S International</t>
  </si>
  <si>
    <t>PPN 11% Pembayaran PO 24379 Inv.3S/INV/24 -12/0707 PT.3S International</t>
  </si>
  <si>
    <t>BSK250016</t>
  </si>
  <si>
    <t>Pembayaran Pengiriman Barang Ke Gresik Inv. 1119, CV. Sarana Pratama Expressindo</t>
  </si>
  <si>
    <t>PPh 2% Pembayaran Pengiriman Barang Ke Gresik Inv. 1119, CV. Sarana Pratama Expressindo</t>
  </si>
  <si>
    <t>BSK250017</t>
  </si>
  <si>
    <t>Pembayaran Man Power Sipil (PO 24394) Inv. 031</t>
  </si>
  <si>
    <t>PPh 2,5% Pembayaran Man Power Sipil (PO 24394) Inv. 031</t>
  </si>
  <si>
    <t>BSK250058</t>
  </si>
  <si>
    <t>UMK Azyana Febri Rumpaka, Azyana Febri Rumpaka</t>
  </si>
  <si>
    <t>Makan Lembur BIG (Murdiyanto), Eko</t>
  </si>
  <si>
    <t>BSK250080</t>
  </si>
  <si>
    <t>Pembelian Selang dan Pompa Air, Adinda Naufianti</t>
  </si>
  <si>
    <t>Biaya Transfer Pembelian Selang dan Pompa Air, Adinda Naufianti</t>
  </si>
  <si>
    <t>Pembayaran Beton K-3303D PT. Trias Beton Perkasa, Adinda Naufianti</t>
  </si>
  <si>
    <t>Biaya Transfer Pembayaran Beton K-3303D PT. Trias Beton Perkasa, Adinda Naufianti</t>
  </si>
  <si>
    <t>Material (Kabel, Mata Bor, Terminal, Stecker, Tespen), Adinda Naufianti</t>
  </si>
  <si>
    <t>Biaya Transfer Material (Kabel, Mata Bor, Terminal, Stecker, Tespen), Adinda Naufianti</t>
  </si>
  <si>
    <t>Material (Swing Check Valve Cast Steel), Adinda Naufianti</t>
  </si>
  <si>
    <t>Biaya Transfer Material (Swing Check Valve Cast Steel), Adinda Naufianti</t>
  </si>
  <si>
    <t>Material (Kabel 1 Pair @ 35 m dan Kabel 12 Pair @ 17 m), Adinda Naufianti</t>
  </si>
  <si>
    <t>Biaya Transfer Material (Kabel 1 Pair @ 35 m dan Kabel 12 Pair @ 17 m), Adinda Naufianti</t>
  </si>
  <si>
    <t>BSK250104</t>
  </si>
  <si>
    <t>Pembayaran DP 30% PO 25011 Inv. 006.INV.MRI.I.25, PT. Mahkota Raja Indonesia</t>
  </si>
  <si>
    <t>PPN 11% Pembayaran DP 30% PO 25011 Inv. 006.INV.MRI.I.25, PT. Mahkota Raja Indonesia</t>
  </si>
  <si>
    <t>PPh 2% Pembayaran DP 30% PO 25011 Inv. 006.INV.MRI.I.25, PT. Mahkota Raja Indonesia</t>
  </si>
  <si>
    <t>BSK250106</t>
  </si>
  <si>
    <t>Pembayaran PO 25012 Inv. 00054/KPS/I/2025, PT. Karya Prima Suplindo</t>
  </si>
  <si>
    <t>PPN 11% Pembayaran PO 25012 Inv. 00054/KPS/I/2025, PT. Karya Prima Suplindo</t>
  </si>
  <si>
    <t>Biaya Transfer, PT. Karya Prima Suplindo</t>
  </si>
  <si>
    <t>BSK250107</t>
  </si>
  <si>
    <t>Pembayaran PO 24394 (Man Power Sipil) Inv. 028/INV/KSM/I/25, Bpk. Materi</t>
  </si>
  <si>
    <t>PPh 2,5% Pembayaran PO 24394 (Man Power Sipil) Inv. 028/INV/KSM/I/25, Bpk. Materi</t>
  </si>
  <si>
    <t>Biaya Transfer, Bpk. Materi</t>
  </si>
  <si>
    <t>Pembelian Selang Pompa</t>
  </si>
  <si>
    <t>Biaya Transfer Pembelian Selang Pompa</t>
  </si>
  <si>
    <t>Material (Elbow dan Hex Plug)</t>
  </si>
  <si>
    <t>Biaya Transfer Material (Elbow dan Hex Plug)</t>
  </si>
  <si>
    <t>Material (Male Conn 3/4 x 1/2 @ 10 Pcs &amp; Male Conn 3/4 x 1/4 @ 10 Pcs)</t>
  </si>
  <si>
    <t>Biaya Transfer Material (Male Conn 3/4 x 1/2 @ 10 Pcs &amp; Male Conn 3/4 x 1/4 @ 10 Pcs)</t>
  </si>
  <si>
    <t>Material (Mata Bor dan Dinabolt)</t>
  </si>
  <si>
    <t>Biaya Transfer Material (Mata Bor dan Dinabolt)</t>
  </si>
  <si>
    <t>Material (Mata Bor Beton)</t>
  </si>
  <si>
    <t>Biaya Transfer Material (Mata Bor Beton)</t>
  </si>
  <si>
    <t>Material (Semen dan Dinabolt)</t>
  </si>
  <si>
    <t>Biaya Transfer Material (Semen dan Dinabolt)</t>
  </si>
  <si>
    <t>Biaya Makan Lembur BIG (Arfa,Ikmal,Ilham)</t>
  </si>
  <si>
    <t>Biaya Makan Dio Nesta dan Tim BIG</t>
  </si>
  <si>
    <t>Pembelian Apar Powder 6 kg</t>
  </si>
  <si>
    <t>Biaya Peralatan (Sarung Tangan Katun, Kacamata Techno,Chin Strap, Fire Blanket)</t>
  </si>
  <si>
    <t>Pembuatan Spanduk</t>
  </si>
  <si>
    <t>Biaya Peralatan (Lakban Bening)</t>
  </si>
  <si>
    <t>Pembelian Peralatan Mandi</t>
  </si>
  <si>
    <t>Biaya Makan Azyana,Pak Rahmad,Radik,Hermanto dan Tim BIG</t>
  </si>
  <si>
    <t>Biaya Transfer Makan Azyana,Pak Rahmad,Radik,Hermanto dan Tim BIG</t>
  </si>
  <si>
    <t>Pembelian Material (Semen@3 sak)</t>
  </si>
  <si>
    <t>Biaya Transfer Pembelian Material (Semen@3 sak)</t>
  </si>
  <si>
    <t>Pembayaran DP Function Room a.n Azyana</t>
  </si>
  <si>
    <t>Biaya Transfer Pembayaran DP Function Room a.n Azyana</t>
  </si>
  <si>
    <t>Pembelian Material (Pressure Tank 10 Bar)</t>
  </si>
  <si>
    <t>Biaya Transfer Pembelian Material (Pressure Tank 10 Bar)</t>
  </si>
  <si>
    <t>Biaya Sewa Hyab Crane 8 Ton</t>
  </si>
  <si>
    <t>PPh 2% Biaya Sewa Hyab Crane 8 Ton</t>
  </si>
  <si>
    <t>Biaya Transfer Biaya Sewa Hyab Crane 8 Ton</t>
  </si>
  <si>
    <t>Pembayaran DP 30% PO 24373 INV IGI-0125-014 PT Intesco Globa Internusa</t>
  </si>
  <si>
    <t>PPN 11% Pembayaran DP 30% PO 24373 INV IGI-0125-014 PT Intesco Globa Internusa</t>
  </si>
  <si>
    <t>PPh 2% Pembayaran DP 30% PO 24373 INV IGI-0125-014 PT Intesco Globa Internusa</t>
  </si>
  <si>
    <t>Biaya Transfer Pembayaran DP 30% PO 24373 INV IGI-0125-014 PT Intesco Globa Internusa</t>
  </si>
  <si>
    <t>BSK250140</t>
  </si>
  <si>
    <t>PPN Import PO 24259 &amp; 24290 Direktorat Jenderal Bea &amp; Cukai</t>
  </si>
  <si>
    <t>PPH Import PO 24259 &amp; 24290 Direktorat Jenderal Bea &amp; Cukai</t>
  </si>
  <si>
    <t>Pembayaran Pelunasan Function Room a.n Azyana</t>
  </si>
  <si>
    <t>Biaya Transfer Pembayaran Pelunasan Function Room a.n Azyana</t>
  </si>
  <si>
    <t>Pembelian Material (Nitrogen @5 ea dan Jaminan Tabung Nitrogen)</t>
  </si>
  <si>
    <t>Biaya Makan Meeting Fajar Andik dan Tim BIG</t>
  </si>
  <si>
    <t>Biaya Transfer Makan Meeting Fajar Andik dan Tim BIG</t>
  </si>
  <si>
    <t>Pembelian Materaial (Flange 4"#600)</t>
  </si>
  <si>
    <t>Biaya Transfer Pembelian Materaial (Flange 4"#600)</t>
  </si>
  <si>
    <t>Pembelian Material (Cakar Ayam, Batu Split, Semen,Boskam)</t>
  </si>
  <si>
    <t>Biaya Transfer Pembelian Material (Cakar Ayam, Batu Split, Semen,Boskam)</t>
  </si>
  <si>
    <t>Pembelian Material (Hebel 7,5 cm)</t>
  </si>
  <si>
    <t>Biaya Transfer Pembelian Material (Hebel 7,5 cm)</t>
  </si>
  <si>
    <t>BSK250148</t>
  </si>
  <si>
    <t>Pembayaran Man Power Sipil (PO 24394) Inv. 009, Bpk. Materi</t>
  </si>
  <si>
    <t>PPh 2,5% Pembayaran Man Power Sipil (PO 24394) Inv. 009, Bpk. Materi</t>
  </si>
  <si>
    <t>Makan Lembur BIG (Arfa, Ikmal, Arif, Fajar)</t>
  </si>
  <si>
    <t>UMK a.n Rudi Hartono</t>
  </si>
  <si>
    <t>Jasa Drawing dan Survei Project BIG (General Plot Plan dan Modification Gas Filter)</t>
  </si>
  <si>
    <t>PPh 2,5% Jasa Drawing dan Survei Project BIG (General Plot Plan dan Modification Gas Filter)</t>
  </si>
  <si>
    <t>Biaya Transfer Jasa Drawing dan Survei Project BIG (General Plot Plan dan Modification Gas Filter)</t>
  </si>
  <si>
    <t>Pembayaran DP 30% Pagar BCR</t>
  </si>
  <si>
    <t>Biaya Transfer Pembayaran DP 30% Pagar BCR</t>
  </si>
  <si>
    <t>Material (Semen dan Besi)</t>
  </si>
  <si>
    <t>Biaya Transfer Material (Semen dan Besi)</t>
  </si>
  <si>
    <t>BSK250181a</t>
  </si>
  <si>
    <t>Transport Toll Fajar Andik</t>
  </si>
  <si>
    <t>Transport BBM Fajar Andik</t>
  </si>
  <si>
    <t>Peralatan (Gagang Gergaji dan Gergaji)</t>
  </si>
  <si>
    <t>BSK250182</t>
  </si>
  <si>
    <t>Peralatan (Trafo, Batre, Steker)</t>
  </si>
  <si>
    <t>Makan dan Minum (BIG)</t>
  </si>
  <si>
    <t>BSK250194</t>
  </si>
  <si>
    <t>Pembelian Material (Pipa HDPE dan Batu) Inv. 0031</t>
  </si>
  <si>
    <t>BSK250202</t>
  </si>
  <si>
    <t xml:space="preserve">Material (Flange dan Studbolt 1") </t>
  </si>
  <si>
    <t xml:space="preserve">Transport BBM Faishol </t>
  </si>
  <si>
    <t>Makan dan Minum (Faishol, Cahyo, Agung, Dani, Dio, BIG, Pertagas)</t>
  </si>
  <si>
    <t>Material</t>
  </si>
  <si>
    <t>Iuran Lingkungan</t>
  </si>
  <si>
    <t>Makan Meeting BIG (Agung S)</t>
  </si>
  <si>
    <t>Material Lapangan (Besi UNP 100)</t>
  </si>
  <si>
    <t>Biaya Transfer Material Lapangan (Besi UNP 100)</t>
  </si>
  <si>
    <t>Material Lapangan (Rubber Sheet @ 2 Pcs)</t>
  </si>
  <si>
    <t>Biaya Transfer Material Lapangan (Rubber Sheet @ 2 Pcs)</t>
  </si>
  <si>
    <t>Material Lapangan (Plat dan Pipa)</t>
  </si>
  <si>
    <t>Biaya Transfer Material Lapangan (Plat dan Pipa)</t>
  </si>
  <si>
    <t>Material Lapangan (Mata Bor dan Selang)</t>
  </si>
  <si>
    <t>Biaya Transfer Material Lapangan (Mata Bor dan Selang)</t>
  </si>
  <si>
    <t>Material Lapangan (Kawat Duri @ 4 Roll)</t>
  </si>
  <si>
    <t>Biaya Transfer Material Lapangan (Kawat Duri @ 4 Roll)</t>
  </si>
  <si>
    <t>Pembelian Box Apar 6 Kg</t>
  </si>
  <si>
    <t>Makan Lembur BIG (Arffa da Ikmal)</t>
  </si>
  <si>
    <t>Material Lapangan (K300 BIG)</t>
  </si>
  <si>
    <t>Biaya Transfer Material Lapangan (K300 BIG)</t>
  </si>
  <si>
    <t>Material Lapangan (Bambu @ 20 Ea)</t>
  </si>
  <si>
    <t>Biaya Transfer Material Lapangan (Bambu @ 20 Ea)</t>
  </si>
  <si>
    <t>BSK250240</t>
  </si>
  <si>
    <t>Pembayaran Cicilan Pelunasan PO 24369 Inv. 008.INV.MRI.I.25</t>
  </si>
  <si>
    <t>BSK250242</t>
  </si>
  <si>
    <t>Pembayaran Pelunasan PO 24338 Inv. 017-INV-PPN-I-2025</t>
  </si>
  <si>
    <t>PPN 11% Pembayaran Pelunasan PO 24338 Inv. 017-INV-PPN-I-2025</t>
  </si>
  <si>
    <t>BSK250270</t>
  </si>
  <si>
    <t>Lalamove (Pintu BRC BIG)</t>
  </si>
  <si>
    <t>Biaya Transfer Lalamove (Pintu BRC BIG)</t>
  </si>
  <si>
    <t>Material Lapangan (Bata Merah, Batu Split, Karung)</t>
  </si>
  <si>
    <t>Pembelian Material (N2) BIG</t>
  </si>
  <si>
    <t>Biaya Transfer Pembelian Material (N2) BIG</t>
  </si>
  <si>
    <t>Pembelian Material BIG</t>
  </si>
  <si>
    <t>Biaya Transfer Pembelian Material BIG</t>
  </si>
  <si>
    <t>Pembelian Material (Pasir, Batu dan Semen)</t>
  </si>
  <si>
    <t>Biaya Transfer Pembelian Material (Pasir, Batu dan Semen)</t>
  </si>
  <si>
    <t>Biaya Transport Ahmad Taufiq</t>
  </si>
  <si>
    <t>Biaya Transfer Transport Ahmad Taufiq</t>
  </si>
  <si>
    <t>Biaya Makan Lembur BIG (Arfa,Toro,Ikmal)</t>
  </si>
  <si>
    <t>BSK250304</t>
  </si>
  <si>
    <t>Pembayaran Pelunasan PO 25011 INV 010.INV.MRLI.I.25 PT. Mahkota Raja Indonesia</t>
  </si>
  <si>
    <t>PPN 11% Pembayaran Pelunasan PO 25011 INV 010.INV.MRLI.I.25 PT. Mahkota Raja Indonesia</t>
  </si>
  <si>
    <t>PPh 2% Pembayaran Pelunasan PO 25011 INV 010.INV.MRLI.I.25 PT. Mahkota Raja Indonesia</t>
  </si>
  <si>
    <t>Biaya Transfer Pembayaran Pelunasan PO 25011 INV 010.INV.MRLI.I.25 PT. Mahkota Raja Indonesia</t>
  </si>
  <si>
    <t>BSK250327</t>
  </si>
  <si>
    <t>Transport Toll, Ahmad Rizal</t>
  </si>
  <si>
    <t>Transport Parkir, Ahmad Rizal</t>
  </si>
  <si>
    <t>Transport BBM, Ahmad Rizal</t>
  </si>
  <si>
    <t>ATK (Bindex, Pocket, Tinta, Spidol), Ahmad Rizal</t>
  </si>
  <si>
    <t>Laundry, Ahmad Rizal</t>
  </si>
  <si>
    <t>BSK250367</t>
  </si>
  <si>
    <t>Pembayaran PO 24394 (Man Power) Inv.012/INV/KSM/II/25, Bpk. Materi</t>
  </si>
  <si>
    <t>PPh 2,5% Pembayaran PO 24394 (Man Power) Inv.012/INV/KSM/II/25, Bpk. Materi</t>
  </si>
  <si>
    <t>BSK250371</t>
  </si>
  <si>
    <t>Pembayaran Pelunasan PO 25024, Suliharto</t>
  </si>
  <si>
    <t>PPh 2,5% Pembayaran Pelunasan PO 25024, Suliharto</t>
  </si>
  <si>
    <t>BSK250385</t>
  </si>
  <si>
    <t>Transport Toll Amry Fajar</t>
  </si>
  <si>
    <t>Transport BBM Amry Fajar</t>
  </si>
  <si>
    <t>BSK250388</t>
  </si>
  <si>
    <t>Tansport BBM Reli Nurfaiz</t>
  </si>
  <si>
    <t>Transport Toll Reli Nurfaiz</t>
  </si>
  <si>
    <t>BSK250392</t>
  </si>
  <si>
    <t>Trannsport BBM Fajar Andik</t>
  </si>
  <si>
    <t>Transport Parkir Fajar Andik</t>
  </si>
  <si>
    <t>Makan Lembur BIG (Mardhani)</t>
  </si>
  <si>
    <t>Material (Plat)</t>
  </si>
  <si>
    <t>BSK250408</t>
  </si>
  <si>
    <t xml:space="preserve">Makan dan Minum (Rizal dan Aulia Migas) </t>
  </si>
  <si>
    <t>BSK250428</t>
  </si>
  <si>
    <t>Pembayaran Pelunasan PO 24369 Inv. 008.INV.MRI.I.25, PT. Mahkota Raja Indonesia</t>
  </si>
  <si>
    <t>PPN 11% Pembayaran Pelunasan PO 24369 Inv. 008.INV.MRI.I.25, PT. Mahkota Raja Indonesia</t>
  </si>
  <si>
    <t>PPh 2% Pembayaran Pelunasan PO 24369 Inv. 008.INV.MRI.I.25, PT. Mahkota Raja Indonesia</t>
  </si>
  <si>
    <t>BSK250430</t>
  </si>
  <si>
    <t>Pembayaran PO 24382 Inv. 047/KIS-INV/XII/2024, PT. Karya Instrumindo Simpati</t>
  </si>
  <si>
    <t>PPN 11% Pembayaran PO 24382 Inv. 047/KIS-INV/XII/2024, PT. Karya Instrumindo Simpati</t>
  </si>
  <si>
    <t>BSK250438</t>
  </si>
  <si>
    <t>Pembayaran PO 24394 (Man Power Sipil) Inv. 013/INV/KSM/II/25, Bpk. Materi</t>
  </si>
  <si>
    <t>PPh 2,5% Pembayaran PO 24394 (Man Power Sipil) Inv. 013/INV/KSM/II/25, Bpk. Materi</t>
  </si>
  <si>
    <t>BSK250439</t>
  </si>
  <si>
    <t>Pembayaran Beton K250, Vibrator Beton, Excavator PC250, Tiang Windsock, Pintu Pagar, Tiang &amp; Pagar BRC, Wahyu Wijayanto</t>
  </si>
  <si>
    <t>Material (Perbaikan Kebocoran Beton)</t>
  </si>
  <si>
    <t>Material (Windo Sock)</t>
  </si>
  <si>
    <t>Material (Sticker Location Thickness @ 50 Pcs), Adinda Novianti Fadli</t>
  </si>
  <si>
    <t>BSK250553</t>
  </si>
  <si>
    <t>Pembayaran Pelunasan PO 24372 Inv.06/INV/2025 PT.Tlaga Jaya Engineering</t>
  </si>
  <si>
    <t>PPN 11% Pembayaran Pelunasan PO 24372 Inv.06/INV/2025 PT.Tlaga Jaya Engineering</t>
  </si>
  <si>
    <t>PPh 2% Pembayaran Pelunasan PO 24372 Inv.06/INV/2025 PT.Tlaga Jaya Engineering</t>
  </si>
  <si>
    <t>Transfer Antar Bank PT.Tlaga Jaya Engineering</t>
  </si>
  <si>
    <t>BSK250623</t>
  </si>
  <si>
    <t>Transport BBM Dio Nesta Herdiansyah</t>
  </si>
  <si>
    <t>Transport Toll Dio Nesta Herdiansyah</t>
  </si>
  <si>
    <t>Makan &amp; Minum Dio Nesta Herdiansyah</t>
  </si>
  <si>
    <t>Biaya Transfer Dio Nesta Herdiansyah</t>
  </si>
  <si>
    <t>BSK250638</t>
  </si>
  <si>
    <t>JNE Eko Waluyo</t>
  </si>
  <si>
    <t>Material (Nameplate &amp; Sticker) Adinda Novinati Fadli</t>
  </si>
  <si>
    <t>BSK250647</t>
  </si>
  <si>
    <t>Transport Toll Azyana Febri Rumpaka</t>
  </si>
  <si>
    <t>Transport BBM Azyana Febri Rumpaka</t>
  </si>
  <si>
    <t>Makan &amp; Minum ((Manurung,Hermanto,Aji,Rifki,Abdurrahim (BIG)) Azyana Febri Rumpaka</t>
  </si>
  <si>
    <t>Material Lapangan Azyana Febri Rumpaka</t>
  </si>
  <si>
    <t>Biaya Transfer Azyana febri Rumpaka</t>
  </si>
  <si>
    <t>BSK250758</t>
  </si>
  <si>
    <t>Pembayaran Pelunasan PO 24373 Inv.IGI-0425-091 PT.Intesco Global Internusa</t>
  </si>
  <si>
    <t>PPN Pembayaran Pelunasan PO 24373 Inv.IGI-0425-091 (04002500097044788) PT.Intesco Global Internusa</t>
  </si>
  <si>
    <t>PPh 2% Pembayaran Pelunasan PO 24373 Inv.IGI-0425-091 PT.Intesco Global Internusa</t>
  </si>
  <si>
    <t>Biaya Transfer PT.Intesco Global Internusa</t>
  </si>
  <si>
    <t>Pembayaran Shipment P2 PO 24357 &amp; 24313 Inv.0161 PT.Kartika Eka Yudha Maritim</t>
  </si>
  <si>
    <t>PPN Pembayaran Shipment P2 PO 24357 &amp; 24313 Inv.0161 PT.Kartika Eka Yudha Maritim</t>
  </si>
  <si>
    <t>PPh 2% Pembayaran Shipment P2 PO 24357 &amp; 24313 Inv.0161 PT.Kartika Eka Yudha Maritim</t>
  </si>
  <si>
    <t>Makan Lembur BIG (Arfa,Ikmal) Eko Waluyo</t>
  </si>
  <si>
    <t>Pembayaran Shipment P2 PO 24259 &amp; PO 24290 Inv.0164, PT.Kartika Eka Yudha Maritim</t>
  </si>
  <si>
    <t>PPN 11% Pembayaran Shipment P2 PO 24259 &amp; PO 24290 Inv.0164, PT.Kartika Eka Yudha Maritim</t>
  </si>
  <si>
    <t>PPh 2% Pembayaran Shipment P2 PO 24259 &amp; PO 24290 Inv.0164, PT.Kartika Eka Yudha Maritim</t>
  </si>
  <si>
    <t>ATK (Bantex Boxfile @ 20 Unit Inv.018 (Fee), Achmad Rizal Mubarrak</t>
  </si>
  <si>
    <t>ATK (Pulpen,Penghapus,Mouse,dll @ 1 Unit Inv.018 (Fee), Achmad Rizal Mubarrak</t>
  </si>
  <si>
    <t>BSK251056c</t>
  </si>
  <si>
    <t>Pengunaan Atas Pengembalian Jaminan Tabung Nitrogen (V.BSK250144), Azyana Febri Rumpaka</t>
  </si>
  <si>
    <t>Pembayaran Makan Bersama Tim PT.Banten Inti Gasindo, Azyana Febri Rumpaka</t>
  </si>
  <si>
    <t>BSM250098a</t>
  </si>
  <si>
    <t xml:space="preserve">Penerimaan Dari Pengembalian Double Bayar PO 25011 Inv.010.MRI.I.25,PT.Mahkota Raja Indonesia </t>
  </si>
  <si>
    <t>Transfer Antar Bank, PT.Mahkota Raja Indonesia</t>
  </si>
  <si>
    <t>Makan Lembur BIG (Rudi,Faishol,Agung), Eko Waluyo</t>
  </si>
  <si>
    <t>Makan (Rudi Hartono,Azyana,Fajar Andik,Bayhaqi &amp; BIG), Yuli Irawati</t>
  </si>
  <si>
    <t>BSM250101</t>
  </si>
  <si>
    <t>Penerimaan Dari Pengembalian Double Bayar PO 25012 Inv.OG25 2500112, PT.Karya Prima Suplindo</t>
  </si>
  <si>
    <t>Selisih Pembulatan Penerimaan Dari Pengembalian Double Bayar PO 25012 Inv.OG25 2500112, PT.Karya Prima Suplindo</t>
  </si>
  <si>
    <t>BSK251131</t>
  </si>
  <si>
    <t>Makan, Rudi Hartono</t>
  </si>
  <si>
    <t>Transfer Antar Bank, Rudi Hartono</t>
  </si>
  <si>
    <t>Makan Lembur BIG (Arief,Bayhaqi,Ardi,Fajar), Eko Waluyo</t>
  </si>
  <si>
    <t>BSK251226</t>
  </si>
  <si>
    <t>Tranport BBM, Azyana Febri Rumpaka</t>
  </si>
  <si>
    <t>BSK251243</t>
  </si>
  <si>
    <t>BSK251285</t>
  </si>
  <si>
    <t>Makan (Agung,Azyana,Faishol,Operator), Agung Sulistyono</t>
  </si>
  <si>
    <t>BSK251293</t>
  </si>
  <si>
    <t>431a</t>
  </si>
  <si>
    <t>KSM24P166</t>
  </si>
  <si>
    <t>Pembelian Peralatan Utama CleanAir Critical Orifice Set or Individual Critical Orifice @3 Ea Inv. 50, Indojaya Semesta Bangunan</t>
  </si>
  <si>
    <t>Pembelian Peralatan Utama CleanAir Method 6 Critical Orifice Set @7 Ea Inv. 50, Indojaya Semesta Bangunan</t>
  </si>
  <si>
    <t>Pembelian Peralatan Utama Platon Cd031272 Shunt-plate Orifice Model Range Flowmeter Set 50-250M3/Hr @2 Ea Inv. 50, Indojaya Semesta Bangunan</t>
  </si>
  <si>
    <t>KK250101</t>
  </si>
  <si>
    <t>Sumbangan Buka Bersama dan Santunan Anak Yatim PT. Surya Energi Parahita, Baktiawan Ade Negara</t>
  </si>
  <si>
    <t>Biaya Transfer, Baktiawan Ade Negara</t>
  </si>
  <si>
    <t>Makan a.n Rafi, Jiko, Omat, Adi, Didin</t>
  </si>
  <si>
    <t>Makan a.n Fajar Andik &amp; SEP, Rizqi Aulia</t>
  </si>
  <si>
    <t>BK250044</t>
  </si>
  <si>
    <t>KSM24P166 &amp; KSM24P168</t>
  </si>
  <si>
    <t>Pembayaran DP PO 25026 Inv. SYXL2025020401 USD 720 @ 16.450, Shenyang Xinlian Petro-Chemical</t>
  </si>
  <si>
    <t>BK250053</t>
  </si>
  <si>
    <t>Pembayaran Pelunasan 70% PO 25026 Inv. SYXL2025020401 USD 1.680 @ 16.535, Shenyang Xinlian Petrochemical Equipment Co., Ltd</t>
  </si>
  <si>
    <t>Biaya Transfer USD 25 @ 16.535</t>
  </si>
  <si>
    <t>BK250060</t>
  </si>
  <si>
    <t>Pembayaran DP 30% PO 25034 USD 3.364,05 @ 16.510 Palmer Wahl Instruments, Inc</t>
  </si>
  <si>
    <t>Transfer Antar Bank USD 25 @ 16.510 Palmer Wahl Instruments, Inc</t>
  </si>
  <si>
    <t>BK250063</t>
  </si>
  <si>
    <t>Pembayaran DP 30% PO 25042 Inv.25057 (SEP Metering Orifice) USD 3.576 @ 16.585 Zhejiang Flour Valve Co.Ltd</t>
  </si>
  <si>
    <t>Transfer Antar Bank USD 25 @ 16.585 Zhejiang Flour Valve Co.Ltd</t>
  </si>
  <si>
    <t>BK250073</t>
  </si>
  <si>
    <t>Pembayaran Pelunasan 70% PO 25042 Inv.25057 USD 8.344,00 @ 16.715 Zhejiang Flour Valve Co Ltd</t>
  </si>
  <si>
    <t>BK250092</t>
  </si>
  <si>
    <t>Pembayaran Pelunasan 70% PO 25034 Inv.25-00485 USD 7.849,45 @ 16.640, Palmer Wahl Instruments, INC</t>
  </si>
  <si>
    <t>Biaya Transfer USD 25 @ 16.640, Palmer Wahl Instruments. INC</t>
  </si>
  <si>
    <t>BK250093</t>
  </si>
  <si>
    <t>Pembayaran PO 25049 Inv.PSI047093 USD 5.309,23 @ 16.640, Canalta Control Ltd</t>
  </si>
  <si>
    <t>Biaya Transfer USD 25 @ 16.640, Canalta Control Ltd</t>
  </si>
  <si>
    <t>BK250099</t>
  </si>
  <si>
    <t>Pembayaran PO 25100 Inv.SO044625 USD 361,68 @ 16.460, Canalta Control Ltd</t>
  </si>
  <si>
    <t>Biaya Transfer USD 25 @ 16.460, Canalta Control Ltd</t>
  </si>
  <si>
    <t>BSK250181</t>
  </si>
  <si>
    <t>Pembelian Helm Proyek Putih @ 6 Pcs dan Helm Proyek Merah @ 1 Pcs</t>
  </si>
  <si>
    <t>Makan Lembur SEP (Amry Fajar)</t>
  </si>
  <si>
    <t>Makan Meeting (Sigit, Agung dan Tim SEP)</t>
  </si>
  <si>
    <t>Makan Lembur SEP (Amry dan Arffa)</t>
  </si>
  <si>
    <t>Pembayaran PNBP UTTP Meter Gas Turbin dan EVC No. T-2284-02-2025</t>
  </si>
  <si>
    <t>BSK250460</t>
  </si>
  <si>
    <t>KSM24P166, KSM24P167, KSM24P168 &amp; KSM25P004</t>
  </si>
  <si>
    <t>Sumbangan Santunan Anak Yatim dan Dhuafa</t>
  </si>
  <si>
    <t>BSK250572</t>
  </si>
  <si>
    <t>Transport BBM (Dio Nesta) Adinda Novianti Fadli</t>
  </si>
  <si>
    <t>BSK250606</t>
  </si>
  <si>
    <t>Pembayaran DP 30% PO 25091 Inv.053 (SEP Meter Orifis) PT.Bhirawa Metal Mandiri</t>
  </si>
  <si>
    <t>PPN 11% Pembayaran DP 30% PO 25091 Inv.053 (SEP Meter Orifis) PT.Bhirawa Metal Mandiri</t>
  </si>
  <si>
    <t>PPH 2% Pembayaran DP 30% PO 25091 Inv.053 (SEP Meter Orifis) PT.Bhirawa Metal Mandiri</t>
  </si>
  <si>
    <t>Transfer Antar Bank PT.Bhirawa Metal Mandiri</t>
  </si>
  <si>
    <t>BSK250612</t>
  </si>
  <si>
    <t>KSM24P166,KSM24P168,KSM25P020,KSM25P021</t>
  </si>
  <si>
    <t>Pembayaran Cicilan DP 35% PO 25106 Inv.0110325 PT.Nurman Indoban Sentosa</t>
  </si>
  <si>
    <t>Transfer Antar Bank PT.Nurman Indoban Sentosa</t>
  </si>
  <si>
    <t>Pengiriman Barang dar KSM- Nurman Adinda Novinati Fadli</t>
  </si>
  <si>
    <t>PPh 2% Pengiriman Barang dar KSM- Nurman Adinda Novinati Fadli</t>
  </si>
  <si>
    <t>BSK250641</t>
  </si>
  <si>
    <t>PPN Import PO 25009 &amp; PO 25026 Direktorat Jenderal Bea &amp; Cukai</t>
  </si>
  <si>
    <t>BSK250658</t>
  </si>
  <si>
    <t>Pembayaran Pelunasan DP 35% PO 25106 Inv.0110325 PT.Nurman Indoban Sentosa</t>
  </si>
  <si>
    <t>PPN Pembayaran Pelunasan DP 35% PO 25106 Inv.0110325 PT.Nurman Indoban Sentosa</t>
  </si>
  <si>
    <t>PPH 2,65% Pembayaran Pelunasan DP 35% PO 25106 Inv.0110325 PT.Nurman Indoban Sentosa</t>
  </si>
  <si>
    <t>Lalamove dari KSM-PT Nurman Mitra Sentosa Adinda Novianti Fadli</t>
  </si>
  <si>
    <t>BSK250760</t>
  </si>
  <si>
    <t>Pembayaran PO 25104 Inv.00113 Saudara Mandiri Bangkit a.n Sutarman</t>
  </si>
  <si>
    <t>Bea Masuk PO 25100 Adinda Novianti Fadli</t>
  </si>
  <si>
    <t>PPN Import PO 25100 Adinda Novianti Fadli</t>
  </si>
  <si>
    <t>Pembayaran Shipment PO 25100 Adinda Novianti Fadli</t>
  </si>
  <si>
    <t>PPN Shipment PO 25100 Adinda Novianti Fadli</t>
  </si>
  <si>
    <t>PPh 2% Shipment PO 25100 Adinda Novianti Fadli</t>
  </si>
  <si>
    <t>BSK250815</t>
  </si>
  <si>
    <t>Pembayaran DP PO 25144 Inv.007/PI/DP/Q049R1/SDU/IV/25 PT.Surya Dwi Utama</t>
  </si>
  <si>
    <t>PPN 11% Pembayaran DP PO 25144 Inv.007/PI/DP/Q049R1/SDU/IV/25 PT.Surya Dwi Utama</t>
  </si>
  <si>
    <t>Transfer Antar Bank PT.Surya Dwi Utama</t>
  </si>
  <si>
    <t>BSK250840</t>
  </si>
  <si>
    <t>Pembayaran Shipment PO 25100 Inv.JKTIR00856815 PT.Birotika Semesta</t>
  </si>
  <si>
    <t>PPN Pembayaran Shipment PO 25100 Inv.JKTIR00856815 PT.Birotika Semesta</t>
  </si>
  <si>
    <t>PPh 2% Pembayaran Shipment PO 25100 Inv.JKTIR00856815 PT.Birotika Semesta</t>
  </si>
  <si>
    <t>Biaya Transfer PT.Birotika Semesta</t>
  </si>
  <si>
    <t>BSK250843</t>
  </si>
  <si>
    <t>Pembayaran PO 25145 Inv.118/INV/PSU/IV/2025, PT.Pasopati Surya Utama</t>
  </si>
  <si>
    <t>PPN Pembayaran PO 25145 Inv.118/INV/PSU/IV/2025, PT.Pasopati Surya Utama</t>
  </si>
  <si>
    <t>Transfer Antar Bank, PT.Pasopati Surya Utama</t>
  </si>
  <si>
    <t>BSK250844</t>
  </si>
  <si>
    <t>Pembayaran PO 25134 Inv.167, PT.Sinar Utama Grounding</t>
  </si>
  <si>
    <t>PPN Pembayaran PO 25134 Inv.167, PT.Sinar Utama Grounding</t>
  </si>
  <si>
    <t>BSK250881</t>
  </si>
  <si>
    <t>Pembayaran PO 25147 Inv.009, PT.Nauken Sure Abadi</t>
  </si>
  <si>
    <t xml:space="preserve">PPN Pembayaran PO 25147 Inv.009, PT.Nauken Sure Abadi </t>
  </si>
  <si>
    <t>Transfer Antar Bank, PT.Nauken Sure Abadi</t>
  </si>
  <si>
    <t>BSK250933</t>
  </si>
  <si>
    <t>Bea Masuk PO 24391,25092,25086, Direktorat Jeneral Bea &amp; Cukai</t>
  </si>
  <si>
    <t>BSK250965</t>
  </si>
  <si>
    <t>Pembayaran PO 25161 Inv.0515/AF/V/2025 (BBG Stainless 200), CV.Abadi Filter</t>
  </si>
  <si>
    <t>Biaya Transfer, CV.Abadi Filter</t>
  </si>
  <si>
    <t>Makan Lembur SEP (Agung,Arfa,Hisyam,Bayu,Ikmal,Fajar), Eko Waluyo</t>
  </si>
  <si>
    <t>BSK250986</t>
  </si>
  <si>
    <t>Pembayaran Pelunasan PO 25091 Inv.086 PT.Bhirawa Metal Mandiri</t>
  </si>
  <si>
    <t>PPN 04002500126235021 Pembayaran Pelunasan PO 25091 Inv.086 PT.Bhirawa Metal Mandiri</t>
  </si>
  <si>
    <t>BSK250992</t>
  </si>
  <si>
    <t>Pembayaran DP 30% PO 25132 Inv.190425-SJ-17 Dzaki Saniyyah Nurman</t>
  </si>
  <si>
    <t>Makan Lembur SEP (Arfa), Eko Waluyo</t>
  </si>
  <si>
    <t>BSK251005</t>
  </si>
  <si>
    <t>Transport BBM, Amry Fajar</t>
  </si>
  <si>
    <t>Makan, Amry Fajar</t>
  </si>
  <si>
    <t>BSK251022</t>
  </si>
  <si>
    <t>Bea Masuk PO 25034 Direktorat Jenderal Bea &amp; Cukai</t>
  </si>
  <si>
    <t>PPN Import PO 25034 Direktorat Jenderal Bea &amp; Cukai</t>
  </si>
  <si>
    <t>PPH Import PO 25034 Direktorat Jenderal Bea &amp; Cukai</t>
  </si>
  <si>
    <t>BSK251032</t>
  </si>
  <si>
    <t>Pembayaran Pelunasan PO 25056 Inv.P25050820 PT.Control Systems Arena Para Nusa</t>
  </si>
  <si>
    <t>PPN Pembayaran Pelunasan PO 25056 Inv.P25050820 PT.Control Systems Arena Para Nusa</t>
  </si>
  <si>
    <t>Makan Lembur SEP (Agung,Achmad Bayhaqi,Reli,Faishol), Eko Waluyo</t>
  </si>
  <si>
    <t>Makan Lembur SEP (Agung Sulistyono), Eko Waluyo</t>
  </si>
  <si>
    <t>BSK251079</t>
  </si>
  <si>
    <t>Pembayaran Shipment P2 PO 25009 &amp; 25026 Inv.0149 PT.Kartika Eka Yudha Maritim</t>
  </si>
  <si>
    <t>PPN Pembayaran Shipment P2 PO 25009 &amp; 25026 Inv.0149 (0500042505215577) PT.Kartika Eka Yudha Maritim</t>
  </si>
  <si>
    <t>PPh 2% Pembayaran Shipment P2 PO 25009 &amp; 25026 Inv.0149 PT.Kartika Eka Yudha Maritim</t>
  </si>
  <si>
    <t>Pembayaran PNBP Ultrasonic Flow Meter TU-4299-04-2025 Direktorat Metrologi, Yuli Irawati</t>
  </si>
  <si>
    <t>Material Lapangan (Bubut), Yuli Irawati</t>
  </si>
  <si>
    <t>BSK251113</t>
  </si>
  <si>
    <t>Pembayaran PO 25184 Inv.008 CV.Anugrah Cipta Kristindo, Soehadi Soediono</t>
  </si>
  <si>
    <t>Transfer Antar Bank, Soehadi Soediono</t>
  </si>
  <si>
    <t>Materila Lapangan (Mur), Yuli Irawati</t>
  </si>
  <si>
    <t>BSK25122b</t>
  </si>
  <si>
    <t>Hotel a.n Fajar Andik, BSI Hasannah Card</t>
  </si>
  <si>
    <t>Transport Pesawat a.n Fajar Andik, BSI Hasannah Card</t>
  </si>
  <si>
    <t>Makan Lembur SEP (Amry,Toro,Arfa,Hisyam), Eko Waluyo</t>
  </si>
  <si>
    <t>Makan Meeting SEP (Agung S), Eko Waluyo</t>
  </si>
  <si>
    <t>BSK251151</t>
  </si>
  <si>
    <t>Pembayaran Cicilan term II PO 25106 Inv.0270625, PT.Nurman Indoban Sentosa</t>
  </si>
  <si>
    <t>Makan Lembur SEP (Amry,Toro), Eko Waluyo</t>
  </si>
  <si>
    <t>BSK251201</t>
  </si>
  <si>
    <t>Makan Lembur SEP (Diva), Eko Waluyo</t>
  </si>
  <si>
    <t>BSK251264</t>
  </si>
  <si>
    <t>Pembayaran Pelunasan Cicilan Term II PO 25106 Inv.0270625 PT.Nurman Indoban Sentosa</t>
  </si>
  <si>
    <t>BSK251265</t>
  </si>
  <si>
    <t>Pembayaran Shipment PO 25042 Inv.0327,0247,0244 PT.Kartika Eka Yudha Maritim</t>
  </si>
  <si>
    <t>PPN Pembayaran Shipment PO 25042,24391,25086 Inv.0327,0247,0244 (040.004-25.88414826),(050.004-25.88414827),(04002500146250585) PT.Kartika Eka Yudha Maritim</t>
  </si>
  <si>
    <t>PPh 2% Pembayaran Shipment PO 25042,24391,25086 Inv.0327,0247,0244 PT.Kartika Eka Yudha Maritim</t>
  </si>
  <si>
    <t>Material (Mata Tuner), Eko Waluyo</t>
  </si>
  <si>
    <t>Makan Lembur SEP (Bayu), Eko Waluyo</t>
  </si>
  <si>
    <t>431b</t>
  </si>
  <si>
    <t>KSM24P167</t>
  </si>
  <si>
    <t>Pembelian Peralatan Utama CleanAir Critical Orifice Set or Individual Critical Orifice @3 Ea Inv. 10, TB. Kita</t>
  </si>
  <si>
    <t>Pembelian Peralatan Utama CleanAir Method 6 Critical Orifice Set @1 Ea Inv. 10, TB. Kita</t>
  </si>
  <si>
    <t>Pembelian Peralatan Utama Platon Cd031272 Shunt-plate Orifice Model Range Flowmeter Set 50-250M3/Hr @5 Ea Inv. 10, TB. Kita</t>
  </si>
  <si>
    <t>BSK250594</t>
  </si>
  <si>
    <t>Pembayaran DP 50% PO 2025/KSM-PO/III/25103 Inv.INV-001/KSM/ANG/III/25 PT.Anggrek</t>
  </si>
  <si>
    <t>PPN 04002500066640581 - PT.Anggrek</t>
  </si>
  <si>
    <t>PPh 2% Pembayaran DP 50% PO 2025/KSM-PO/III/25103 Inv.INV-001/KSM/ANG/III/25 PT.Anggrek</t>
  </si>
  <si>
    <t>Biaya Transfer PT.Anggrek</t>
  </si>
  <si>
    <t>BSK250610</t>
  </si>
  <si>
    <t>Pembayaran PO 25108 Inv.3251701 (SEP Scada Metering) PT.Digi International Indonesia</t>
  </si>
  <si>
    <t>PPN 11% Pembayaran PO 25108 Inv.3251701 (SEP Scada Metering) PT.Digi International Indonesia</t>
  </si>
  <si>
    <t>Transfer Antar Bank PT.Digi International Indonesia</t>
  </si>
  <si>
    <t>BSK250682</t>
  </si>
  <si>
    <t>Transport BBM Arief Budiman</t>
  </si>
  <si>
    <t>Transport Toll Arief Budiman</t>
  </si>
  <si>
    <t>BSK250795</t>
  </si>
  <si>
    <t>Pembayaran PO 25124 Inv.3252001 PT.Digi International Indonesia</t>
  </si>
  <si>
    <t>BSK250846</t>
  </si>
  <si>
    <t>Pembayaran PO 25115 Inv.P25040565 PT.Control Systems Arena Para Nusa</t>
  </si>
  <si>
    <t>PPN Pembayaran PO 25115 Inv.P25040565 PT.Control Systems Arena Para Nusa</t>
  </si>
  <si>
    <t>PPh 2% Pembayaran PO 25115 Inv.P25040565 PT.Control Systems Arena Para Nusa</t>
  </si>
  <si>
    <t>Transfer Antar Bank, PT.Control Systems Arena Para Nusa</t>
  </si>
  <si>
    <t>BSK251075</t>
  </si>
  <si>
    <t>Pembayaran PO 25176 Inv.2505009-PI, PT.Trimaxindo Adimitra</t>
  </si>
  <si>
    <t xml:space="preserve">PPN Pembayaran PO 25176 Inv.2505009-PI, PT.Trimaxindo Adimitra </t>
  </si>
  <si>
    <t>Transfer Antar Bank, PT.Trimaxindo Adimitra</t>
  </si>
  <si>
    <t>BSK251256</t>
  </si>
  <si>
    <t>Pembayaran Pelunasan PO 25103 Inv.002/KSM/ANG/VI/25, PT.Anggrek</t>
  </si>
  <si>
    <t>PPN Pembayaran Pelunasan PO 25103 Inv.002/KSM/ANG/VI/25 (04002500182582083), PT.Anggrek</t>
  </si>
  <si>
    <t>Transfer Antar Bank, PT.Anggrek</t>
  </si>
  <si>
    <t>KK250103a</t>
  </si>
  <si>
    <t>KSM25P002</t>
  </si>
  <si>
    <t>Pembayaran Hotel untuk Marketing di Luminor Hotel Sidoarjo, Anjani Dwi Syabani (F)</t>
  </si>
  <si>
    <t xml:space="preserve">Transport BBM, Moura </t>
  </si>
  <si>
    <t xml:space="preserve">Transport Toll, Moura </t>
  </si>
  <si>
    <t xml:space="preserve">Transport Indrive a.n Azyana </t>
  </si>
  <si>
    <t xml:space="preserve">Transport Toll a.n Azyana </t>
  </si>
  <si>
    <t>KSM25P002 &amp; KSM25P003</t>
  </si>
  <si>
    <t>Makan a.n Rudi Hartono</t>
  </si>
  <si>
    <t>Makan dan Minum (Rudi dan Muliaglass), Moura</t>
  </si>
  <si>
    <t xml:space="preserve">Material Lapangan (Nameplate), Moura </t>
  </si>
  <si>
    <t>Pembayaran PO 25026 Inv. XLFP2025011001 USD 2.200 @ 16.450, Shenyang Xinlian Petro-Chemical</t>
  </si>
  <si>
    <t>Biaya Transfer USD 25 @ 16.450</t>
  </si>
  <si>
    <t>Pembayaran PO 25086 Inv.25083 USD 960,00 @ 16.715 Zhejiang Flour Valve Co Ltd</t>
  </si>
  <si>
    <t>Transfer Bank USD 25 @ 16.715 Zhejiang Flour Valve Co Ltd</t>
  </si>
  <si>
    <t>BK250080</t>
  </si>
  <si>
    <t>Pembayaran PO 25046 Inv.25060 USD 12.710 @ 16.900 Zhejiang Flour Valve Co Ltd</t>
  </si>
  <si>
    <t>BK250096</t>
  </si>
  <si>
    <t>Pembayaran PO 25073 Inv.25103 USD 3.605 @ 16.725, Zhejiang Flour Valve Co.Ltd</t>
  </si>
  <si>
    <t>BSK250092</t>
  </si>
  <si>
    <t>Makan (Rudi Hartono, Amry, Safei, Priyono, Novianto), Rudi Hartono</t>
  </si>
  <si>
    <t>Makan Lembur Muliaglass (Toro)</t>
  </si>
  <si>
    <t>Makan Meeting Muliaglass (Murdiyanto)</t>
  </si>
  <si>
    <t>BSK250499</t>
  </si>
  <si>
    <t>KSM25P002 &amp; KSM24P003</t>
  </si>
  <si>
    <t>Pembayaran DP 30% PO 25083</t>
  </si>
  <si>
    <t>PPh 2% Pembayaran DP 30% PO 25083</t>
  </si>
  <si>
    <t>Lebih Bayar PPh 2% Pembayaran DP 30% PO 25083</t>
  </si>
  <si>
    <t>Bea Masuk PO 25009 &amp; PO 25026 Direktorat Jenderal Bea &amp; Cukai</t>
  </si>
  <si>
    <t>Transfer Antar Bank Rudi Hartono</t>
  </si>
  <si>
    <t>BSK250803</t>
  </si>
  <si>
    <t>Bea Masuk PO 25046 Direktorat Jenderal Bea &amp; Cukai</t>
  </si>
  <si>
    <t>PPN Import PO 25046 Direktorat Jenderal Bea &amp; Cukai</t>
  </si>
  <si>
    <t>PPH Import PO 25046 Direktorat Jenderal Bea &amp; Cukai</t>
  </si>
  <si>
    <t>Material (Ball Valve), Adinda Novianti Fadli</t>
  </si>
  <si>
    <t>Lalamove Antar Barang Ke Muliaglass, Adinda Novianti Fadli</t>
  </si>
  <si>
    <t>Material (Pressure Gauge 1/2" 0-6 Bar @ 4 Pcs), Adinda Novianti Fadli</t>
  </si>
  <si>
    <t>BSK250925</t>
  </si>
  <si>
    <t>Makan (Rudi Hartono Muliaglass), Yuli Irawati</t>
  </si>
  <si>
    <t>PPH Import PO 24391,25092,25086, Direktorat Jeneral Bea &amp; Cukai</t>
  </si>
  <si>
    <t>BSK250939</t>
  </si>
  <si>
    <t>Pembayaran Progress I 50% PO 25083 Inv.042/INV-JMT/V/2025, CV.Jasmin Mitra Teknik</t>
  </si>
  <si>
    <t>PPh 2% Pembayaran Progress I 50% PO 25083 Inv.042/INV-JMT/V/2025, CV.Jasmin Mitra Teknik</t>
  </si>
  <si>
    <t>Lebih Bayar PPh 2% Pembayaran DP 30% PO 25083, CV.Jasmin Mitra Teknik</t>
  </si>
  <si>
    <t>Transfer Antar Bank, CV.Jasmin Mitra Teknik</t>
  </si>
  <si>
    <t>BSK250951</t>
  </si>
  <si>
    <t>Transport Toll a.n Rudi Hartono, Rudi Hartono</t>
  </si>
  <si>
    <t>Transport BBM a.n Rudi Hartono, Rudi Hartono</t>
  </si>
  <si>
    <t>Makan &amp; Minum a.n Rudi Hartono, Rudi Hartono</t>
  </si>
  <si>
    <t>Biaya Transfer, Rudi Hartono</t>
  </si>
  <si>
    <t>Kelebihan Bayar Biaya Transfer a.n Rudi Hartono</t>
  </si>
  <si>
    <t>BSM250081</t>
  </si>
  <si>
    <t>Penerimaan dari Pengembalian Lebih Biaya Transfer Reumbersemen a.n Rudi Hartono (V.BSK250951), Salisah</t>
  </si>
  <si>
    <t>BSK250994</t>
  </si>
  <si>
    <t>KSM25P002,KSM25P003 &amp; KSM25P017</t>
  </si>
  <si>
    <t xml:space="preserve">Pembelian Material Untuk Project PT.Muliaglass  Melter And Foreherath Area,Gas Turbin Meter System &amp; EVC (Fee), Rudi Hartono </t>
  </si>
  <si>
    <t>Makan Lembur Muliaglass (Rudi), Eko Waluyo</t>
  </si>
  <si>
    <t>Pembayaran Shipment P1 PO 25009 &amp; 25026 Inv.0182 PT.Kartika Eka Yudha Maritim</t>
  </si>
  <si>
    <t>PPN Pembayaran Shipment P1 PO 25009 &amp; 25026 Inv.0182 (0400042505215576) PT.Kartika Eka Yudha Maritim</t>
  </si>
  <si>
    <t>PPh 2% Pembayaran Shipment P1 PO 25009 &amp; 25026 Inv.0182 PT.Kartika Eka Yudha Maritim</t>
  </si>
  <si>
    <t>BSK251094</t>
  </si>
  <si>
    <t>Transport Parkir, Rudi Hartono</t>
  </si>
  <si>
    <t>Makan (Rudi H &amp; Team Muliaglass), Rudi Hartono</t>
  </si>
  <si>
    <t>Sparepart (Cuci Steam Mobil), Rudi Hartono</t>
  </si>
  <si>
    <t>BSK251143</t>
  </si>
  <si>
    <t>Transport BBM, Murdiyanto</t>
  </si>
  <si>
    <t>ATK (Print), Murdiyanto</t>
  </si>
  <si>
    <t>Makan (Rudi,Murdiyanto,Azyana,Priyono,Safii Muliaglass), Murdiyanto</t>
  </si>
  <si>
    <t>Material Lapangan (Carbu Cleaner), Eko Waluyo</t>
  </si>
  <si>
    <t>Makan Lembur Hydro Valve (Arief Budiman), Eko Waluyo</t>
  </si>
  <si>
    <t>BSK251164</t>
  </si>
  <si>
    <t>Material (Rubber Sheet), Shavira Akmalia</t>
  </si>
  <si>
    <t>Biaya Transfer, Shavira Akmalia</t>
  </si>
  <si>
    <t>BSK251170</t>
  </si>
  <si>
    <t>Makan (Rudi &amp; Tim Muliaglass), Rudi Hartono</t>
  </si>
  <si>
    <t>Material Lapangan (Sarung Tangan,Kain Majun,Chain Lube,Pompa Galon), Eko Waluyo</t>
  </si>
  <si>
    <t>ATK (Lakban Kertas), Eko Waluyo</t>
  </si>
  <si>
    <t>BSK251177</t>
  </si>
  <si>
    <t>Material Lapangan (Thermowell 3" &amp; 4") Saudara Mandiri Bangkit, Sutarman</t>
  </si>
  <si>
    <t>Transfer Antar Bank, Sutarman</t>
  </si>
  <si>
    <t>Pembayaran PNBP Meter Gas Turbin, Adinda Novinati Fadli</t>
  </si>
  <si>
    <t>BSK251194</t>
  </si>
  <si>
    <t>Pembayaran Santunan Yatim Piatu &amp; Dhuafa Rumah Harapan Cikarang, Murdiyanto</t>
  </si>
  <si>
    <t>BSK251205</t>
  </si>
  <si>
    <t>Pembayaran Shipment P1 PO 25046 Inv.0158, PT.Kartika Eka Yudha Maritim</t>
  </si>
  <si>
    <t>PPN Pembayaran Shipment P1 PO 25046 Inv.0158 (040.004-25..88414528), PT.Kartika Eka Yudha Maritim</t>
  </si>
  <si>
    <t>PPh 2% Pembayaran Shipment P1 PO 25046 Inv.0158, PT.Kartika Eka Yudha Maritim</t>
  </si>
  <si>
    <t>Pembayaran Warehouse Cost PO 25046 Inv.0116, PT.Kartika Eka Yudha Maritim</t>
  </si>
  <si>
    <t>PPN Pembayaran Warehouse Cost PO 25046 Inv.0116 (040.001-25.84981653), PT.Kartika Eka Yudha Maritim</t>
  </si>
  <si>
    <t>PPh 2% Pembayaran Warehouse Cost PO 25046 Inv.0116, PT.Kartika Eka Yudha Maritim</t>
  </si>
  <si>
    <t>ATK (Materai), PT.Kartika Eka Yudha Maritim</t>
  </si>
  <si>
    <t>BSK251210</t>
  </si>
  <si>
    <t>Pembayaran PO 25063 Inv.013, PT.Karya Instrumindo Simpati</t>
  </si>
  <si>
    <t>BSK251239</t>
  </si>
  <si>
    <t>Makan (Murdiyanto,Rudi,Safii,Priyono,Rinto), Murdiyanto</t>
  </si>
  <si>
    <t>Makan Lembur Muliaglass (Rudi Hartono), Eko Waluyo</t>
  </si>
  <si>
    <t>BSK251275</t>
  </si>
  <si>
    <t>Material Lapangan (Breket Flate,Penguat,Thermowell Pipa 2",Tutup Thermowell) Inv.0098 Saudara Mandiri Bangkit, Sutarman</t>
  </si>
  <si>
    <t>KSM25P003</t>
  </si>
  <si>
    <t>Konsumsi Makan Marketing di Warung Leko Sidoarjo, Anjani Dwi Syabani (F)</t>
  </si>
  <si>
    <t>Biaya Transfer USD 25 @ 16.900 Zhejiang Flour Valve Co Ltd</t>
  </si>
  <si>
    <t>Biaya Transfer USD 25 @ 16.725, Zhejiang Flour Valve Co.Ltd</t>
  </si>
  <si>
    <t>BSK250860</t>
  </si>
  <si>
    <t>Lalamove Antar Barang Ke CV.Jasmin Mitra Teknik, Adinda Novianti Fadli</t>
  </si>
  <si>
    <t>Makan Lembur (Hendrat,Rudi,Isna,Aditya,Hetty,Nita,Anjani,Nabila), Eko Waluyo</t>
  </si>
  <si>
    <t>Makan (Rudi Hartono,Pri,Safi,Mekel), Rudi Hartono</t>
  </si>
  <si>
    <t>Material Lapangan (Flange @ 3), Yuli Irawati</t>
  </si>
  <si>
    <t>Makan (Rudi H,Anjani,Dayat), Rudi Hartono</t>
  </si>
  <si>
    <t>Pembayaran PNBP Meter Gas Turbin &amp; Electronic Volume Corrector, Adinda Novianti Fadli</t>
  </si>
  <si>
    <t>Pembayaran Shipment P2 PO 25046 Inv.0119, PT.Kartika Eka Yudha Maritim</t>
  </si>
  <si>
    <t>PPN Pembayaran Shipment P2 PO 25046 Inv.0119 (050.004-25.88414529), PT.Kartika Eka Yudha Maritim</t>
  </si>
  <si>
    <t>PPh 2% Pembayaran Shipment P2 PO 25046 Inv.0119, PT.Kartika Eka Yudha Maritim</t>
  </si>
  <si>
    <t>PPN Pembayaran PO 25063 Inv.013 (04002500136811288), PT.Karya Instrumindo Simpati</t>
  </si>
  <si>
    <t>Transfer Antar Bank, PT.Karya Instrumindo Simpati</t>
  </si>
  <si>
    <t>Material Lapangan (Earplug), Murdiyanto</t>
  </si>
  <si>
    <t>Lalamove Pengiriman Gas Detector, Murdiyanto</t>
  </si>
  <si>
    <t>Pembayaran PNBP UTTP No. T-2638-06-2025 Meter Gas Turbin, Savira Akmalia Putri</t>
  </si>
  <si>
    <t>KSM25P004</t>
  </si>
  <si>
    <t>BK250074</t>
  </si>
  <si>
    <t>Pembayaran PO 25045 Inv.SYXL2025021301 USD 1.300,00 @ 16.715 Shenyang Xinlian Petrochemical Equipment Co Ltd</t>
  </si>
  <si>
    <t>Transfer Bank USD 25 @ 16.715 Shenyang Xinlian Petrochemical Equipment Co Ltd</t>
  </si>
  <si>
    <t>Pembelian Material (Pressure Gauge)</t>
  </si>
  <si>
    <t>BSK250320</t>
  </si>
  <si>
    <t xml:space="preserve">Transport Toll, Murdiyanto  </t>
  </si>
  <si>
    <t>Makan dan Minum Dio Nesta</t>
  </si>
  <si>
    <t>Makan Lembur KSM25P004 (Anjani, Nabila)</t>
  </si>
  <si>
    <t>BSK250556</t>
  </si>
  <si>
    <t>Pembayaran DP 35% PO 25028 Inv.PI-00803 (SEP Gas Filter Coolecer) PT.Alfa Semesta Cemerlang</t>
  </si>
  <si>
    <t>PPN 11% Pembayaran Pelunasan PO 24372 Inv.06/INV/2025 PT.Alfa Semesta Cemerlang</t>
  </si>
  <si>
    <t>Transfer Antar Bank PT.Alfa Semesta Cemerlang</t>
  </si>
  <si>
    <t>Bea Masuk PO 25045, Adinda Novianti Fadli</t>
  </si>
  <si>
    <t>PPN Import PO 25045, Adinda Novianti Fadli</t>
  </si>
  <si>
    <t>PPH Import PO 25045, Adinda Novianti Fadli</t>
  </si>
  <si>
    <t>BSK251159</t>
  </si>
  <si>
    <t>Pembayaran Shipment P1 PO 25045 Inv.0253, PT.Kartika Eka Yudha Maritim</t>
  </si>
  <si>
    <t>PPN Pembayaran Shipment P1 PO 25045 Inv.0253 (0400042588414700), PT.Kartika Eka Yudha Maritim</t>
  </si>
  <si>
    <t>PPh 2% Pembayaran Shipment P1 PO 25045 Inv.0253, PT.Kartika Eka Yudha Maritim</t>
  </si>
  <si>
    <t>Pembayaran Shipment P2 PO 25045 Inv.0195, PT.Kartika Eka Yudha Maritim</t>
  </si>
  <si>
    <t>PPN Pembayaran Shipment P2 PO 25045 Inv.0195 (0500042588414701), PT.Kartika Eka Yudha Maritim</t>
  </si>
  <si>
    <t>PPh 2% Pembayaran Shipment P2 PO 25045 Inv.0195, PT.Kartika Eka Yudha Maritim</t>
  </si>
  <si>
    <t>Pembayaran Warehouse Cost PO 25045 Inv.0183 , PT.Kartika Eka Yudha Maritim</t>
  </si>
  <si>
    <t>PPN Pembayaran Warehouse Cost PO 25045 Inv.0183 (04002500128476345), PT.Kartika Eka Yudha Maritim</t>
  </si>
  <si>
    <t>PPh 2% Pembayaran Warehouse Cost PO 25045 Inv.0183, PT.Kartika Eka Yudha Maritim</t>
  </si>
  <si>
    <t>BSK251291</t>
  </si>
  <si>
    <t>Pembayaran PO 25028 Term III - BP 25% Inv.00816 PT.Alfa Semesta Cemerlang</t>
  </si>
  <si>
    <t>PPN (04002500187000500) Pembayaran PO 25028 Term III - BP 25% Inv.00816 PT.Alfa Semesta Cemerlang</t>
  </si>
  <si>
    <t>Transfer Antar Bank, PT.Alfa Semesta Cemerlang</t>
  </si>
  <si>
    <t>KSM25P020</t>
  </si>
  <si>
    <t>Pembelian Sparepart Digital Meter Multifungsi Selec Mfm383a @ 4 Unit Inv. 070 , CV Lancar Anugrah Mandiri(F)</t>
  </si>
  <si>
    <t>Pembelian Sparepart GW Instek GDM-8246 Digital Multimeter @ 4 Unit Inv. 070, CV Lancar Anugrah Mandiri (F)</t>
  </si>
  <si>
    <t>Pembayaran PNBP UTTP Plat Orifis Canalta No.TU-4417-05-2025, Rizqi Aulia</t>
  </si>
  <si>
    <t>KK250158</t>
  </si>
  <si>
    <t>KSM25P020 KSM25P021</t>
  </si>
  <si>
    <t>PPN Import PO 25073, Direktorat Jenderal Bea &amp; Cukai</t>
  </si>
  <si>
    <t>PPh Import PO 25073, Direktorat Jenderal Bea &amp; Cukai</t>
  </si>
  <si>
    <t>Lalamove Kirim Barang Dari Denaya Ke Nurman, Rizqi Aulia</t>
  </si>
  <si>
    <t>Transfer Antar Bank, Rizqi Aulia</t>
  </si>
  <si>
    <t>KK250178</t>
  </si>
  <si>
    <t>Pembayaran Rush Handling FLV PO 25073, Kartika Eka Yudha Maritim</t>
  </si>
  <si>
    <t>Biaya Transfer, Kartika Eka Yudha Maritim</t>
  </si>
  <si>
    <t>KK250185</t>
  </si>
  <si>
    <t>BSK250709</t>
  </si>
  <si>
    <t>Bea Masuk PO 25054 Direktorat Jenderal Bea &amp; Cukai</t>
  </si>
  <si>
    <t>PPH Import PO 25054 Direktorat Jenderal Bea &amp; Cukai</t>
  </si>
  <si>
    <t>BSK250722</t>
  </si>
  <si>
    <t>Pembayaran PO 25102 Inv.058 PT.Bhirawa Metal Mandiri</t>
  </si>
  <si>
    <t>KSM25P020 &amp; KSM25P021</t>
  </si>
  <si>
    <t>Biaya Transfer Saudara Mandiri Bangkit a.n Sutarman</t>
  </si>
  <si>
    <t>Makan a.n Rudi Hartono dan Tim SEP Adinda Novianti Fadli</t>
  </si>
  <si>
    <t>Makan Lembur (Amry) Eko Waluyo</t>
  </si>
  <si>
    <t>Makan Lembur (Fajar Andik,Mardani) Eko Waluyo</t>
  </si>
  <si>
    <t>Lalamove Kirim Barang Ke PT.Nurman, Adinda Novianti Fadli</t>
  </si>
  <si>
    <t>Pembayaran PO 25161 Inv.0515/AF/V/2025 (BBG Stainless 155), CV.Abadi Filter</t>
  </si>
  <si>
    <t>BSK251029</t>
  </si>
  <si>
    <t>KSM25P021 &amp; KSM25P020</t>
  </si>
  <si>
    <t>Pembayaran Pelunasan PO 25102 Inv.092 PT.Bhirawa Metal Mandiri</t>
  </si>
  <si>
    <t>PPN Pembayaran Pelunasan PO 25102 Inv.092 (04002500136784776) PT.Bhirawa Metal Mandiri</t>
  </si>
  <si>
    <t>Biaya Transfer PT.Bhirawa Metal Mandiri</t>
  </si>
  <si>
    <t>Pembayaran Shipment P1 PO 25054 Inv.0226 PT.Kartika Eka Yudha Maritim</t>
  </si>
  <si>
    <t>PPN Pembayaran Shipment P1 PO 25054 Inv.0226 (0400042505215661) PT.Kartika Eka Yudha Maritim</t>
  </si>
  <si>
    <t>PPh 2% Pembayaran Shipment P1 PO 25054 Inv.0226 PT.Kartika Eka Yudha Maritim</t>
  </si>
  <si>
    <r>
      <t xml:space="preserve">Material Lapangan (Plug NPT </t>
    </r>
    <r>
      <rPr>
        <sz val="12"/>
        <rFont val="Calibri"/>
        <family val="2"/>
      </rPr>
      <t>Ø 1/4 SS 304)</t>
    </r>
    <r>
      <rPr>
        <sz val="12"/>
        <rFont val="Arial"/>
        <family val="2"/>
      </rPr>
      <t xml:space="preserve"> Ferul Teknik, Yuli Irawati</t>
    </r>
  </si>
  <si>
    <t>Perlengkapan Halley Office Table 3 Drawer @ 3 Unit ) PT.Home Centre Indonesia Retail, Yuli Irawati</t>
  </si>
  <si>
    <t>Transport Kalibrasi &amp; FAT a.n Kamil Apriansyah, Yuli Irawati</t>
  </si>
  <si>
    <t>BSK251123</t>
  </si>
  <si>
    <t>Pembayaran PO 25188 Inv.004 Ferul Teknik</t>
  </si>
  <si>
    <t>Transport Parkir, M.Rahman</t>
  </si>
  <si>
    <t>BSK251144</t>
  </si>
  <si>
    <t>Material Lapangan (Isi Nitrogen @ 2 Tabung), CV.Ica Gas</t>
  </si>
  <si>
    <t>Transfer Antar Bank, CV.Ica Gas</t>
  </si>
  <si>
    <t>PPh 10% Pembayaran Cicilan term II PO 25106 Inv.0270625, PT.Nurman Indoban Sentosa</t>
  </si>
  <si>
    <t>BSK251154</t>
  </si>
  <si>
    <t>Pembayaran PO 25055 Inv.014, PT.Karya Instrumindo Simpati</t>
  </si>
  <si>
    <t>Pembayaran PNBP UTTP EVC No.T-2625-06-2025 Kementrian Perdagangan, Savira Akmalia Putri</t>
  </si>
  <si>
    <t>BSK251236</t>
  </si>
  <si>
    <t>BSK251261</t>
  </si>
  <si>
    <t>Pembayaran PO 25209 Inv.1225200227 PT.Alvindo Catur Sentosa</t>
  </si>
  <si>
    <t>PPN Pembayaran PO 25209 Inv.1225200227 PT.Alvindo Catur Sentosa</t>
  </si>
  <si>
    <t>Transfer Antar Bank PT.Alvindo Catur Sentosa</t>
  </si>
  <si>
    <t>Pembayaran Shipment PO 25086 Inv.0327,0247,0244 PT.Kartika Eka Yudha Maritim</t>
  </si>
  <si>
    <t>KSM25P021</t>
  </si>
  <si>
    <t>Pembelian Sparepart  Schneider Power Meter Digital Metsepm2120 Easylogic Pm2120 @ 10 Unit Inv. 070, CV Lancar Anugrah Mandiri (F)</t>
  </si>
  <si>
    <t xml:space="preserve">Makan Lembur KSM25P021 (Isna, Anjani) </t>
  </si>
  <si>
    <t>PPN Import PO 25054 Direktorat Jenderal Bea &amp; Cukai</t>
  </si>
  <si>
    <t>PPN Pembayaran PO 25102 Inv.058 PT.Bhirawa Metal Mandiri</t>
  </si>
  <si>
    <t>PPh 2% Pembayaran PO 25102 Inv.058 PT.Bhirawa Metal Mandiri</t>
  </si>
  <si>
    <t>Pembayaran Shipment P2 PO 25054 Inv.0191 PT.Kartika Eka Yudha Maritim</t>
  </si>
  <si>
    <t>PPN Pembayaran Shipment P2 PO 25054 Inv.0191 (0500042505215662) PT.Kartika Eka Yudha Maritim</t>
  </si>
  <si>
    <t>PPh 2% Pembayaran Shipment P2 PO 25054 Inv.0191 PT.Kartika Eka Yudha Maritim</t>
  </si>
  <si>
    <t>Pembayaran Warehouse Cost PO 25054 Inv.0159 PT.Kartika Eka Yudha Maritim</t>
  </si>
  <si>
    <t>PPN Pembayaran Warehouse Cost PO 25054 Inv.0159 (04002500106584364) PT.Kartika Eka Yudha Maritim</t>
  </si>
  <si>
    <t>PPh 2% Pembayaran Warehouse Cost PO 25054 Inv.0159 PT.Kartika Eka Yudha Maritim</t>
  </si>
  <si>
    <t>Transfer Antar Bank, Ferul Teknik</t>
  </si>
  <si>
    <t>Transport Kereta, M.Rahman</t>
  </si>
  <si>
    <t>Transport Goride, M.Rahman</t>
  </si>
  <si>
    <t>PPN Pembayaran PO 25055 Inv.014 (04002500136811357), PT.Karya Instrumindo Simpati</t>
  </si>
  <si>
    <t>Lalamove dari Glodok HWI ke KSM, Shavira Akmalia</t>
  </si>
  <si>
    <t>Makan, M.Rahman</t>
  </si>
  <si>
    <t>BSK251244</t>
  </si>
  <si>
    <t>Makan Kegiatan FAT MRS G250 SEP, Salisah</t>
  </si>
  <si>
    <t>BSK251246</t>
  </si>
  <si>
    <t>Lalamove Pengiriman Valve, Rizqi Aulia</t>
  </si>
  <si>
    <t>Material Lapangan (Bubut Bushing) SEP, Rizqi Aulia</t>
  </si>
  <si>
    <t>Transfer Antar Bank PT.Kartika Eka Yudha Maritim</t>
  </si>
  <si>
    <t>Transort BBM, M.Rahman</t>
  </si>
  <si>
    <t>ATK (Lakban Kertas), M.Rahman</t>
  </si>
  <si>
    <t>Sparepart (Cuci Mobil Exspress), M.Rahman</t>
  </si>
  <si>
    <t>KK250201</t>
  </si>
  <si>
    <t>BSK251386</t>
  </si>
  <si>
    <t>Makan Lembur Wetcall Duri (Agung, Faishol), Eko Waluyo</t>
  </si>
  <si>
    <t>BSK251391</t>
  </si>
  <si>
    <t>PNBP Meter Gas Ullrasonik No. Pendaftaran TU-4646-07-2025, Direktorat Metrologi</t>
  </si>
  <si>
    <t>BSK251423</t>
  </si>
  <si>
    <t xml:space="preserve">Makan Lembur Wetcall Duri (Faishol), Eko Waluyo  </t>
  </si>
  <si>
    <t>BSK251429a</t>
  </si>
  <si>
    <t xml:space="preserve">Fee </t>
  </si>
  <si>
    <t>BSK251441</t>
  </si>
  <si>
    <t>Transport Pesawat a.n Achmad Bayhaqy, Rinto, Edy Nurhamid, Tri Noviyanti, dan Rinto, Mulia Sujar Abadi</t>
  </si>
  <si>
    <t>BSM250089</t>
  </si>
  <si>
    <t xml:space="preserve">Penerimaan dari Pengembalian Lebih Bayar Ansuransi Perjalanan Ke Luar Negeri (Schengen) a.n Fadjar Tri Ananda OP202505001019, CV.Gewinner Expert Indonesia </t>
  </si>
  <si>
    <t>BSM250112</t>
  </si>
  <si>
    <t>EX UMK Nabila, Nabila Assalamah</t>
  </si>
  <si>
    <t xml:space="preserve">Hotel (Ruang Meeting dan 4 Kamar @3 Malam), Nabila Assalamah </t>
  </si>
  <si>
    <t>Hotel an Agung @2 Malam, Nabila Assalamah</t>
  </si>
  <si>
    <t xml:space="preserve">Sewa Kendaraan, Nabila Assalamah </t>
  </si>
  <si>
    <t>Transport Toll, Nabila Assalamah</t>
  </si>
  <si>
    <t xml:space="preserve">Transport BBM, Nabila Assalamah </t>
  </si>
  <si>
    <t xml:space="preserve">Transport Parkir, Nabila Assalamah </t>
  </si>
  <si>
    <t>Transport Kereta, Nabila Assalamah</t>
  </si>
  <si>
    <t>Transport Taxi, Nabila Assalamah</t>
  </si>
  <si>
    <t>Transport Pesawat, Nabila Assalamah</t>
  </si>
  <si>
    <t>Transport Gocar, Nabila Assalamah</t>
  </si>
  <si>
    <t xml:space="preserve">Souvenir Training dan Oleh-Oleh, Nabila Assalamah </t>
  </si>
  <si>
    <t xml:space="preserve">ATK (Jilid, Cetak Sertifikat dan Compro KSM, Print), Nabila Assalamah </t>
  </si>
  <si>
    <t xml:space="preserve">Makan dan Minum, Nabila Assalamah </t>
  </si>
  <si>
    <t xml:space="preserve">Kabel HDMI, USB Type C, Lenovo Type C, Nabila Assalamah </t>
  </si>
  <si>
    <t>BSK251351</t>
  </si>
  <si>
    <t xml:space="preserve">Pembayaran PO 25177 Inv. 030/KS-INV/VII/2025, PT. Kian Santang </t>
  </si>
  <si>
    <t xml:space="preserve">04002500201063404 - Kian Santang, PT. Kian Santang </t>
  </si>
  <si>
    <t>PPh 2% Pembayaran PO 25177 Inv. 030/KS-INV/VII/2025, PT. Kian Santang</t>
  </si>
  <si>
    <t xml:space="preserve">Biaya Transfer, PT. Kian Santang </t>
  </si>
  <si>
    <t>BSK251422</t>
  </si>
  <si>
    <t>Transport Parkir, Fajar Andik C</t>
  </si>
  <si>
    <t>BSK251385</t>
  </si>
  <si>
    <t>Material (Mata Gergaji, Gagang Gergaji, dan Pilox), Adinda Naufianti</t>
  </si>
  <si>
    <t>Makan a.n Rizal Bersama Team PGN Pondok Ungu, Adinda Naufianti</t>
  </si>
  <si>
    <t>Transport Toll a.n Rizal, Adinda Naufianti</t>
  </si>
  <si>
    <t>BSK251407</t>
  </si>
  <si>
    <t>Pembayaran PO 25166 Inv. Inv-080625-Reff 2025/KSM-PO/V/25166, Dzaki Saniyyah Nurman (Sami Jaya Instrument)</t>
  </si>
  <si>
    <t>BSK251418</t>
  </si>
  <si>
    <t xml:space="preserve">Transport BBM, Mustafidurrahman </t>
  </si>
  <si>
    <t xml:space="preserve">Transport Toll, Mustafidurrahman </t>
  </si>
  <si>
    <t xml:space="preserve">Transport Goride, Mustafidurrahman  </t>
  </si>
  <si>
    <t xml:space="preserve">Transport Parkir, Mustafidurrahman </t>
  </si>
  <si>
    <t xml:space="preserve">Transport Kereta, Mustafidurrahman   </t>
  </si>
  <si>
    <t xml:space="preserve">Makan dan Minum, Mustafidurrahman </t>
  </si>
  <si>
    <t xml:space="preserve">Material Lapangan, Mustafidurrahman </t>
  </si>
  <si>
    <t>KK250199</t>
  </si>
  <si>
    <t>Transport Grabcar a.n Faisal Ardiyanto, Adinda Naufianti (Yuli Irawati)</t>
  </si>
  <si>
    <t>BSK251324</t>
  </si>
  <si>
    <t>Makan dan Minum (Agung, Azyana, Faisal, BIG), Agung Sulistyono</t>
  </si>
  <si>
    <t>BSK251331</t>
  </si>
  <si>
    <t xml:space="preserve">Transport BBM, Azyana Febri </t>
  </si>
  <si>
    <t xml:space="preserve">Biaya Transfer, Azyana Febri </t>
  </si>
  <si>
    <t>BSK251341</t>
  </si>
  <si>
    <t>ATK (Print), Eko Waluyo</t>
  </si>
  <si>
    <t>Transport Toll, Fajar Andik C</t>
  </si>
  <si>
    <t>Perlengkapan (Sarung Tangan), Fajar Andik C</t>
  </si>
  <si>
    <t xml:space="preserve">Makan dan Minum, Fajar Andik C </t>
  </si>
  <si>
    <t>BSK251424</t>
  </si>
  <si>
    <t xml:space="preserve">Transport Toll, Agung Sulistyono </t>
  </si>
  <si>
    <t xml:space="preserve">Makan dan Minum (Agung, Faisal Ardi, dan Azyana), Agung Sulistyono </t>
  </si>
  <si>
    <t>BSK251349</t>
  </si>
  <si>
    <t xml:space="preserve">Pembayaran PO 25132 Inv. Inv-030625-SJ-21, Dzaki Saniyyah Nurman (Sami Jaya Instrument) </t>
  </si>
  <si>
    <t>BSK251354</t>
  </si>
  <si>
    <t xml:space="preserve">Pembayaran PO 251977 Inv. MSAS/06-25/00857, PT. Mitra Satu Solusindo </t>
  </si>
  <si>
    <t xml:space="preserve">040002500176338467 - Mitra Satu Solusindo, PT. Mitra Satu Solusindo </t>
  </si>
  <si>
    <t>BSK251366</t>
  </si>
  <si>
    <t>Material (Nameplate @ 11 Pcs), Shavira Akmalia (Yuli Irawati)</t>
  </si>
  <si>
    <t>Biaya Transfer, Shavira Akmalia (Yuli Irawati)</t>
  </si>
  <si>
    <t xml:space="preserve">Makan Lembur SEP (Arief), Eko Waluyo </t>
  </si>
  <si>
    <t>BSK251412</t>
  </si>
  <si>
    <t xml:space="preserve">Pembayaran PO 25139 Inv. 021/KIS-INV/VI/2025 Project, PT. Karya Instrumindo Simpati </t>
  </si>
  <si>
    <t xml:space="preserve">04002500183144956 - Karya Instrumindo Simpati, PT. Karya Instrumindo Simpati  </t>
  </si>
  <si>
    <t xml:space="preserve">Transfer Antar Bank, PT. Karya Instrumindo Simpati </t>
  </si>
  <si>
    <t xml:space="preserve">Makan Lembur SEP (Didin, Arfa), Eko Waluyo </t>
  </si>
  <si>
    <t>BSK251436</t>
  </si>
  <si>
    <t xml:space="preserve">Pembayaran Pelunasan 70% PO 25144 Inv. 014/PI/Q049/SDU/VII/25, PT. Surya Dwi Utama </t>
  </si>
  <si>
    <t xml:space="preserve">PPN 11% Pembayaran Pelunasan 70% PO 25144 Inv. 014/PI/Q049/SDU/VII/25, PT. Surya Dwi Utama  </t>
  </si>
  <si>
    <t xml:space="preserve">Denda Keterlambatan 7 Juni - 24 Juli, PT. Surya Dwi Utama </t>
  </si>
  <si>
    <t xml:space="preserve">Biaya Transfer, PT. Surya Dwi Utama </t>
  </si>
  <si>
    <t>BSK251380</t>
  </si>
  <si>
    <t xml:space="preserve">Transport Toll, Yuanita </t>
  </si>
  <si>
    <t xml:space="preserve">Transport Gocar, Yuanita </t>
  </si>
  <si>
    <t>BSM250119</t>
  </si>
  <si>
    <t>Makan dan Minum (Rudi dan Arief), Rudi Hartono</t>
  </si>
  <si>
    <t>BSK251394</t>
  </si>
  <si>
    <t>Makan dan Minum (Murdiyanto dan Muliaglass) , Salisah Hilmia (Yuli Irawati)</t>
  </si>
  <si>
    <t>BSK251399</t>
  </si>
  <si>
    <t xml:space="preserve">Makan dan Minum (Murdiyanto dan Muliaglass), Rizqi Aulia (Yuli Irawati)  </t>
  </si>
  <si>
    <t xml:space="preserve">Biaya Transfer, Rizqi Aulia (Yuli Irawati)  </t>
  </si>
  <si>
    <t>BSK251419</t>
  </si>
  <si>
    <t xml:space="preserve">Material Lapangan (Baut, Studbolt, Ubolt, dan Selang Benang), Murdiyanto </t>
  </si>
  <si>
    <t xml:space="preserve">BSK251321 </t>
  </si>
  <si>
    <t xml:space="preserve">Material Lapangan (Tubing 6mm x 1 mm Thick Kilap SS316) Inv. 2892 Ferul Teknik, Rizqi Aulia (Yuli Irawati) </t>
  </si>
  <si>
    <t xml:space="preserve">Biaya Transfer, Rizqi Aulia (Yuli Irawati) </t>
  </si>
  <si>
    <t>BSK251326</t>
  </si>
  <si>
    <t xml:space="preserve">KSM25P020 </t>
  </si>
  <si>
    <t>Makan dan Minum (Rudi, Fajar, Pak Rizal SEP), Rudi Hartono</t>
  </si>
  <si>
    <t>BSK251411</t>
  </si>
  <si>
    <t xml:space="preserve">Pembayaran PO 25200 Inv. 022/KIS-INV/VI/2025, PT. Karya Instrumindo Simpati </t>
  </si>
  <si>
    <t>BSK251335</t>
  </si>
  <si>
    <t xml:space="preserve">Lalamove Ball Valve Ke Nurman, Adinda Naufianti (Yuli Irawati) </t>
  </si>
  <si>
    <t>Transport Hydrotest dan FAT a.n Kamil Apriansyah, Adinda Naufianti</t>
  </si>
  <si>
    <t>BSK251397</t>
  </si>
  <si>
    <t>Lalamove dan Toll, Moura (Yuli Irawati)</t>
  </si>
  <si>
    <t xml:space="preserve">Biaya Transfer, Moura (Yuli Irawati) </t>
  </si>
  <si>
    <t xml:space="preserve">KSM25P021 </t>
  </si>
  <si>
    <t xml:space="preserve">04002500183146861 - Karya Instrumindo Simpati, PT. Karya Instrumindo Simpati </t>
  </si>
  <si>
    <t>KSM25P060</t>
  </si>
  <si>
    <t>Konsumsi Pelaksanaan Demo Room, Adinda Naufianti (Yuli Irawati)</t>
  </si>
  <si>
    <t>BSK251083</t>
  </si>
  <si>
    <t>Pembayaran Penerbitan (Surety Bond) Ansuransi Jaminan Pelaksanaan Pengadaan Kalibrator Meter Turbin &amp; Rotary Piston, Jasa Raharja Putera Insurance</t>
  </si>
  <si>
    <t>Transfer Antar Bank, Jasa Raharja Putera Insurance</t>
  </si>
  <si>
    <t>BSK251119</t>
  </si>
  <si>
    <t>Pembayaran Penerbitan (Surety Bond) Jaminan Pelaksanaan Pekerjaan Pengadaan Kalibrator Meter Turbin &amp; Rotary Piston Inv.175, Rinjani Artha Megah</t>
  </si>
  <si>
    <t>Transfer Antar Bank, Rinjani Artha Megah</t>
  </si>
  <si>
    <t>Makan Lembur PGAS Sol (Arfa,Bayu,Hisyam), Eko Waluyo</t>
  </si>
  <si>
    <t>Makan Lembur PGAS Sol (Arfa,Bayu,Slamet), Eko Waluyo</t>
  </si>
  <si>
    <t>Makan Lembur PGAS Sol (Arfa,Bayu,Dani), Eko Waluyo</t>
  </si>
  <si>
    <t>BSK251287</t>
  </si>
  <si>
    <t>BPJS Proyek, Moura</t>
  </si>
  <si>
    <t>Perlengkapan (Banner), Adinda Novianti Fadli</t>
  </si>
  <si>
    <t>BSK251312</t>
  </si>
  <si>
    <t>Makan Tumpeng Acara Selamatan Proyek Kalibrasi Klender, Salisah</t>
  </si>
  <si>
    <t>Perlengkapan Safety (Rompi Proyek @ 5), Salisah</t>
  </si>
  <si>
    <t>BSK251313</t>
  </si>
  <si>
    <t>Pembelian Digital Clamp Meter Kyoritsu 2007 R Tang Ampere @ 1 Unit, Salisah</t>
  </si>
  <si>
    <t>Perlengkapan Safety (Helm Proyek,Warepack Coverall) , Salisah</t>
  </si>
  <si>
    <t>BSK251314</t>
  </si>
  <si>
    <t>Perlengkapan safety (Sepatu Safety 805 C @ 3 Pcs,Rompi Safety @ 5 Pcs), Adinda Novianti Fadli</t>
  </si>
  <si>
    <t>BSK251315</t>
  </si>
  <si>
    <t>Material Lapangan (Banner), Moura</t>
  </si>
  <si>
    <t>BSK251316</t>
  </si>
  <si>
    <t>Perlengkapan Safety (Baju Seragam Safety @ 3 Pcs) Pgas Klender, Shavira Akmalia Putri</t>
  </si>
  <si>
    <t>Material Lapangan (Baricade Tape) Pgas Klender, Shavira Akmalia Putri</t>
  </si>
  <si>
    <t>Makan Meeting a.n Faishol Aziz &amp; Tim Pgas Klender, Shavira Akmalia Putri</t>
  </si>
  <si>
    <t xml:space="preserve">Material Lapangan (Banner), Rizqi Aulia (Yuli Irawati) </t>
  </si>
  <si>
    <t>BSK251323</t>
  </si>
  <si>
    <t>Transport BBM, Faishol</t>
  </si>
  <si>
    <t>Makan dan Minum (Faishol, Tirto, Bay, Agung), Faishol</t>
  </si>
  <si>
    <t xml:space="preserve">Makan dan Minum (Agung, Tirto dan PGAS), Agung Sulistyono </t>
  </si>
  <si>
    <t>BSK251339</t>
  </si>
  <si>
    <t>Makan Lembur PGASOL (Arfa, Amry, Diva, Rizal, Nita, Slamet, Azyana, Dani), Eko Waluyo</t>
  </si>
  <si>
    <t>Makan Meeting KSM25P060 (Faishol), Eko Waluyo</t>
  </si>
  <si>
    <t>Makan Meeting Safety Induction KSM25P060 (Dio), Eko Waluyo</t>
  </si>
  <si>
    <t>BSK251345</t>
  </si>
  <si>
    <t xml:space="preserve">KSM25P060 </t>
  </si>
  <si>
    <t xml:space="preserve">Pembayaran Bank Garansi Inv. 233/DA/VII/RAM/25, PT. Rinjani Artha Megah </t>
  </si>
  <si>
    <t xml:space="preserve">Biaya Transfer, PT. Rinjani Artha Megah </t>
  </si>
  <si>
    <t>BSK251376</t>
  </si>
  <si>
    <t xml:space="preserve">Transport BBM, Dio Nesta </t>
  </si>
  <si>
    <t xml:space="preserve">Transport Toll, Dio Nesta </t>
  </si>
  <si>
    <t xml:space="preserve">Makan Meeting KSM25P060 (Amry, Rizal, Dani, Arfa), Eko Waluyo </t>
  </si>
  <si>
    <t>BSK251389</t>
  </si>
  <si>
    <t>Pembayaran DP 20% Pekerjaan Renovasi Gedung PGN Klender, Yopi Yusup</t>
  </si>
  <si>
    <t>PPh 4% Pembayaran DP 20% Pekerjaan Renovasi Gedung PGN Klender, Yopi Yusup</t>
  </si>
  <si>
    <t>Biaya Transfer, Yopi Yusup</t>
  </si>
  <si>
    <t xml:space="preserve">Makan dan Minum (Kue dan Buah Meeting PGASOL Klender), Salisah Hilmia (Yuli Irawati) </t>
  </si>
  <si>
    <t xml:space="preserve">Lalamove Angkut Keperluan Project Kalibrator Klender, Salisah Hilmia (Yuli Irawati) </t>
  </si>
  <si>
    <t xml:space="preserve">Biaya Transfer, Salisah Hilmia (Yuli Irawati) </t>
  </si>
  <si>
    <t>BSK251398</t>
  </si>
  <si>
    <t>Perlengkapan (Banner) PGAS, Shavira Akmalia (Yuli Irawati)</t>
  </si>
  <si>
    <t xml:space="preserve">Transport Meeting PMO PGN a.n Fattah, Rizqi Aulia (Yuli Irawati)  </t>
  </si>
  <si>
    <t>BSK251420</t>
  </si>
  <si>
    <t xml:space="preserve">Transport BBM, Bayu Noor </t>
  </si>
  <si>
    <t xml:space="preserve">Makan Lembur dan Meeting KSM25P060 (Amry, Dani, Faishol), Eko Waluyo </t>
  </si>
  <si>
    <t>BSK251442</t>
  </si>
  <si>
    <t>Konsumsi HSE, Salisah</t>
  </si>
  <si>
    <t>BSK251444</t>
  </si>
  <si>
    <t xml:space="preserve">Transport Gocar a.n Diva Arnisa, Adinda Naufianti </t>
  </si>
  <si>
    <t>KSM25P076</t>
  </si>
  <si>
    <t>Transport Bagasi a.n Reli Nurfaiz, Shavira Akmalia Putri</t>
  </si>
  <si>
    <t>Biaya Transfer, Shavira Akmalia Putri</t>
  </si>
  <si>
    <t>Transport Gocar a.n Achmad Bayhaqi, Shavira Akmalia Putri</t>
  </si>
  <si>
    <t>Uang Muka Jaminan Tabung N2, Shavira Akmalia Putri</t>
  </si>
  <si>
    <t>Material Lapangan (Tabung N2), Shavira Akmalia Putri</t>
  </si>
  <si>
    <t>Hotel a.n Achmad Bayhaqi &amp; reli Nurfaiz, Shavira Akmalia Putri</t>
  </si>
  <si>
    <t xml:space="preserve">UMK a.n Reli Nurfaiz, Rizqi Aulia (Yuli Irawati) </t>
  </si>
  <si>
    <t>BSK251361</t>
  </si>
  <si>
    <t xml:space="preserve">Hotel a.n Adip dan Ditmet @2 Kamar, Moura (Yuli Irawati) </t>
  </si>
  <si>
    <t>BSK251362</t>
  </si>
  <si>
    <t xml:space="preserve">Transport Whoosh an Layyinatul Munawaroh, Salisah Hilmia (Yuli Irawati)  </t>
  </si>
  <si>
    <t>BSK251364</t>
  </si>
  <si>
    <t>UMK a.n Adip Trisnanto (KSM25P076), Adinda Naufianti (Yuli Irawati)</t>
  </si>
  <si>
    <t>Makan a.n Adip dan Ditmet, Adinda Naufianti (Yuli Irawati)</t>
  </si>
  <si>
    <t>Pembayaran Sewa Mobil a.n Bayhaqy Selama 7 Hari di Riau, Adinda Naufianti (Yuli Irawati)</t>
  </si>
  <si>
    <t>PPh 2% Sewa Mobil a.n Bayhaqy Selama 7 Hari di Riau, Adinda Naufianti (Yuli Irawati)</t>
  </si>
  <si>
    <t>Biaya Transfer, Adinda Naufianti (Yuli Irawati)</t>
  </si>
  <si>
    <t>BSK251365</t>
  </si>
  <si>
    <t>Transport Harian Riau No. TU-4645-07-2025 Kementerian Perdagangan, Shavira Akmalia (Yuli Irawati)</t>
  </si>
  <si>
    <t>Makan a.n Adip dan Ditmet, Shavira Akmalia (Yuli Irawati)</t>
  </si>
  <si>
    <t>Makan dan Konsumsi a.n Reli dan Tim Pertagas dan TGI Periode 06 - 12 Juli 2025, Shavira Akmalia (Yuli Irawati)</t>
  </si>
  <si>
    <t>Transport BBM a.n Reli Nurfaiz, Shavira Akmalia (Yuli Irawati)</t>
  </si>
  <si>
    <t>Transport Toll a.n Reli Nurfaiz, Shavira Akmalia (Yuli Irawati)</t>
  </si>
  <si>
    <t>Hotel a.n Reli Nurfaiz, Shavira Akmalia (Yuli Irawati)</t>
  </si>
  <si>
    <t>Material (Oli DWT dan Safety Equipment), Shavira Akmalia (Yuli Irawati)</t>
  </si>
  <si>
    <t>Laundry a.n Reli Nurfaiz, Shavira Akmalia (Yuli Irawati)</t>
  </si>
  <si>
    <t>Sewa Kendaraan Mobil Innova Selama 3 Hari BM 1294 CC Saukani Rental, Shavira Akmalia (Yuli Irawati)</t>
  </si>
  <si>
    <t>PPh 2% Sewa Kendaraan Mobil Innova Selama 3 Hari BM 1294 CC Saukani Rental, Shavira Akmalia (Yuli Irawati)</t>
  </si>
  <si>
    <t>Material (Jangka Sorong, Mikrometer, Multimeter Digital, Clamp Meter, Termometer), Shavira Akmalia (Yuli Irawati)</t>
  </si>
  <si>
    <t>BSK251373</t>
  </si>
  <si>
    <t xml:space="preserve">KSM25P076 </t>
  </si>
  <si>
    <t>BSK251392</t>
  </si>
  <si>
    <t xml:space="preserve">PNBP Sistem Meter Gas Orifice No. Pendaftaran TU-4645-07-2025, Direktorat Metrologi </t>
  </si>
  <si>
    <t>BSM250117</t>
  </si>
  <si>
    <t xml:space="preserve">Transport BBM, Reli Nurfaiz     </t>
  </si>
  <si>
    <t xml:space="preserve">Transport Taksi, Reli Nurfaiz    </t>
  </si>
  <si>
    <t xml:space="preserve">Transport Parkir, Reli Nurfaiz      </t>
  </si>
  <si>
    <t xml:space="preserve">Transport Bagasi, Reli Nurfaiz     </t>
  </si>
  <si>
    <t xml:space="preserve">Transport Toll, Reli Nurfaiz      </t>
  </si>
  <si>
    <t xml:space="preserve">Makan dan Minum, Reli Nurfaiz </t>
  </si>
  <si>
    <t>Laundry, Reli Nurfaiz</t>
  </si>
  <si>
    <t xml:space="preserve">Sewa Kendaraan a.n Bayhaqy, Salisah Hilmia (Yuli Irawati) </t>
  </si>
  <si>
    <t xml:space="preserve">PPh 2% Sewa Kendaraan a.n Bayhaqy, Salisah Hilmia (Yuli Irawati) </t>
  </si>
  <si>
    <t>BSK251396</t>
  </si>
  <si>
    <t xml:space="preserve">UMK a.n Reli Nurfaiz, Salisah (Yuli Irawati)  </t>
  </si>
  <si>
    <t xml:space="preserve">Biaya Transfer, Salisah (Yuli Irawati)  </t>
  </si>
  <si>
    <t>BSK251416</t>
  </si>
  <si>
    <t>Transport Bandara - Bandung Ditmet, Adip Trisnanto</t>
  </si>
  <si>
    <t xml:space="preserve">Transport Parkir, Adip Trisnanto  </t>
  </si>
  <si>
    <t xml:space="preserve">Makan dan Minum (Adip dan Ditmet), Adip Trisnanto </t>
  </si>
  <si>
    <t>431c</t>
  </si>
  <si>
    <t>KSM24P168</t>
  </si>
  <si>
    <t>Pembelian Peralatan Utama Itron Turbine Gas Meter G650 (6 Inch) Dn150 @2 Ea Inv. 05, Aneka Alat Gas</t>
  </si>
  <si>
    <t>Pembelian Peralatan Utama Meteran Gas Itron G.65 Include Tera @1 Ea Inv. 05, Aneka Alat Gas</t>
  </si>
  <si>
    <t xml:space="preserve">KSM24P168 </t>
  </si>
  <si>
    <t>Makan Lembur SEP (Fajar Andik, Amry, Bay), Eko Waluyo</t>
  </si>
  <si>
    <t>B240798</t>
  </si>
  <si>
    <t>Pembayaran DP 30% PO 24391 Inv. 24515-PO24391 USD 2.509,29 @ 16.375, Zhejiang Flour Valve Co., Ltd</t>
  </si>
  <si>
    <t>Biaya Transfer USD 25 @ 16.375, Zhejiang Flour Valve Co., Ltd</t>
  </si>
  <si>
    <t>BS241067</t>
  </si>
  <si>
    <t>Pembelian Peralatan Utama Pipa Galvanis 8 x 6 M Tebal 5.0 mm 6.4 mm Sch40 @ 10 Unit Inv. 022, TB Sumber Makmur Abadi</t>
  </si>
  <si>
    <t>Pembelian Peralatan Utama Pipa Gas Rifeng/ Gas Pipe Pex Multilayer Rifeng - 40 - 2025 - 100m @ 5 Unit Inv. 022, TB Sumber Makmur Abadi</t>
  </si>
  <si>
    <t>Makan Lembur SEP (Fajar, Dani, Bayhaqy), Eko Waluyo</t>
  </si>
  <si>
    <t>Makan Lembur SEP (Amry, Bay, Dani), Eko Waluyo</t>
  </si>
  <si>
    <t>KK250025</t>
  </si>
  <si>
    <t>KSM24182 &amp; KSM24P168</t>
  </si>
  <si>
    <t>Bea Masuk PO 24406 &amp; 24413, Direktorat Jenderal Bea &amp; Cukai</t>
  </si>
  <si>
    <t>PPN Import PO 24406 &amp; 24413, Direktorat Jenderal Bea &amp; Cukai</t>
  </si>
  <si>
    <t>PPh Import PO 24406 &amp; 24413, Direktorat Jenderal Bea &amp; Cukai</t>
  </si>
  <si>
    <t>KK250175</t>
  </si>
  <si>
    <t>Material Lapangan (Elbow Ø 1/2 NPT SS @ 4 Ea &amp; Bushing Ø 3/4 x 1/2 SS @ 12 Ea) Inv.2835 Ferrul Teknik, Salisah</t>
  </si>
  <si>
    <t>BK250013</t>
  </si>
  <si>
    <t xml:space="preserve">Pembayaran PO 24413 Inv 2 USD 6.747,48 @16.490, Tormene Industriale Srl </t>
  </si>
  <si>
    <t xml:space="preserve">Biaya Transfer USD 25 @16.490, Tormene Industriale Srl </t>
  </si>
  <si>
    <t>Bea Masuk PO 24347,24261,24350 Direktorat Jenderal Bea &amp; Cukai</t>
  </si>
  <si>
    <t>BK250051</t>
  </si>
  <si>
    <t>Pembayaran PO 24347 Inv. P2500036 Project KSM24P168, RMG Messtechnik GmbH</t>
  </si>
  <si>
    <t>Biaya Transfer USD 35 @ 16.485</t>
  </si>
  <si>
    <t>BK250069</t>
  </si>
  <si>
    <t>Pembayaran Pelunasan 70% PO 24391 Inv.24515-PO 24391 USD 4.098,51 @ 16.610 Zhejiang Flour Valve Co,Ltd</t>
  </si>
  <si>
    <t>Transfer Antar Bank USD 25 @ 16.610 Zhejiang Flour Valve Co,Ltd</t>
  </si>
  <si>
    <t>Pembayaran Sisa Pelunasan 70% PO 24391 Inv.24515 USD 1.756,50 @ 16.715 Zhejiang Flour Valve Co Ltd</t>
  </si>
  <si>
    <t>Biaya Makan Lembur SEP (Faishol,Agung,Bay)</t>
  </si>
  <si>
    <t>Biaya Makan Fajar Andik dan Tim SEP</t>
  </si>
  <si>
    <t>Biaya Transfer Makan Fajar Andik dan Tim SEP</t>
  </si>
  <si>
    <t>Makan Lembur SEP (Faishol, Agung, Bay, Amry, Agung)</t>
  </si>
  <si>
    <t>Makan Lembur SEP (Faishol, Agung, Rudi)</t>
  </si>
  <si>
    <t>Makan Lembur SEP (Amry, Fajar Andik)</t>
  </si>
  <si>
    <t>BSK250264</t>
  </si>
  <si>
    <t>Biaya Transport BBM Dio Nesta</t>
  </si>
  <si>
    <t>Biaya Toll Dio Nesta</t>
  </si>
  <si>
    <t>Biaya Makan dan Minum (Dio,Fajar,Amry,Dhani)</t>
  </si>
  <si>
    <t>Biaya Tambal Ban Mobil Dio Nesta</t>
  </si>
  <si>
    <t>Biaya Makan Lembur SEP (Amry,Fajar Andik,Agung)</t>
  </si>
  <si>
    <t>Makan Lembur SEP (Arfa, Amry, Dio, Toro, Dani, Agung)</t>
  </si>
  <si>
    <t>Pembayaran PNBP UTTP Meter Gas Turbin RMG No. T-2302-02-2025</t>
  </si>
  <si>
    <t>Makan a.n Fajar Andik dan Tim SEP Subang</t>
  </si>
  <si>
    <t>Makan Lembur SEP (Amry)</t>
  </si>
  <si>
    <t>Makan Lembur SEP (Faishol dan Bayhaqi), Eko Waluyo</t>
  </si>
  <si>
    <t>BSK250576</t>
  </si>
  <si>
    <t>Material Lapangan (Vention Kabel Lan dan Quinton Type C Hub OTG HDTV) Reli Nurfaiz</t>
  </si>
  <si>
    <t>BSK250577</t>
  </si>
  <si>
    <t>Makan Rudi Hartono</t>
  </si>
  <si>
    <t>BSK250582</t>
  </si>
  <si>
    <t>Transport Toll (Pengadaan MRS G650) Fajar Andik Cahyono</t>
  </si>
  <si>
    <t>Pembayaran DP 30% PO 25092 Inv.054 (SEP MRS) PT.Bhirawa Metal Mandiri</t>
  </si>
  <si>
    <t>PPN 11% Pembayaran DP 30% PO 25092 Inv.054 (SEP MRS) PT.Bhirawa Metal Mandiri</t>
  </si>
  <si>
    <t>PPH 2% Pembayaran DP 30% PO 25092 Inv.054 (SEP MRS) PT.Bhirawa Metal Mandiri</t>
  </si>
  <si>
    <t>PPH Import PO 25009 &amp; PO 25026 Direktorat Jenderal Bea &amp; Cukai</t>
  </si>
  <si>
    <t>Makan a.n (Raffi,Didin,Jiko,Firman,Omat) Adinda Novianti Fadli</t>
  </si>
  <si>
    <t>BSK250773</t>
  </si>
  <si>
    <t>Transport Toll Fajar Andik Cahyono</t>
  </si>
  <si>
    <t>Transport BBM Fajar Andik Cahyono</t>
  </si>
  <si>
    <t>Makan Lembur SEP (Amry) Eko Waluyo</t>
  </si>
  <si>
    <t>Pembayaran PO 25135 Inv.168, PT.Sinar Utama Grounding</t>
  </si>
  <si>
    <t>PPN Pembayaran PO 25135 Inv.168, PT.Sinar Utama Grounding</t>
  </si>
  <si>
    <t>Makan Lembur SEP (Ikmal), Eko Waluyo</t>
  </si>
  <si>
    <t>PPN Import PO 24391,25092,25086, Direktorat Jeneral Bea &amp; Cukai</t>
  </si>
  <si>
    <t>BSK250940</t>
  </si>
  <si>
    <t>Pembayaran Pelunasan PO 25092 Inv.084-INV-PPN-V-2025, PT.Bhirawa Metal Mandiri</t>
  </si>
  <si>
    <t>PPN 11% Pembayaran Pelunasan PO 25092 Inv.084-INV-PPN-V-2025, PT.Bhirawa Metal Mandiri</t>
  </si>
  <si>
    <t>Transfer Antar Bank, T.Bhirawa Metal Mandiri</t>
  </si>
  <si>
    <t>Pembayaran Shipment P2 PO 24406 &amp; 24413 Inv.0165, PT.Kartika Eka Yudha Maritim</t>
  </si>
  <si>
    <t>PPN 11% Pembayaran Shipment P2 PO 24406 &amp; 24413 Inv.0165, PT.Kartika Eka Yudha Maritim</t>
  </si>
  <si>
    <t>PPh 2% Pembayaran Shipment P2 PO 24406 &amp; 24413 Inv.0165, PT.Kartika Eka Yudha Maritim</t>
  </si>
  <si>
    <t>Pembayaran Shipment P1 PO 24347 Inv.0318 PT.Kartika Eka Yudha Maritim</t>
  </si>
  <si>
    <t>PPN Pembayaran Shipment P1 PO 24347 Inv.0318 (0400042505214288) PT.Kartika Eka Yudha Maritim</t>
  </si>
  <si>
    <t>PPh 2% Pembayaran Shipment P1 PO 24347 Inv.0318 PT.Kartika Eka Yudha Maritim</t>
  </si>
  <si>
    <t>Pembayaran Shipment P2 PO 24347 Inv.0286 PT.Kartika Eka Yudha Maritim</t>
  </si>
  <si>
    <t>PPN Pembayaran Shipment P2 PO 24347 Inv.0286 (0400042505214289) PT.Kartika Eka Yudha Maritim</t>
  </si>
  <si>
    <t>PPh 2% Pembayaran Shipment P2 PO 24347 Inv.0286 PT.Kartika Eka Yudha Maritim</t>
  </si>
  <si>
    <t>Pembayaran Warehouse Cost PO 24347 Inv.0210 PT.Kartika Eka Yudha Maritim</t>
  </si>
  <si>
    <t>PPN Pembayaran Warehouse Cost PO 24347 Inv.0210 (0400012584851398) PT.Kartika Eka Yudha Maritim</t>
  </si>
  <si>
    <t>PPh 2% Pembayaran Warehouse Cost PO 24347 Inv.0210 PT.Kartika Eka Yudha Maritim</t>
  </si>
  <si>
    <t>Kurang Potong PPh 2% Pembayaran Warehouse Cost PO 24347 Inv.0210 PT.Kartika Eka Yudha Maritim</t>
  </si>
  <si>
    <t>Pembayaran Warehouse Cost PO 25009 &amp; 25026 Inv.0123 PT.Kartika Eka Yudha Maritim</t>
  </si>
  <si>
    <t>PPN Pembayaran Warehouse Cost PO 25009 &amp; 25026 Inv.0123 (04002500102316423) PT.Kartika Eka Yudha Maritim</t>
  </si>
  <si>
    <t>PPh 2% Pembayaran Warehouse Cost PO 25009 &amp; 25026 Inv.0123 PT.Kartika Eka Yudha Maritim</t>
  </si>
  <si>
    <t>BSK251118</t>
  </si>
  <si>
    <t>Pembayaran PO 25039 Inv.015, PT.Karya Instrumindo Simpati</t>
  </si>
  <si>
    <t>PPN Pembayaran PO 25039 Inv.015 (04002500136811121), PT.Karya Instrumindo Simpati</t>
  </si>
  <si>
    <t>PPN Pembayaran Cicilan term II PO 25106 Inv.0270625 (04012500156926917), PT.Nurman Indoban Sentosa</t>
  </si>
  <si>
    <t>Pembayaran Shipment PO 24391 Inv.0327,0247,0244 PT.Kartika Eka Yudha Maritim</t>
  </si>
  <si>
    <t xml:space="preserve">Transport Parkir, Fajar Andik C </t>
  </si>
  <si>
    <t xml:space="preserve">ATK (Lakban Kertas), Fajar Andik C </t>
  </si>
  <si>
    <t xml:space="preserve">Material (Vlok Ring @1pcs), Adinda Naufianti </t>
  </si>
  <si>
    <t xml:space="preserve">Transport Toll a.n Fajar Andik, Adinda Naufianti </t>
  </si>
  <si>
    <t>BSM250122</t>
  </si>
  <si>
    <t>KSM25P093</t>
  </si>
  <si>
    <t xml:space="preserve">Pembayaran PNBP Meter Gas Diafragma G4, Adinda Naufianti </t>
  </si>
  <si>
    <t xml:space="preserve">Makan a.n Sigit Dengan Tim PGN Jargas Sleman, Adinda Naufianti </t>
  </si>
  <si>
    <t xml:space="preserve">Transport Gocar a.n Syintia Auliana, Adinda Naufianti </t>
  </si>
  <si>
    <t xml:space="preserve">Lalamove Material Dari Jargas Semarang Ke Jargas Sleman, Adinda Naufianti </t>
  </si>
  <si>
    <t xml:space="preserve">Perlengkapan (Kasur dan Bantal) Untuk Mess Jargas Sleman, Adinda Naufianti </t>
  </si>
  <si>
    <t>Hotel a.n Sigit Praptowo, Adinda Naufianti (Yuli Irawati)</t>
  </si>
  <si>
    <t>Transport Grabcar &amp; Taxi Bandara a.n Razak, Adinda Naufianti (Yuli Irawati)</t>
  </si>
  <si>
    <t>Transport Toll a.n Razak, Adinda Naufianti (Yuli Irawati)</t>
  </si>
  <si>
    <t>BSK251414a</t>
  </si>
  <si>
    <t>Pembayaran Jaminan Pelaksanaan Jargas Sleman No. MD2520494957, PT Bank Syariah Indonesia Tbk</t>
  </si>
  <si>
    <t>BSK251484</t>
  </si>
  <si>
    <t xml:space="preserve">Makan Lembur Jargas Sleman (Razak, Rendra, Wildan, Rudi H, Alifia, Sigit), Eko Waluyo </t>
  </si>
  <si>
    <t xml:space="preserve">Makan Meeting Jargas Sleman (Sigit), Eko Waluyo </t>
  </si>
  <si>
    <t>BSM250123</t>
  </si>
  <si>
    <t xml:space="preserve">Transport Gojek, Anjani Dwi S </t>
  </si>
  <si>
    <t xml:space="preserve">Transport Kereta, Anjani Dwi S </t>
  </si>
  <si>
    <t xml:space="preserve">Makan dan Minum, Anjani Dwi S </t>
  </si>
  <si>
    <t>BSM250124</t>
  </si>
  <si>
    <t xml:space="preserve">Lalamove dan Toll Jargas Sleman, Rizqi Aulia </t>
  </si>
  <si>
    <t xml:space="preserve">Biaya Transfer, Rizqi Aulia </t>
  </si>
  <si>
    <t>Perlengkapan (Banner), Rizqi Aulia</t>
  </si>
  <si>
    <t xml:space="preserve">Perlengkapan (Kasur dan Bantal) Jargas Sleman, Rizqi Aulia </t>
  </si>
  <si>
    <t xml:space="preserve">Transport BBM Jargas Sleman, Rizqi Aulia </t>
  </si>
  <si>
    <t>BSM250125</t>
  </si>
  <si>
    <t>Makan (Aqua Galon, Kopi dan Gula) Jargas Sleman, Shavira Akmalia</t>
  </si>
  <si>
    <t>Biaya Transfer,  Shavira Akmalia</t>
  </si>
  <si>
    <t>Transport Maxim a.n Berly,  Shavira Akmalia</t>
  </si>
  <si>
    <t>Pengiriman Material Dari Semarang Ke Sleman,  Shavira Akmalia</t>
  </si>
  <si>
    <t>Pembayaran Wifi Jargas Sleman,  Shavira Akmalia</t>
  </si>
  <si>
    <t>BSM250126</t>
  </si>
  <si>
    <t>Peralatan dan Perlengkapan (Wearpack, Gas, Peralatan Pantry, Rompi, Sticker, dan Sabun) Jargas Sleman, Moura</t>
  </si>
  <si>
    <t>Transport Gojek a.n Wahyu, Moura</t>
  </si>
  <si>
    <t>Transport BBM, Moura</t>
  </si>
  <si>
    <t>Transport Kereta a.n Aydi Amin dan Razak, Moura</t>
  </si>
  <si>
    <t>BSM250126a</t>
  </si>
  <si>
    <t xml:space="preserve">Material Lapangan Jargas Sleman </t>
  </si>
  <si>
    <t xml:space="preserve">Biaya Transfer </t>
  </si>
  <si>
    <t xml:space="preserve">Makan dan Minum a.n Sigit Jargas Sleman </t>
  </si>
  <si>
    <t>BSM250128</t>
  </si>
  <si>
    <t xml:space="preserve">Material Lapangan (Kayu Kaso dan Palet) Jargas Sleman </t>
  </si>
  <si>
    <t xml:space="preserve">Pulsa a.n Fondra Jargas Sleman </t>
  </si>
  <si>
    <t xml:space="preserve">Makan dan Minum a.n Cahyo Jargas Sleman </t>
  </si>
  <si>
    <t xml:space="preserve">PNBP MGRT Jargas Sleman </t>
  </si>
  <si>
    <t xml:space="preserve">Peralatan (Banner Gas In) Jargas Sleman </t>
  </si>
  <si>
    <t xml:space="preserve">Transport BBM Jargas Sleman </t>
  </si>
  <si>
    <t xml:space="preserve">Peralatan (Meja Dirkit) Jargas Sleman </t>
  </si>
  <si>
    <t xml:space="preserve">Listrik Mess Jargas Sleman </t>
  </si>
  <si>
    <t xml:space="preserve">Peralatan (Rompi dan Helm Safety) Jargas Sleman </t>
  </si>
  <si>
    <t>KSM24P006</t>
  </si>
  <si>
    <t>Pembayaran PO 24029 USD 5.380 @ 15.795 Zhenzen Zhongliweiyi Electromechanical Equipment Co Ltd</t>
  </si>
  <si>
    <t>Biaya Transfer Pembayaran PO 24029 USD 5.380 @ 15.795 Zhenzen Zhongliweiyi Electromechanical Equipment Co Ltd</t>
  </si>
  <si>
    <t>Biaya Commision Pembayaran PO 24029 USD 5.380 @ 15.795 Zhenzen Zhongliweiyi Electromechanical Equipment Co Ltd</t>
  </si>
  <si>
    <t>EX UMK Khairil</t>
  </si>
  <si>
    <t>Makan Khairil</t>
  </si>
  <si>
    <t>ATK (Materai,Kertas A3,A4,Lem Stick), Khairil</t>
  </si>
  <si>
    <t>Peralatan Kantor (MTS Biro Stylist,Magic Com,Botol,Sutil), Khairil</t>
  </si>
  <si>
    <t>Hotel a.n Faishol Aziz, Khairil</t>
  </si>
  <si>
    <t>Transport BBM &amp; Bandara Khairil</t>
  </si>
  <si>
    <t>Material (Gergaji,Kayu 3/4,Ember,Avians,Kuas,Palu Kambing,Paku,Tong Sampah), Khairil</t>
  </si>
  <si>
    <t>Transport Ticket Pesawat a.n Faishol Aziz, Khairil</t>
  </si>
  <si>
    <t>Listrik, Khairil</t>
  </si>
  <si>
    <r>
      <t>Pembelian Material (Elbow 90</t>
    </r>
    <r>
      <rPr>
        <sz val="12"/>
        <rFont val="Calibri"/>
        <family val="2"/>
      </rPr>
      <t>⁰</t>
    </r>
    <r>
      <rPr>
        <sz val="12"/>
        <rFont val="Arial"/>
        <family val="2"/>
      </rPr>
      <t xml:space="preserve"> dia 90mm,Elbow 45</t>
    </r>
    <r>
      <rPr>
        <sz val="12"/>
        <rFont val="Calibri"/>
        <family val="2"/>
      </rPr>
      <t>⁰</t>
    </r>
    <r>
      <rPr>
        <sz val="12"/>
        <rFont val="Arial"/>
        <family val="2"/>
      </rPr>
      <t xml:space="preserve"> dia 90mm,Equal Tee 90mm,Coupler 90mm,End Cap 90mm,Ball Valve 90mm,Tee Reducer 90mm x 63mm,Reducer 90mm x 63mm,Elbow 90</t>
    </r>
    <r>
      <rPr>
        <sz val="12"/>
        <rFont val="Calibri"/>
        <family val="2"/>
      </rPr>
      <t>⁰</t>
    </r>
    <r>
      <rPr>
        <sz val="12"/>
        <rFont val="Arial"/>
        <family val="2"/>
      </rPr>
      <t xml:space="preserve"> dia 63mm,Elbow 45</t>
    </r>
    <r>
      <rPr>
        <sz val="12"/>
        <rFont val="Calibri"/>
        <family val="2"/>
      </rPr>
      <t>⁰</t>
    </r>
    <r>
      <rPr>
        <sz val="12"/>
        <rFont val="Arial"/>
        <family val="2"/>
      </rPr>
      <t xml:space="preserve"> dia 63mm,End Cap 63mm,Tee Reducer 63mm x 32mm,Reducer 63mm x 32mm,Elbow 90</t>
    </r>
    <r>
      <rPr>
        <sz val="12"/>
        <rFont val="Calibri"/>
        <family val="2"/>
      </rPr>
      <t>⁰</t>
    </r>
    <r>
      <rPr>
        <sz val="12"/>
        <rFont val="Arial"/>
        <family val="2"/>
      </rPr>
      <t xml:space="preserve"> dia 32mm,Elbow 45</t>
    </r>
    <r>
      <rPr>
        <sz val="12"/>
        <rFont val="Calibri"/>
        <family val="2"/>
      </rPr>
      <t>⁰</t>
    </r>
    <r>
      <rPr>
        <sz val="12"/>
        <rFont val="Arial"/>
        <family val="2"/>
      </rPr>
      <t xml:space="preserve"> dia 32mm,Coupler 32mm,Flange Adaptor 32mm x 2"), Khairil</t>
    </r>
  </si>
  <si>
    <t>Bea Masuk PO 24029 Direktorat Jenderal Bea &amp; Cukai</t>
  </si>
  <si>
    <t>PPN Import PO 24029 Direktorat Jenderal Bea &amp; Cukai</t>
  </si>
  <si>
    <t>PPH Import PO 24029 Direktorat Jenderal Bea &amp; Cukai</t>
  </si>
  <si>
    <t>Bea Masuk PO 24016 &amp; PO 24026 Direktorat Jenderal Bea &amp; Cukai</t>
  </si>
  <si>
    <t>PPH Import PO 24016 &amp; PO 24026 Direktorat Jenderal Bea &amp; Cukai</t>
  </si>
  <si>
    <t>Bea Masuk PO 24080 &amp; PO 24094 Direktorat Jenderal Bea &amp; Cukai</t>
  </si>
  <si>
    <t>PPH Import PO 24080 &amp; PO 24094 Direktorat Jenderal Bea &amp; Cukai</t>
  </si>
  <si>
    <t>Peralatan (Cetak Banner) Bali Star, Khairil</t>
  </si>
  <si>
    <t>Biaya Transfer, Khairil</t>
  </si>
  <si>
    <t>ATK (Kertas HVS,Clipboard,Baterai ABC,Bolpoint,Cetak Banner,Map Bening,Glass Clear,Bantex,Glue Stick,Speaker Advance,Flashdisk 16 GB,Mose,Snowman,Lem UHU,Map Spring File,Sidu A3 Inv.1497 Tafara Basudara), Khairil</t>
  </si>
  <si>
    <t>Material (Meteran,Karung,Cat Semprot,Kayu Kaso,Plastik Cor,Kawat Bedrat,Paku 7,Gergaji Kayu,Catut,Paku 10,Gunting Pipa,Belco,Obeng,Kanebo Plas,Linggis Ulir,Ember,Timba,Kap Sorot Mikolite 50W,Steker Arde,Tandon Air,Sekop Gagang Kayu,Dexston Super Glue,Kayu Kampar,Kunci Pas 24,Gergaji Sanflex,Tampar 10mm Orion,Pipa Besi 4",Pengki,Pipa Casing 4",Paku 3,Kunci T,Kunci Pas 8x9,Sapu Lidi,Kayu Reng), Khairil</t>
  </si>
  <si>
    <t>Transport BBM (Motor DK 3382 FAD &amp; Mobil DK 1382 EN), Khairil</t>
  </si>
  <si>
    <t>Peralatan (Kain Pell,Lampu Lalin,Aqua Galon,Pompa Galon,Gayung,Stop Kontak Arde,Broco Steker Arde), Khairil</t>
  </si>
  <si>
    <t>Transport BBM Mock Up Internal Pengetesan Mesin2, Khairil</t>
  </si>
  <si>
    <t>Transport Loading Material,Mesin,Pipa 90 &amp; Pipa 63, Khairil</t>
  </si>
  <si>
    <t>Pengiriman Kayu Katrek Ke Gudang Site Jargas Bali. Khairil</t>
  </si>
  <si>
    <t>Makan Lembur Pengerjaan Banner, Khairil</t>
  </si>
  <si>
    <t>Token Listrik Kontrakan, Khairil</t>
  </si>
  <si>
    <t>Peralatan Safety (Rompi Tebal Jaring,Helm Proyek,Warepack Size L dan XL,Logo HSE,Logo Bendera MP &amp; Peralatan Test Pit), Khairil</t>
  </si>
  <si>
    <t>Transport BBM Mandor Rohim, Khairil</t>
  </si>
  <si>
    <t>Transport BBM Genset Operator, Khairil</t>
  </si>
  <si>
    <t>Sewa Rumah Kos @ 2 Bulan Periode 27/2/2024 sd 27/4/2024, Khairil</t>
  </si>
  <si>
    <t>Makan Kantor (Aqua Air 330ml,Aqua 19lt), Khairil</t>
  </si>
  <si>
    <t>Pembayaran PDAM, Khairil</t>
  </si>
  <si>
    <t>Pembayaran Pembuatan Bingkai Banner Tgl 2/3/2024 &amp; 4/3/2024, Khairil</t>
  </si>
  <si>
    <t>Sumbangan Untuk Acara Sembahyang a.n Razak, Khairil</t>
  </si>
  <si>
    <t>Biaya Koordinasi Dengan Security Lagoon, Khairil</t>
  </si>
  <si>
    <t>Transport BBM Mobil Operator DK8572GD, Khairil</t>
  </si>
  <si>
    <t>Peralatan (Cetak Banner ITDC), Khairil</t>
  </si>
  <si>
    <t>Peralatan (Cetak Banner Kick Off), Khairil</t>
  </si>
  <si>
    <t>Obat-Obatan (Sanexon 4mg,Mixagrip Flu), Khairil</t>
  </si>
  <si>
    <t>Makan Siang Dengan Tim ITDC, Khairil</t>
  </si>
  <si>
    <t>Sewa Kendaraan Bermotor DK3382FAD Periode 3/2/2024 sd 3/4/2024, Khairil</t>
  </si>
  <si>
    <t>Transport Ticket Travel Bus @ 4 Org Brebes - Bali, Khairil</t>
  </si>
  <si>
    <t>Sewa Mobil Pick Up Periode 25/2/2024 sd 25/3/2024, Khairil</t>
  </si>
  <si>
    <t>Peralatan (Pembelian Brother Inject MFC J3540DW Inv.1496 Tafara Basudara, Khairil</t>
  </si>
  <si>
    <t>Transport Toll, Khairil</t>
  </si>
  <si>
    <t>Makan (Isi Ulang Aqua,Makan Lembur @ 4 Orang,Rapat Perizinan Pindah Galian), Khairil</t>
  </si>
  <si>
    <t>Transport BBM (Buat Mesin Stemper,Genset), Khairil</t>
  </si>
  <si>
    <t xml:space="preserve">Material (Tali Rapiah,Kayu Usuk Buat Banner,Mika Roll Tebal,Straples Solid,Isi Straples,Paku 7,Paku 10,Sapu Ijuk,Pel Lantai,Ember TC,Cutter,Rumput Jepang,Ban Bekas Untuk Mobil Perapihan,Karung 50kg,Tanah Subur,Timba Hitam Besar,Timba Warna,Sapu Lidi,Pompa Electrik,Lem Pipa,Seal Tape), Khairil </t>
  </si>
  <si>
    <t>Transport BBM Operasional Mandor, Khairil</t>
  </si>
  <si>
    <t>Transport BBM Operasional Kantor, Khairil</t>
  </si>
  <si>
    <t>Pembelian Token Listrik Mess,HSE,SPV Jalur,Operator, Khairil</t>
  </si>
  <si>
    <t>Transport Pembuatan Banner, Khairil</t>
  </si>
  <si>
    <t>Pembayaran Unloading Pipa PE, Khairil</t>
  </si>
  <si>
    <t>Peralatan Kantor (Panci,Sendok,Gelas,Sikat Baju,Mangkok,Gas Kaleng,Buku,Plastik Sampah,Tinta Brother,Spidol Snowman,Clip Board,Baterai ABC,Sidu,Kertas Label,Clip Joyco,HVS F4,Lem Stick,Glass Clear,Bantex Ordener), Khairil</t>
  </si>
  <si>
    <t>Biaya Koordinasi Penentuan 17 Titik Tenan Dibali Collection, Khairil</t>
  </si>
  <si>
    <t>Pengobatan Tukang Gali, Khairil</t>
  </si>
  <si>
    <t>Perbaikan Kendaraan Bermotor DK 3382 FAD, Khairil</t>
  </si>
  <si>
    <t>Makan Koordinasi Dengan ITDC, Khairil</t>
  </si>
  <si>
    <t>Transport Ticket Kapal a.n Abdul Rahim, Khairil</t>
  </si>
  <si>
    <t>UMK Uang Makan Mandor Rohim @ 35 Org Periode 23 sd 26 Maret 2024, Khairil</t>
  </si>
  <si>
    <t>UMK Uang Makan Mandor Rohim @ 35 Org Periode 21 Maret 2024, Khairil</t>
  </si>
  <si>
    <t>UMK Uang Makan Mandor Rohim @ 35 Org Periode 22 Maret 2024, Khairil</t>
  </si>
  <si>
    <t>UMK Uang Makan Mandor Rohim @ 35 Org Periode 9 sd 11 Maret 2024, Khairil</t>
  </si>
  <si>
    <t>UMK Uang Makan Mandor Rohim @ 35 Org Periode 12 Maret 2024, Khairil</t>
  </si>
  <si>
    <t>UMK Uang Makan Mandor Rohim @ 35 Org Periode 13 sd 14 Maret 2024, Khairil</t>
  </si>
  <si>
    <t>UMK Uang Makan Mandor Rohim @ 35 Org Periode 15 sd 17 Maret 2024, Khairil</t>
  </si>
  <si>
    <t>UMK Uang Makan Mandor Rohim @ 35 Org Periode 18 sd 20 Maret 2024, Khairil</t>
  </si>
  <si>
    <t>Transport Bus Pahala Kencana a.n Abdul Rahim &amp; Warto, Khairil</t>
  </si>
  <si>
    <t>Transport Bandara Kerumah a.n M.Razak, Khairil</t>
  </si>
  <si>
    <t>196a</t>
  </si>
  <si>
    <t>Pembelian Peralatan Utama Rotary Meter G65 DN50 2" PN 16 @ 1 Ea Inv.008 CV.Kurnia Jaya</t>
  </si>
  <si>
    <t>Pembelian Peralatan Utama Ball Valve 1/2" #800 SCH 40 Body A105 @ 10 Ea Inv.008 CV.Kurnia Jaya</t>
  </si>
  <si>
    <t>Pembelian Peralatan Utama Thermowell Solid Drill Bar SS 316 L 1/2" NPT @ 10 Ea Inv.008 CV.Kurnia Jaya</t>
  </si>
  <si>
    <t>Pembelian Peralatan Utama Ball Valve 9mm @ 6 Ea Inv.008 CV.Kurnia Jaya</t>
  </si>
  <si>
    <r>
      <t>Pembelian Perlatan Utama Elbow 90</t>
    </r>
    <r>
      <rPr>
        <sz val="12"/>
        <color indexed="10"/>
        <rFont val="Calibri"/>
        <family val="2"/>
      </rPr>
      <t>⁰</t>
    </r>
    <r>
      <rPr>
        <sz val="12"/>
        <color indexed="10"/>
        <rFont val="Arial"/>
        <family val="2"/>
      </rPr>
      <t xml:space="preserve"> dia 90mm @ 10 Ea Inv.008 CV.Kurnia Jaya</t>
    </r>
  </si>
  <si>
    <r>
      <t>Pembelian Peralatan Utama Elbow 45</t>
    </r>
    <r>
      <rPr>
        <sz val="12"/>
        <color indexed="10"/>
        <rFont val="Calibri"/>
        <family val="2"/>
      </rPr>
      <t>⁰</t>
    </r>
    <r>
      <rPr>
        <sz val="12"/>
        <color indexed="10"/>
        <rFont val="Arial"/>
        <family val="2"/>
      </rPr>
      <t xml:space="preserve"> dia 90mm @ 10 Ea Inv.008 CV.Kurnia Jaya</t>
    </r>
  </si>
  <si>
    <t>Pembelian Peralatan Utama Reducer 63mm x 32mm @ 40 Ea Inv.008 CV.Kurnia Jaya</t>
  </si>
  <si>
    <r>
      <t>Pembelian Peralatan Utama Elbow 90</t>
    </r>
    <r>
      <rPr>
        <sz val="12"/>
        <color indexed="10"/>
        <rFont val="Calibri"/>
        <family val="2"/>
      </rPr>
      <t>⁰</t>
    </r>
    <r>
      <rPr>
        <sz val="12"/>
        <color indexed="10"/>
        <rFont val="Arial"/>
        <family val="2"/>
      </rPr>
      <t xml:space="preserve"> dia 32mm @ 40 Ea Inv.008 CV.Kurnia Jaya</t>
    </r>
  </si>
  <si>
    <t>Pembelian Peralatan Utama Tee Reducer 63mm x 32mm @ 40 Ea Inv.008 CV.Kurnia Jaya</t>
  </si>
  <si>
    <t>Peralatan (Modem Telkomsel Orbit Star,Plastik Sampah), Khairil</t>
  </si>
  <si>
    <t>Transport BBM (Genset,Stemper), Khairil</t>
  </si>
  <si>
    <t>Transport BBM (Motor), Khairil</t>
  </si>
  <si>
    <t>Transport BBM (Mobil Operator,Operasional Kantor), Khairil</t>
  </si>
  <si>
    <t>Transport BBM (Mobil Mandor), Khairil</t>
  </si>
  <si>
    <t>Transport Toll &amp; Parkir, Khairil</t>
  </si>
  <si>
    <t>Makan (Aqua Galon), Khairil</t>
  </si>
  <si>
    <t>Material (Tanah Subur,Rumput Jepang,Linggis,Bunga Taman,Pipa Besi,Cairan Odorizer), Khairil</t>
  </si>
  <si>
    <t>Peralatan ATK (Tinta Data Print), Khairil</t>
  </si>
  <si>
    <t>J&amp;T Kirim Document, Khairil</t>
  </si>
  <si>
    <t>Obat-Obatan (Salep Gatel), Khairil</t>
  </si>
  <si>
    <t>Pembelian Token Listrik, Khairil</t>
  </si>
  <si>
    <t>Pembayaran Uang Jaga Malam Gudang Lagon Periode Februari &amp; Maret 2024, Khairil</t>
  </si>
  <si>
    <t>Transport Travel a.n Khairil (Grandmax DK 8577 GD), Khairil</t>
  </si>
  <si>
    <t>UMK Uang Makan Mandor Periode 27 Maret sd 02 April 2024), Khairil</t>
  </si>
  <si>
    <t>Makan Meeting Dengan Tim ITDC &amp; INU, Khairil</t>
  </si>
  <si>
    <t>Transport SPV Jalur Periode 7 Maret sd 7 April 2024, Khairil</t>
  </si>
  <si>
    <t>Transport Operasional Gudang Periode 6 April sd 6 Mei 2024, Khairil</t>
  </si>
  <si>
    <t>Pembelian Material a.n Slamet, I Nyoman Cenik Suranta</t>
  </si>
  <si>
    <t>Peralatan (Safety Vest,Lampu,Fitting Colokan), Khairil</t>
  </si>
  <si>
    <t>Material (Kunci Pipa Heavy Duty,Rumput Jepang.Lap Kanebo,Ball Valve 1/2,Ball Valve 3/4,Pompa Sepeda,Nepple Selang,Isolasi,Tang Kombinasi,Gergaji Sanflex,Knie,Verlop Sok,Double Nepel,Sok,Tee,Paving,Klem Selang,KNC Filter,K.Bago,Bunga), Khairil</t>
  </si>
  <si>
    <t>ATK (Kenko Cutter), Khairil</t>
  </si>
  <si>
    <t>Makan (Aqua Isi Ulang), Khairil</t>
  </si>
  <si>
    <t>Transport BBM (Mobil &amp; Motor), Khairil</t>
  </si>
  <si>
    <t>Pembelian Token Listrik (Mess Karyawan,Gudang,Mess Operator), Khairil</t>
  </si>
  <si>
    <t>Pembayaran Uang Sampah Bulanan Mess Karyawan, Khairil</t>
  </si>
  <si>
    <t>Transport Pemindahan Banner Dari Kantor INU Ke Gudang, Khairil</t>
  </si>
  <si>
    <t>Transport BBM Mobil Mandor Rohim, Khairil</t>
  </si>
  <si>
    <t>Pembayaran PAM Periode Maret 2024, Khairil</t>
  </si>
  <si>
    <t>Pembayaran Loading Kompressor Airman, Khairil</t>
  </si>
  <si>
    <t>Transport Pemasangan Paving Blok &amp; Batu Gunung Untuk Perbaikan Taman, Khairil</t>
  </si>
  <si>
    <t>Transport Pembuangan Sampah Bekas Pekerjaan Galian Jaringan Pipa Gas, Khairil</t>
  </si>
  <si>
    <t>Kos Bulanan a.n Novi Irawan, Khairil</t>
  </si>
  <si>
    <t>Entertain Untuk Inu &amp; ITDC, Khairil</t>
  </si>
  <si>
    <t>Transport Koordinasi Lapangan Pemasangan Pipa Gas Dengan Kepala Lingkungan, Khairil</t>
  </si>
  <si>
    <t>Transport Pengadaan Pick Up &amp; Motor Tossa Roda Tiga Periode 26/4/2024 Sd 26/5/2024, Khairil</t>
  </si>
  <si>
    <t>Transport Jaga Malam Gudang Lagoon Periode Bulan April 2024, Khairil</t>
  </si>
  <si>
    <t>UMK a.n Mandor Rohim (Uang Makan Periode 25 sd 26 April 2024), Khairil</t>
  </si>
  <si>
    <t>UMK a.n Mandor Rohim (Uang Makan Periode 27 sd 29 April 2024), Khairil</t>
  </si>
  <si>
    <t>UMK a.n Mandor Rohim (Uang Makan Periode 30 April sd 2 Mei 2024), Khairil</t>
  </si>
  <si>
    <t>Transport BBM (Motor &amp; Mobil), M.Nur Slamet</t>
  </si>
  <si>
    <t>Transport BBM (Jenset,Stemper &amp; Airman), M.Nur Slamet</t>
  </si>
  <si>
    <t>Material (Paku Payung,Minyak Goreng,Lem Dexston,Baut,Pasir Cor,Koral,Semen,Pipa 4",Marker Tape Patok,Triplek 6",Kuas Cat,Paint Best,Thinner,BT,Kinik,BT.Potong,Mata Gerinda,Batu Candi,Water Mout,Pipa 1 1/2"), M.Nur Slamet</t>
  </si>
  <si>
    <t>Makan (Aqua Galon Isi Ulang), M.Nur Slamet</t>
  </si>
  <si>
    <t>Perbaikan Motor (Scoopy,Vario), M.Nur Slamet</t>
  </si>
  <si>
    <t>Makan Lembur Operator Electro Fussion (Joint Pipa), M.Nur Slamet</t>
  </si>
  <si>
    <t>Peralatan (Kunci Ring Pas 12,Kunci Ring Pas 13,Cetok,Pisau Cutter,Kunci Senai), M.Nur Slamet</t>
  </si>
  <si>
    <t>Transport Pembersihan Gudang, M.Nur Slamet</t>
  </si>
  <si>
    <t>J&amp;T Kirim Document, M.Nur Slamet</t>
  </si>
  <si>
    <t>Material Perbaikan (Beli Tanaman Helicosma,Tanah,Paving Blok,Aspal Hot Mix,Blendo), M.Nur Slamet</t>
  </si>
  <si>
    <t>Obat-Obatan (Rhemafar 4mg,Methylprednisolone,Tugingo Herbal), M.Nur Slamet</t>
  </si>
  <si>
    <t>Listrik, M.Nur Slamet</t>
  </si>
  <si>
    <t>Makan Meeting Dengan ITDC, M.Nur Slamet</t>
  </si>
  <si>
    <t>Transport Toll &amp; Parkir Bandara, M.Nur Slamet</t>
  </si>
  <si>
    <t>Peralatan Safety (Ear Plug), M.Nur Slamet</t>
  </si>
  <si>
    <t>Sewa Kendaraan @ Motor Scoopy, M.Nur Slamet</t>
  </si>
  <si>
    <t>Laundry (Slamet), M.Nur Slamet</t>
  </si>
  <si>
    <t>Pengiriman Mesin Senai Ke Kantor (Butfussion &amp; Elektro Fussion) CV.Harapan Cepat, M.Nur Slamet</t>
  </si>
  <si>
    <t>Sewa Kendaraan Motor Vario Periode 3 mei sd 3 Juni 2024 DK 3382 FAD, M.Nur Slamet</t>
  </si>
  <si>
    <t>Transport Ticket Travel Bali - Brebes @ 18 Orang a.n Mandor Rohim, M.Nur Slamet</t>
  </si>
  <si>
    <t>ATK (Tinta Brother,HVS Sidu A3 &amp; A4), M.Nur Slamet</t>
  </si>
  <si>
    <t>Pembuatan Patok Gas @ 60 Buah x 80.000, M.Nur Slamet</t>
  </si>
  <si>
    <t>Sewa Kendaraan Motor Vario Periode 26 Mei sd 26 Juni 2024, M.Nur Slamet</t>
  </si>
  <si>
    <t>Transport Jaga Malam Gudang &amp; Lagoon Periode Mei 2024, M.Nur Slamet</t>
  </si>
  <si>
    <t>Transport Travel a.n Krisna &amp; Oktafian, M.Nur Slamet</t>
  </si>
  <si>
    <t>Sewa Motor Scoopy Periode 6 mei sd 6 Juni 2024, M.Nur Slamet</t>
  </si>
  <si>
    <t>Transport Pengalihan Material &amp; Mesin Di Gudang, M.Nur Slamet</t>
  </si>
  <si>
    <t>Sewa Mobil &amp; Motor Roda 3 Periode 26 Mei sd 26 Juni 2024, M.Nur Slamet</t>
  </si>
  <si>
    <t>Makan, M.Nur Slamet</t>
  </si>
  <si>
    <t>JNE, M.Nur Slamet</t>
  </si>
  <si>
    <t>Transport Travel Kedatangan Manpower Brebes - Bali @ 8 Orang, M.Nur Slamet</t>
  </si>
  <si>
    <t>Transport Pembersihan Area Kerja Di Lagoon, M.Nur Slamet</t>
  </si>
  <si>
    <t>UMK a.n Mandor Rohim (Uang Makan Mandor @ 3 Hari), M.Nur Slamet</t>
  </si>
  <si>
    <t>UMK a.n Mandor Rohim (Uang Makan Mandor @ 2 Hari), M.Nur Slamet</t>
  </si>
  <si>
    <t>UMK a.n Mandor Rohim (Uang Makan Mandor 4 sd 6 Mei 2024 @ 3 Hari), M.Nur Slamet</t>
  </si>
  <si>
    <t>Sewa Motor Vario Periode 29 Mei sd 29 Juni 2024 DK 6657 FAB, M.Nur Slamet</t>
  </si>
  <si>
    <t>Material Pembuatan Dexcel @ 13 x 350.000, M.Nur Slamet</t>
  </si>
  <si>
    <t>Sewa Kendaraan Motor Beat, M.Nur Slamet</t>
  </si>
  <si>
    <t>Material Box Outlet Pipa Di MRS, M.Nur Slamet</t>
  </si>
  <si>
    <t>271c</t>
  </si>
  <si>
    <t>Pembayaran Sumbangan / Sponsorship Acara 17 Agustusan PT.National Energy Solution, PT.National Energy Solution</t>
  </si>
  <si>
    <t>Pembelian Peralatan Utama Vinilon Pipa HDPE PE 100 9inch 1pc @3 Ea Inv. 0015, Cahaya Buana Bangunan</t>
  </si>
  <si>
    <t>Pembelian Peralatan Utama Meteran Gas Honeywell @4 Ea Inv. 0015, Cahaya Buana Bangunan</t>
  </si>
  <si>
    <t>334a</t>
  </si>
  <si>
    <t>Pembelian Helm Proyek Safety Krisbow @30 Unit, Nusa Safety Equipment</t>
  </si>
  <si>
    <t>Pembelian Sepatu Pengaman Safety @10 Unit, Nusa Safety Equipment</t>
  </si>
  <si>
    <t>Pembelian Safety Fall Arrester 20m @8 Unit, Nusa Safety Equipment</t>
  </si>
  <si>
    <t>338a</t>
  </si>
  <si>
    <t xml:space="preserve">Pembuatan Kunci Stang Valve 90 &amp; 63 </t>
  </si>
  <si>
    <t xml:space="preserve">Loading &amp; Unloading Material Ke Kontrakan </t>
  </si>
  <si>
    <t xml:space="preserve">Pengobatan Dokter Gigi Operator M. Muhaimin </t>
  </si>
  <si>
    <t xml:space="preserve">Makan (Isi Ulang) </t>
  </si>
  <si>
    <t>Perawatan Honda Motor Varia DK 6485 OY (Vacuum KYB)</t>
  </si>
  <si>
    <t>Material (Pahat Beton, Kunci Pipa, Plug GI, Fitting Colok, Kunci Gembok, Sok, Lem Pipa, Gergaji, dan Kuas Cat)</t>
  </si>
  <si>
    <t>Transport BBM (Genset, Motor, Stemper)</t>
  </si>
  <si>
    <t>Transport BBM Mobil Mandor Rohim</t>
  </si>
  <si>
    <t xml:space="preserve">Charge Aki Massiv + Klem </t>
  </si>
  <si>
    <t>Perawatan Motor Roda Tiga Tossa Viar Happy (Gear Box Mundur, Oli Garden, Rumah Sekring)</t>
  </si>
  <si>
    <t>Peralatan Test Bubble Kebocoran Pipa (Jet Spray, Sunlight)</t>
  </si>
  <si>
    <t xml:space="preserve">Pengiriman Barang Dexcel PT. Caraka Sarana Tama </t>
  </si>
  <si>
    <t xml:space="preserve">transport Perbaikan/Perapihan Jalan Gazebo Bekas Galian Pipa </t>
  </si>
  <si>
    <t>Material (Head Lamp)</t>
  </si>
  <si>
    <t xml:space="preserve">Obat (Tetes Mata dan Redoxon) </t>
  </si>
  <si>
    <t xml:space="preserve">Material Pembuatan Dexcel &amp; Box Valve (Koral, Zakson, Pipa, Bata, Waterpas, Besi, Pipa Besi) </t>
  </si>
  <si>
    <t xml:space="preserve">Material Pembuatan Pneumatic MGRT (D. Nepel, Verlop Sok, Sok, Tee, Klem, Coupling, dan Selang) </t>
  </si>
  <si>
    <t>Makan (Pemotongan &amp; Pengolahan Kambing Qurban)</t>
  </si>
  <si>
    <t xml:space="preserve">Transport Antar Jemput Mesin Cutting Buat Aspal </t>
  </si>
  <si>
    <t xml:space="preserve">ATK (Amplop Tali, Tinta Brother, Wireless Mouse, Lakban, Sidu, Clipboard) </t>
  </si>
  <si>
    <t xml:space="preserve">Pengiriman Document </t>
  </si>
  <si>
    <t xml:space="preserve">Makan </t>
  </si>
  <si>
    <t xml:space="preserve">Laundry </t>
  </si>
  <si>
    <t xml:space="preserve">UMK a.n Mandor Rohim (Uang Makan @21 Hari x 70.000 x 8 orang) </t>
  </si>
  <si>
    <t>Transport Perbaikan/Perapihan Jalan Cutting Beton &amp; Mobdemob)</t>
  </si>
  <si>
    <t xml:space="preserve">Material (Aspal Cair) </t>
  </si>
  <si>
    <t>Peralatan (IZUMI 9 L Kompressor Angin Silent 3/4H</t>
  </si>
  <si>
    <t xml:space="preserve">Makan Bareng ITDC - INU Acara Idul Adha </t>
  </si>
  <si>
    <t>Sumbangan Untuk Penanaman Hutan Mangrove</t>
  </si>
  <si>
    <t>Transport Pembongkaran Pipa MGRT</t>
  </si>
  <si>
    <t xml:space="preserve">Pulsa a.n M. Nur Slamet </t>
  </si>
  <si>
    <t xml:space="preserve">Material Pembuatan Box Valve </t>
  </si>
  <si>
    <t xml:space="preserve">Biaya Koordinasi Pencalang Pekerjaan Di Jalan Umum </t>
  </si>
  <si>
    <t xml:space="preserve">Pembelian Sesajen Acara INU Untuk Pekerjaan Crossing Jalan mercure </t>
  </si>
  <si>
    <t>Biaya Koordinasi Pekerjaan Tapping Ke-8 Hotel</t>
  </si>
  <si>
    <t>EX UMK a.n M. Nur Slamet</t>
  </si>
  <si>
    <t>Biaya Kesehatan a.n Kusnama (Operator), Nur Slamet</t>
  </si>
  <si>
    <t>Material (Wrapping Tape Polyten, Watermur Galvaniz 2" &amp; U Bolt Galvaniz) Nur Slamet</t>
  </si>
  <si>
    <t>Pembayaran Keamanan Gudang atau Lagoon Periode Juli 2024, Nur Slamet</t>
  </si>
  <si>
    <t>Transport Pneumatic Test MGRT @ 21, Nur Slamet</t>
  </si>
  <si>
    <t>Material (Paving Blok &amp; Beton Jalan) Perbaikan Hotel ST Regis &amp; Novotel, Nur Slamet</t>
  </si>
  <si>
    <t>Laundry, Nur Slamet</t>
  </si>
  <si>
    <t>Transport Travel, Nur Slamet</t>
  </si>
  <si>
    <t>Makan Bareng dengan ITDC &amp; NES, Nur Slamet</t>
  </si>
  <si>
    <t>Transport BBM Kendaraan Motor, Nur Slamet</t>
  </si>
  <si>
    <t>Material (Pasir Halus, Imasco, Cetok 7" Lancip, Cangkul, Gagang Cangkul, Kawat Las, Mur, Ring, Lem Besi, Ring Flange, Obeng, Cat Pilox, Kuas, Serat Fiber, Aqua Proof, Siku Tulis, Besi Siku, Pipa 4", Baut, Mur, Tangga Al 1,75, Semen, Rajawali, Gergaji, Kikir, Selang, Parang, Benang, Paku, Kawat, Tang, Terpal, Sok Gl, Double Nepel, Verlop Sok Gl, Double Nepel Gl, Verlop Sok) Nur Slamet</t>
  </si>
  <si>
    <t>Transport BBM Kendaraan Mobil, Nur Slamet</t>
  </si>
  <si>
    <t>Perbaikan Strum AKI &amp; Air Coolant, Nur Slamet</t>
  </si>
  <si>
    <t>JNE, Nur Slamet</t>
  </si>
  <si>
    <t>Obat-obatan, Nur Slamet</t>
  </si>
  <si>
    <t>Pembayaran Pasang Ban Motor Tosa, Nur Slamet</t>
  </si>
  <si>
    <t>Pengiriman Besi PT Baraka Sarana Tama, Nur Slamet</t>
  </si>
  <si>
    <t>ATK (Snowman, Catridge Original) Nur Slamet</t>
  </si>
  <si>
    <t>Transport Loading Pipa PE 63 &amp; PE 32, Nur Slamet</t>
  </si>
  <si>
    <t>Transport BBM (Genset) Nur Slamet</t>
  </si>
  <si>
    <t>Material (Reducer Las Besi, Pipa Nepel Besi, Clean Out Inc) Nur Slamet</t>
  </si>
  <si>
    <t>Perawatan Kendaraan Roda Tiga Viar (Ban Luar &amp; Ganti Ban Dalam Swallow) Nur Slamet</t>
  </si>
  <si>
    <t>Makan (Isi Ulang Aqua Galon) Nur Slamet</t>
  </si>
  <si>
    <t>Makan Lembur &amp; Koordinasi Pekerjaan Tapping Hotel @ 6 Hotel, Nur Slamet</t>
  </si>
  <si>
    <t>Transport Ongkos Pulang Operator @ 3 Org, Nur Slamet</t>
  </si>
  <si>
    <t>Transport Welder Standby Selama 10 Hari x 5 Org, Nur Slamet</t>
  </si>
  <si>
    <t>Makan Lembur Tapping Hotel Novotel @ 4 Hari x 500.000, Nur Slamet</t>
  </si>
  <si>
    <t>Transport Koordinasi Dengan Engineering Hotel Novatel, Nur Slamet</t>
  </si>
  <si>
    <t>Sewa Gudang Lagoon @ Periode Juli 2024, Nur Slamet</t>
  </si>
  <si>
    <t>Sewa Mess Staff @ Periode Agustus 2024, Nur Slamet</t>
  </si>
  <si>
    <t>Transport Taxi Bandara Bimtex Bejana Tekan, Nur Slamet</t>
  </si>
  <si>
    <t>Pembuatan Box Valve, Nur Slamet</t>
  </si>
  <si>
    <t>Perapihan Jalur Pengaspalan &amp; Pemasangan Conblok Hotel Novotel, Nur Slamet</t>
  </si>
  <si>
    <t>Transport Antar Pick Up dari Denpasar ke Gudang, Nur Slamet</t>
  </si>
  <si>
    <t>Transport Grab Kepulangan Operator, Nur Slamet</t>
  </si>
  <si>
    <t>Perbaikan Honda Vario (Ban Tubbles Belakang Honda, Aki Yuassa) Nur Slamet</t>
  </si>
  <si>
    <t>Sewa Lagoon @ Periode Agustus 2024, Nur Slamet</t>
  </si>
  <si>
    <t>Makan Pekerjaan Galian &amp; Pemasangan Pipa, Nur Slamet</t>
  </si>
  <si>
    <t>Material (Pipa Casing 1 1/4 Hitam) Nur Slamet</t>
  </si>
  <si>
    <t>Sewa Kendaraan Vario DK 3382 FAD @ Periode 3 Juli sd 3 Agustus 2024, Nur Slamet</t>
  </si>
  <si>
    <t>Makan dengan Tim ITDC, Nur Slamet</t>
  </si>
  <si>
    <t>Transport BBM, Nur Slamet</t>
  </si>
  <si>
    <t>Makan dengan NES, Nur Slamet</t>
  </si>
  <si>
    <t>ATK (Amplop, Kwitansi, Lem Stick) Nur Slamet</t>
  </si>
  <si>
    <t>JNE (Dokumen) Nur Slamet</t>
  </si>
  <si>
    <t>Material (Semen, Kawat Bendrat, Paku 7, B.P 6 Full) Nur Slamet</t>
  </si>
  <si>
    <t>Material Box Valve &amp; Instalasi Pipa (Cutter, Gunting, Threeband, Ember, D Nepel) Nur Slamet</t>
  </si>
  <si>
    <t>Transport Tiket Pesawat a.n Nur Slamet, Nur Slamet</t>
  </si>
  <si>
    <t>Makan ITDC &amp; NES, Nur Slamet</t>
  </si>
  <si>
    <t>Material Box Valve, Pompa Lagoon (Cat, Lem Pipa, Drat 16mm, Mur 16mm, Kuas Cat, Paku 5, Cat Avian, Plastik Rapping, Paking Karet, Elbow) Nur Slamet</t>
  </si>
  <si>
    <t>Obat-obatan (Clinovir, Panadol, Alphacare Vit 03) Nur Slamet</t>
  </si>
  <si>
    <t>Makan Nur Slamet</t>
  </si>
  <si>
    <t>Sewa Mobil Pickup Periode Juli sd Agustus 2024</t>
  </si>
  <si>
    <t>Material (Y Strainer 2" Stainless SS 316 Drat, Watermur Drat 1 1/2", Verlop Besi Black Steel) Nur Slamet</t>
  </si>
  <si>
    <t>Material (T 11/4, T 11/2, Redus 2x11/4, Redus 2x11/2, Paku 5, Paku 7, Lem Hebel, Pasir Halus, Dynamik, Paku, Tali, Long Drat, Mur) Nur Slamet</t>
  </si>
  <si>
    <t>Pembayaran PAM Mess Karyawan, Nur Slamet</t>
  </si>
  <si>
    <t>Material (Ball Valve 2" Sankyo, Sanflex, Pantong, Service Drat) Nur Slamet</t>
  </si>
  <si>
    <t>Material (Rumput Perbaikan Taman Hotel Novotel) Nur Slamet</t>
  </si>
  <si>
    <t>Makan Lembur, Nur Slamet</t>
  </si>
  <si>
    <t>Material (Elbow SCH 40, Avian, Kuas, Semen, Mata Gerinda) Nur Slamet</t>
  </si>
  <si>
    <t>Makan Pekerja Malam @ 400.000 x 15 Hari (Pekerjaan Pasang Spool Pipa Gas) Nur Slamet</t>
  </si>
  <si>
    <t>Makan Lembur Perapihan Lubang Galian Pipa, Nur Slamet</t>
  </si>
  <si>
    <t>Makan (Air Galon) Nur Slamet</t>
  </si>
  <si>
    <t>Makan Nur Slamet, Rahmatullah, Wasman, Tarkoim, Rohimin</t>
  </si>
  <si>
    <t>Makan Meeting dengan NES &amp; ITDC, Nur Slamet</t>
  </si>
  <si>
    <t>Biaya Koordinasi Security Bali Colection Kerja Malam, (Pekerjaan Pasang Spool Pipa) Nur Slamet</t>
  </si>
  <si>
    <t>Transport Pakir, Nur Slamet</t>
  </si>
  <si>
    <t>Transport Toll, Nur Slamet</t>
  </si>
  <si>
    <t>Transport Tiket Kapal a.n Didin, Faisal, Andi, Taro &amp; Yusuf (Nur Slamet)</t>
  </si>
  <si>
    <t>Perawatan Motor Vario DK 3382 FAD (Ganti Oli, Isi Nitrogen, Ganti Ban Motor) Nur Slamet</t>
  </si>
  <si>
    <t>Material (Pasang Panel dan Perbaikan Pondasi MRS) Nur Slamet</t>
  </si>
  <si>
    <t>Material Cat Putih Aries SW, Nur Slamet</t>
  </si>
  <si>
    <t>Perapihan Galian (Pasir Pasang, Koral, Gresik, Karung) Nur Slamet</t>
  </si>
  <si>
    <t>Pengembalian Barang (Unloading Kompressor) Nur Slamet</t>
  </si>
  <si>
    <t>Pulsa Slamet Periode Juli - Sept 2024, Nur Slamet</t>
  </si>
  <si>
    <t>Listrik Periode September 2024, Nur Slamet</t>
  </si>
  <si>
    <t>Sewa Kendaraan Motor Vario DK 3382 FAD Periode September 2024, Nur Slamet</t>
  </si>
  <si>
    <t>ATK (Buku, Spidol, Masking Tape, Lem Stick, Kwitansi, Amplop, HVS) Nur Slamet</t>
  </si>
  <si>
    <t>Obat-obatan (Amoxsan, Becom Zet, Madu TJ, Antangin, Vitacimin, Vicee Orange Tab) Nur Slamet</t>
  </si>
  <si>
    <t>Perlengkapan Mess (Bantal dan Sarung Bantal) Nur Slamet</t>
  </si>
  <si>
    <t>J&amp;T (Dokumen) Nur Slamet</t>
  </si>
  <si>
    <t>Sewa Gudang Periode September 2024, Nur Slamet</t>
  </si>
  <si>
    <t>Transport Pekerja Galian @ 5 Org x 500.000, Nur Slamet</t>
  </si>
  <si>
    <t>Iuran Sampah di Mess Selama 2 Bulan, Nur Slamet</t>
  </si>
  <si>
    <t>Sewa Lahan Buang Puing, Nur Slamet</t>
  </si>
  <si>
    <t>Material Galian (Karung, Meteran, Kawat, Gagang Cangkul, Semen Putih Kiloan, Pasir) Nur Slamet</t>
  </si>
  <si>
    <t>Peralatan (Seal, Senter Kepala, Floor Sign, Kuas, Isi Ulang Aki) Nur Slamet</t>
  </si>
  <si>
    <t>Material (Elbow, U Bolt, Dyna, Dril, Sok Magnet, Water Mur, Cat Semprot, Besi Bekas, Kunci Sok) Nur Slamet</t>
  </si>
  <si>
    <t>Pembelian Cat Dulux Catylac Exterior 25Kg - Blue Danube 90 Bg 56/125 @12 Unit Inv. 044, Cemerlang Bangunan</t>
  </si>
  <si>
    <t>Pembelian Semen Gresik @10 Unit Inv. 044, Cemerlang Bangunan</t>
  </si>
  <si>
    <t>Pembelian Keramik Lantai 50x50 Welco Series @60 Unit Inv. 044, Cemerlang Bangunan</t>
  </si>
  <si>
    <t>Pembelian Baja Ringan Taso @100 Unit Inv. 044, Cemerlang Bangunan</t>
  </si>
  <si>
    <t>Pembelian Gypsum Jayaboard 1200x2400x9mm @20 Unit Inv. 044, Cemerlang Bangunan</t>
  </si>
  <si>
    <t>369a</t>
  </si>
  <si>
    <t xml:space="preserve">Transport BBM </t>
  </si>
  <si>
    <t xml:space="preserve">Transport Toll </t>
  </si>
  <si>
    <t xml:space="preserve">Transport Parkir </t>
  </si>
  <si>
    <t xml:space="preserve">Perawatan (Isi Angin Nitrogen, Cuci Mobil Avanza dan Oli) </t>
  </si>
  <si>
    <t xml:space="preserve">Makan Slameet, Andini, Ujang, dan ITDC </t>
  </si>
  <si>
    <t>Material (Aspal Cair)</t>
  </si>
  <si>
    <t>Material (Teknokote Base A)</t>
  </si>
  <si>
    <t>Obat-Obatan (Canesten CR 5 G)</t>
  </si>
  <si>
    <t>Material (Pasir Pasang, Dynamik, dan Koral)</t>
  </si>
  <si>
    <t>Material (Thinner Sakura)</t>
  </si>
  <si>
    <t xml:space="preserve">Lakban Coklat dan Print A3 Warna </t>
  </si>
  <si>
    <t xml:space="preserve">Material (Thinner Speedy, Wiigloss 0.9 L, Zinc Phosphate, dan Kuas Tika) </t>
  </si>
  <si>
    <t xml:space="preserve">Material (Matabor Beton, Tap F, Klem Omega, Elbow 1 SCH, Semen RJ, Mata Gergaji, dan Reducer) </t>
  </si>
  <si>
    <t xml:space="preserve">Peralatan (Kunci T, Kuas, dan M.Cutting BWS) </t>
  </si>
  <si>
    <t xml:space="preserve">Material (Soda Api) </t>
  </si>
  <si>
    <t>Material (Dyna 10x65 dan U Bolt 1/4x1)</t>
  </si>
  <si>
    <t>Material (Compressor)</t>
  </si>
  <si>
    <t>Material (Avian, Pbest Zinc, Thiner, dan Sok GI 1")</t>
  </si>
  <si>
    <t>Makan Lembur Pekerjaan Galian dan Pipa Malam Hari @ 20 hari x 250.000</t>
  </si>
  <si>
    <t xml:space="preserve">JNT Kirim Dokumen </t>
  </si>
  <si>
    <t xml:space="preserve">Transport PP Bandara Bali - Jakarta </t>
  </si>
  <si>
    <t xml:space="preserve">Pembayaran PDAM </t>
  </si>
  <si>
    <t xml:space="preserve">Transport Kapal Gilimanuk - Ketapang </t>
  </si>
  <si>
    <t>Pembayaran PO 24396 Inv. 013/ATJ/XII/24, Athena Teknik Jakarta</t>
  </si>
  <si>
    <t>Biaya Transfer, Athena Teknik Jakarta</t>
  </si>
  <si>
    <t>Pembelian Listrik Idpel 32141242290 Jargas Bali, Shopee</t>
  </si>
  <si>
    <t>Pembelian Material (Galvanis, Verlop Ring, Sock), Novi Irawan</t>
  </si>
  <si>
    <t>Transport Pekerjaan Instalasi Pipa Gas, Ellen Warlen</t>
  </si>
  <si>
    <t>Biaya Transfer, Ellen Warlen</t>
  </si>
  <si>
    <t>B240035</t>
  </si>
  <si>
    <t>Pembayaran PO 24016 Inv.2/FP USD 1.658,88 @ 15.895 Tormene Industriale Srl</t>
  </si>
  <si>
    <t>B240036</t>
  </si>
  <si>
    <t>Pembayaran DP 30% PO 24013 Inv.2418 USD 1.128 @ 15.895 Zhejiang Flour Valve Co Ltd</t>
  </si>
  <si>
    <t>Biaya Transfer Pembayaran DP 30% PO 24013 Inv.2418,PO 24014 Inv.2417 USD 25 @ 15.895 Zhejiang Flour Valve Co Ltd</t>
  </si>
  <si>
    <t>B240048</t>
  </si>
  <si>
    <t>Pembayaran PO 24028 Inv.ZMT20240201001A USD 1.189 @ 15.865 Zenner Metering Technology (Shanghai) Ltd</t>
  </si>
  <si>
    <t>Biaya Transfer Pembayaran PO 24028 Inv.ZMT20240201001A USD 1.189 @ 15.865 Zenner Metering Technology (Shanghai) Ltd</t>
  </si>
  <si>
    <t>B240079</t>
  </si>
  <si>
    <t>Pembayaran PO 24028 Inv.ZMT20240201001A USD 707,5 @ 15.845 Zenner Metering Technology (Shanghai) Ltd</t>
  </si>
  <si>
    <t>Biaya Transfer Pembayaran PO 24028 Inv.ZMT20240201001A USD 25 @ 15.845 Zenner Metering Technology (Shanghai) Ltd</t>
  </si>
  <si>
    <t>B240086</t>
  </si>
  <si>
    <t>Pembayaran Shipment PO 24057 Inv.JKTIR00723085 PT.Birotika Semesta</t>
  </si>
  <si>
    <t>PPN 11% Pembayaran Shipment PO 24057 Inv.JKTIR00723085 PT.Birotika Semesta</t>
  </si>
  <si>
    <t>PPh 2% Pembayaran Shipment PO 24057 Inv.JKTIR00723085 PT.Birotika Semesta</t>
  </si>
  <si>
    <t>B240088</t>
  </si>
  <si>
    <t>Pembayaran PO 24080 Inv.202403150001 USD 1.444,36 @ 15.830 Zhejiang Dunyun Industrial Co Ltd</t>
  </si>
  <si>
    <t>Biaya Transfer Pembayaran PO 24080 Inv.202403150001 USD 25 @ 15.830 Zhejiang Dunyun Industrial Co Ltd</t>
  </si>
  <si>
    <t>B240093</t>
  </si>
  <si>
    <t>Pembayaran PO 24016 Inv.31 USD 3.870,72 @ 16.050 Tormene Industriale S.R.L</t>
  </si>
  <si>
    <t>Biaya Transfer USD 25 @ 16.050 Tormene Industriale S.R.L</t>
  </si>
  <si>
    <t>B240096</t>
  </si>
  <si>
    <t>Pembayaran Pelunasan 70% PO 24030 Inv.010.005-24.29084622 PT.Bhirawa Metal Mandiri</t>
  </si>
  <si>
    <t>PPN 11% Pembayaran Pelunasan 70% PO 24030 Inv.010.005-24.29084622 PT.Bhirawa Metal Mandiri</t>
  </si>
  <si>
    <t>B240110</t>
  </si>
  <si>
    <t>Pembayaran Pelunasan PO 24013 Inv.2417 USD 3.612 @ 16.085 Zhejiang Flour Valve Co.Ltd</t>
  </si>
  <si>
    <t>B240155</t>
  </si>
  <si>
    <t>Pembayaran DP 25% PO 24110 Inv.010 PT.Anugrah Mustika Bumi</t>
  </si>
  <si>
    <t>Biaya Transfer, PT.Anugrah Mustika Bumi</t>
  </si>
  <si>
    <t>B240163</t>
  </si>
  <si>
    <t>Kurang Bayar PO 24055 Inv.000137 PT.Total Prime Engineering</t>
  </si>
  <si>
    <t>Biaya Transfer, PT.Total Prime Engineering</t>
  </si>
  <si>
    <t>B240180</t>
  </si>
  <si>
    <t>Pembayaran Tagihan Material Ke 5 Jaringan Gas Nusa Dua Bali, Rohim</t>
  </si>
  <si>
    <t>Biaya Transfer Rohim</t>
  </si>
  <si>
    <t>B240191</t>
  </si>
  <si>
    <t>Pembayaran PNBP UTTP Meter Gas Regulator &amp; Plat Orifis, Rizqi Aulia</t>
  </si>
  <si>
    <t>Material (Pen Chart Recoder Red Graphic Control,Pen Chart Recoder Blue Graphic Control), Muhamad Hasanudin, Rizqi Aulia</t>
  </si>
  <si>
    <t>Biaya Transfer Muhamad Hasanudin, Rizqi Aulia</t>
  </si>
  <si>
    <t>Transport Ticket Pesawat a.n M.Nur Slamet, Rizqi Aulia</t>
  </si>
  <si>
    <t>B240218</t>
  </si>
  <si>
    <t>Pembelian Peralatan Utama (Valve 1/2" @ 10,Valve 3/4" @ 1) CV.Indoteknik, Rudi Hartono</t>
  </si>
  <si>
    <t>B240228</t>
  </si>
  <si>
    <t>Pembelian Kertas Barton Arif Sumantri, Rizqi Aulia</t>
  </si>
  <si>
    <t>Biaya Transfer Pembelian Kertas Barton Arif Sumantri, Rizqi Aulia</t>
  </si>
  <si>
    <t>Material (Male Conector 10mm x 1/4,Pipa Tubing 6mm x 1,5m), Ferul Teknik, Rizqi Aulia</t>
  </si>
  <si>
    <t>B240239</t>
  </si>
  <si>
    <t>PPN 11% Pembayaran Sewa Truck Cold Diesel Antar Document &amp; Paket Inv.00578 PT.Berkah Bersama Insani</t>
  </si>
  <si>
    <t>PPh 2% Pembayaran Sewa Truck Cold Diesel Antar Document &amp; Paket Inv.00578 PT.Berkah Bersama Insani</t>
  </si>
  <si>
    <t>B240250</t>
  </si>
  <si>
    <t>Pembayaran Hutang Retensi Tagihan Material Ke 6 Jaringan Gas Nusa Dua Bali, Rohim</t>
  </si>
  <si>
    <t>Biaya Transfer, Rohim</t>
  </si>
  <si>
    <t>B240254</t>
  </si>
  <si>
    <t>Pembayaran PO 24119 Inv.24DCSB137, PT.Cipta Sukses Bersama</t>
  </si>
  <si>
    <t>PPN 11% Pembayaran PO 24119 Inv.24DCSB137, PT.Cipta Sukses Bersama</t>
  </si>
  <si>
    <t>B240256</t>
  </si>
  <si>
    <t>Pembayaran Shipment P1 PO 24029 Inv.0022, PT.Kartika Eka Yudha Maritim</t>
  </si>
  <si>
    <t>PPN 11% Pembayaran Shipment P1 PO 24029 Inv.0022, PT.Kartika Eka Yudha Maritim</t>
  </si>
  <si>
    <t>PPh 2% Pembayaran Shipment P1 PO 24029 Inv.0022, PT.Kartika Eka Yudha Maritim</t>
  </si>
  <si>
    <t>Pembayaran Shipment P2 PO 24029 Inv.0024, PT.Kartika Eka Yudha Maritim</t>
  </si>
  <si>
    <t>PPN 11% Pembayaran Shipment P2 PO 24029 Inv.0024, PT.Kartika Eka Yudha Maritim</t>
  </si>
  <si>
    <t>PPh 2% Pembayaran Shipment P2 PO 24029 Inv.0024, PT.Kartika Eka Yudha Maritim</t>
  </si>
  <si>
    <t>Pembayaran Warehouse Cost PO 24029 Inv.0019, PT.Kartika Eka Yudha Maritim</t>
  </si>
  <si>
    <t>PPN 11% Pembayaran Warejouse Cost PO 24029 Inv.0019, PT.Kartika Eka Yudha Maritim</t>
  </si>
  <si>
    <t>PPh 2% Pembayaran Warejouse Cost PO 24029 Inv.0019, PT.Kartika Eka Yudha Maritim</t>
  </si>
  <si>
    <t>B240282</t>
  </si>
  <si>
    <t>Makan Loading Barang Jargas Bali (Raffi), Eko Waluyo</t>
  </si>
  <si>
    <t>B240283</t>
  </si>
  <si>
    <t>Perbaikan Repair Kendaraan Xenia DK 1382 EN (Mobil Sewaan Jargas Bali), Rizqi Aulia</t>
  </si>
  <si>
    <t>Biaya Transfer Perbaikan Repair Kendaraan Xenia DK 1382 EN (Mobil Sewaan Jargas Bali), Rizqi Aulia</t>
  </si>
  <si>
    <t>Pembayaran Pengiriman Penggantian Kaca PG Inv.JKTIR00745288 PT.Birotika Semesta, Rizqi Aulia</t>
  </si>
  <si>
    <t>PPN 11% Pembayaran Pengiriman Penggantian Kaca PG Inv.JKTIR00745288 PT.Birotika Semesta, Rizqi Aulia</t>
  </si>
  <si>
    <t>PPh 2% Pembayaran Pengiriman Penggantian Kaca PG Inv.JKTIR00745288 PT.Birotika Semesta, Rizqi Aulia</t>
  </si>
  <si>
    <t>B240315</t>
  </si>
  <si>
    <t>Pembayaran PO 24150 Inv.2401228, PT.Georg Fischer Trading Indonesia</t>
  </si>
  <si>
    <t>PPN 11% Pembayaran PO 24150 Inv.2401228, PT.Georg Fischer Trading Indonesia</t>
  </si>
  <si>
    <t>Biaya Transfer, PT.Georg Fischer Trading Indonesia</t>
  </si>
  <si>
    <t>B240320</t>
  </si>
  <si>
    <t>PPN 11% Pembayaran PO 24110, PT.Anugrah Mustika Bumi</t>
  </si>
  <si>
    <t>Pembayaran DP 30% PO 24150 Inv.2401226 PT.Georg Fischer Trading Indonesia, Rizqi Aulia</t>
  </si>
  <si>
    <t>PPN 11% Pembayaran DP 30% PO 24150 Inv.2401226 PT.Georg Fischer Trading Indonesia, Rizqi Aulia</t>
  </si>
  <si>
    <t>Biaya Transfer Pembayaran DP 30% PO 24150 Inv.2401226 PT.Georg Fischer Trading Indonesia, Rizqi Aulia</t>
  </si>
  <si>
    <t>B240347</t>
  </si>
  <si>
    <t>Pembayaran Shipment P1 PO 24028 Inv. 0169, PT. Kartika Eka Yudha Maritim</t>
  </si>
  <si>
    <t>PPN 11% Pembayaran Shipment P1 PO 24028 Inv. 0169, PT. Kartika Eka Yudha Maritim</t>
  </si>
  <si>
    <t>PPh 2% Pembayaran Shipment P1 PO 24028 Inv. 0169, PT. Kartika Eka Yudha Maritim</t>
  </si>
  <si>
    <t>Pembayaran Shipment P2 PO 24028 Inv. 0160, PT. Kartika Eka Yudha Maritim</t>
  </si>
  <si>
    <t>PPN 11% Pembayaran Shipment P2 PO 24028 Inv. 0160, PT. Kartika Eka Yudha Maritim</t>
  </si>
  <si>
    <t>PPh 2% Pembayaran Shipment P2 PO 24028 Inv. 0160, PT. Kartika Eka Yudha Maritim</t>
  </si>
  <si>
    <t>Pembayaran Warehouse Cost PO 24028 Inv. 0151, PT. Kartika Eka Yudha Maritim</t>
  </si>
  <si>
    <t>PPN 11% Pembayaran Warehouse Cost PO 24028 Inv. 0151, PT. Kartika Eka Yudha Maritim</t>
  </si>
  <si>
    <t>PPh 2% Pembayaran Warehouse Cost PO 24028 Inv. 0151, PT. Kartika Eka Yudha Maritim</t>
  </si>
  <si>
    <t>Kurang Bayar Pembayaran Shipment dan Warehouse Cost PO 24028 Inv. 0169, 0160, dan 0151, PT. Kartika Eka Yudha Maritim</t>
  </si>
  <si>
    <t>B240348</t>
  </si>
  <si>
    <t>Pembayaran Cicilan Progres 50% PO 24110 Inv. 010A, PT. Anugrah Mustika Bumi</t>
  </si>
  <si>
    <t>PPN 11% Pembayaran Cicilan Progres 50% PO 24110 Inv. 010A, PT. Anugrah Mustika Bumi</t>
  </si>
  <si>
    <t>Biaya Transfer Pembayaran Cicilan Progres 50% PO 24110 Inv. 010A, PT. Anugrah Mustika Bumi</t>
  </si>
  <si>
    <t>B240352</t>
  </si>
  <si>
    <t>Pembayaran Tagihan Material Ke 7 Jaringan Gas Nusa Dua Bali, Rohim</t>
  </si>
  <si>
    <t>Biaya Transfer Pembayaran Tagihan Material Jargas Bali, Rohim</t>
  </si>
  <si>
    <t>B240353</t>
  </si>
  <si>
    <t>Pembayaran PO 24163 Inv. 372, PT. Putra Gemerlang Abadi</t>
  </si>
  <si>
    <t>PPN 11% Pembayaran PO 24163 Inv. 372, PT. Putra Gemerlang Abadi</t>
  </si>
  <si>
    <t>B240361</t>
  </si>
  <si>
    <t>Material (HD Polo 35x50), Eko Waluyo</t>
  </si>
  <si>
    <t>Makan Meeting (Faishol), Eko Waluyo</t>
  </si>
  <si>
    <t>Makan Lembur (Dani), Eko Waluyo</t>
  </si>
  <si>
    <t>Pembayaran Travel Pengiriman Pipa PE Pasuruan - Denpasar, Rizqi Aulia</t>
  </si>
  <si>
    <t>Transport Ticket Pesawat a.n Nabila Assalamah, Rizqi Aulia</t>
  </si>
  <si>
    <t>Material (Reducer Concentric CS,Slip on Flange Dia 2" Ansi Class 150 SCH 40 CS,Elbow 90 Dia 2" Knee 90 SCH 40 CS,Watermoor Drat Dia 1" Black Steel TSP,Reducer Concentric CS SCH 40 Dia 2x1"), Rizqi Aulia</t>
  </si>
  <si>
    <t>B240382</t>
  </si>
  <si>
    <t>Transport GoCar, Nabila Assalamah</t>
  </si>
  <si>
    <t>Transport Travel, Nabila Assalamah</t>
  </si>
  <si>
    <t>Makan, Nabila Assalamah</t>
  </si>
  <si>
    <t>B240426</t>
  </si>
  <si>
    <t>Pembayaran Cicilan Progress 50% PO 24110 Inv.010A, PT.Anugrah Mustika Bumi</t>
  </si>
  <si>
    <t>Hotel a.n Achmad Rizal Mubarak, Rizqi Aulia</t>
  </si>
  <si>
    <t>Transport Ticket Pesawat a.n Achmad Rizal Mubarak, Rizqi Aulia</t>
  </si>
  <si>
    <t>B240449</t>
  </si>
  <si>
    <t>Pembayaran Shipment P1 PO 24016 &amp; 24026 Inv.0170, PT.Kartika Eka Yudha Maritim</t>
  </si>
  <si>
    <t>PPN 11% Pembayaran Shipment P1 PO 24016 &amp; 24026 Inv.0170, PT.Kartika Eka Yudha Maritim</t>
  </si>
  <si>
    <t>PPh 2% Pembayaran Shipment P1 PO 24016 &amp; 24026 Inv.0170, PT.Kartika Eka Yudha Maritim</t>
  </si>
  <si>
    <t>Pembayaran Shipment P2 PO 24016 &amp; 24026 Inv.0161, PT.Kartika Eka Yudha Maritim</t>
  </si>
  <si>
    <t>PPN 11% Pembayaran Shipment P2 PO 24016 &amp; 24026 Inv.0161, PT.Kartika Eka Yudha Maritim</t>
  </si>
  <si>
    <t>PPh 2% Pembayaran Shipment P2 PO 24016 &amp; 24026 Inv.0161, PT.Kartika Eka Yudha Maritim</t>
  </si>
  <si>
    <t>B240454</t>
  </si>
  <si>
    <t>Pembayaran PO 24143 Inv.24FCSB128 PT.Cipta Sukses Bersama</t>
  </si>
  <si>
    <t>PPN 11% Pembayaran PO 24143 Inv.24FCSB128 PT.Cipta Sukses Bersama</t>
  </si>
  <si>
    <t>B240455</t>
  </si>
  <si>
    <t>Pembayaran PO 24182 Inv.SCGPPS-0701 USD 980 @ 16.296 SCG Grid Co Ltd</t>
  </si>
  <si>
    <t>Biaya Transfer USD 25 @ 16.296 SCG Grid Co Ltd</t>
  </si>
  <si>
    <t>B240459</t>
  </si>
  <si>
    <t>Pembelian Compressor 175 Cfm, Ade Ketut Irawan</t>
  </si>
  <si>
    <t>Biaya Transfer, Ade Ketut Irawan</t>
  </si>
  <si>
    <t>B240485</t>
  </si>
  <si>
    <t>Pembayaran Shipment PO 24013 &amp; PO 24014 Inv.0221 PT.Kartika Eka Yudha Maritim</t>
  </si>
  <si>
    <t>PPN 11% Pembayaran Shipment PO 24013 &amp; PO 24014 Inv.0221 PT.Kartika Eka Yudha Maritim</t>
  </si>
  <si>
    <t>PPh 2% Pembayaran Shipment PO 24013 &amp; PO 24014 Inv.0221 PT.Kartika Eka Yudha Maritim</t>
  </si>
  <si>
    <t>Pembayaran Shipment PO 24013 &amp; PO 24014 Inv.0212 PT.Kartika Eka Yudha Maritim</t>
  </si>
  <si>
    <t>PPN 11% Pembayaran Shipment PO 24013 &amp; PO 24014 Inv.0212 PT.Kartika Eka Yudha Maritim</t>
  </si>
  <si>
    <t>PPh 2% Pembayaran Shipment PO 24013 &amp; PO 24014 Inv.0212 PT.Kartika Eka Yudha Maritim</t>
  </si>
  <si>
    <t>B240516</t>
  </si>
  <si>
    <t>Pembayaran Pengiriman Barang Inv.BBI-2024-00612R, PT.Berkah Bersama Insani</t>
  </si>
  <si>
    <t>B240517</t>
  </si>
  <si>
    <t>Pembayaran Shipment P1 PO 24080 &amp; PO 24094 Inv.0220, PT.Kartika Eka Yudha Maritim</t>
  </si>
  <si>
    <t>PPN 11% Pembayaran Shipment P1 PO 24080 &amp; PO 24094 Inv.0220, PT.Kartika Eka Yudha Maritim</t>
  </si>
  <si>
    <t>PPh 2% Pembayaran Shipment P1 PO 24080 &amp; PO 24094 Inv.0220, PT.Kartika Eka Yudha Maritim</t>
  </si>
  <si>
    <t>Pembayaran Shipment P2 PO 24080 &amp; PO 24094 Inv.0211, PT.Kartika Eka Yudha Maritim</t>
  </si>
  <si>
    <t>PPN 11% Pembayaran Shipment P2 PO 24080 &amp; PO 24094 Inv.0211, PT.Kartika Eka Yudha Maritim</t>
  </si>
  <si>
    <t>PPh 2% Pembayaran Shipment P2 PO 24080 &amp; PO 24094 Inv.0211, PT.Kartika Eka Yudha Maritim</t>
  </si>
  <si>
    <t>B240531</t>
  </si>
  <si>
    <t>Material Valve Jimbaran Rezeki Maguan Agus Natanael, Rizqi Aulia</t>
  </si>
  <si>
    <t>B240605</t>
  </si>
  <si>
    <t>Makan, Dio Nesta Herdiansyah</t>
  </si>
  <si>
    <t>Transport GoCar, Dio Nesta Herdiansyah</t>
  </si>
  <si>
    <t>B240752</t>
  </si>
  <si>
    <t>Pembayaran Pelunasan PO 24314 Inv. IV-KH/2024/00128, PT. Kita Hokki</t>
  </si>
  <si>
    <t>PPN 11% Pembayaran Pelunasan PO 24314 Inv. IV-KH/2024/00128, PT. Kita Hokki</t>
  </si>
  <si>
    <t>Biaya Transfer, PT. Kita Hokki</t>
  </si>
  <si>
    <t>B240756</t>
  </si>
  <si>
    <t>Pembayaran Progress Aktual 100% Pekerjaan Tahap 2, Fabrikasi + Instal, Penetrant &amp; Painting Pipe Spool Gas Room MRS G-250, PT. Anugrah Mustika Bumi</t>
  </si>
  <si>
    <t>Biaya Transfer, PT. Anugrah Mustika Bumi</t>
  </si>
  <si>
    <t>BM240004</t>
  </si>
  <si>
    <t>Pembelian Material Flow Profiler 3"#150 SCH 40 @ 2 Ea Saudara Mandiri Bangkit Sutarman</t>
  </si>
  <si>
    <t>BM240033</t>
  </si>
  <si>
    <t>Pembayaran PO 24193 Inv.651, PT.Cipta Sukses Bersama</t>
  </si>
  <si>
    <t>PPN 11% Pembayaran PO 24193 Inv.651, PT.Cipta Sukses Bersama</t>
  </si>
  <si>
    <t>Lebih Bayar PO 24054, PT.Cipta Sukses Bersama</t>
  </si>
  <si>
    <t>BM240034</t>
  </si>
  <si>
    <t>Pembayaran Pengiriman Gas Pressure Regulator Tormene Inv.BBI-2024-00673, PT.Berkah Bersama Insani</t>
  </si>
  <si>
    <t>PPN 11% Pembayaran Pengiriman Gas Pressure Regulator Tormene Inv.BBI-2024-00673, PT.Berkah Bersama Insani</t>
  </si>
  <si>
    <t>PPh 2% Pembayaran Pengiriman Gas Pressure Regulator Tormene Inv.BBI-2024-00673, PT.Berkah Bersama Insani</t>
  </si>
  <si>
    <t>Biaya Transfer, PT.Berkah Bersama Insani</t>
  </si>
  <si>
    <t>BM240036</t>
  </si>
  <si>
    <t>Pembayaran PO 24233 PT.Sinar Utama Grounding</t>
  </si>
  <si>
    <t>PPN 11% Pembayaran PO 24233 PT.Sinar Utama Grounding</t>
  </si>
  <si>
    <t>BS240072</t>
  </si>
  <si>
    <t>Pembayaran PO 24018 Inv.004 PT.Angka Teknik Sepadan</t>
  </si>
  <si>
    <t>PPN 11% Pembayaran PO 24018 Inv.004 PT.Angka Teknik Sepadan</t>
  </si>
  <si>
    <t>Biaya Transfer Pembayaran PO 24018 Inv.004 PT.Angka Teknik Sepadan</t>
  </si>
  <si>
    <t>BS240078</t>
  </si>
  <si>
    <t xml:space="preserve">Biaya Transfer UMK Khairil </t>
  </si>
  <si>
    <t>BS240092</t>
  </si>
  <si>
    <t>Biaya Perbaikan (Pompa Subersible Pompa Celup,  Butfusion Range 250, Butfusion AMD, Voltage), Rizqi Aulia</t>
  </si>
  <si>
    <t>Biaya Transfer Biaya Perbaikan (Pompa Subersible Pompa Celup,  Butfusion Range 250, Butfusion AMD, Voltage), Rizqi Aulia</t>
  </si>
  <si>
    <t>BS240097</t>
  </si>
  <si>
    <t>Pembelian Tiket Pesawat a.n Faishol Aziz, M. Rizky &amp; Novi Irawan, Rizqi Aulia</t>
  </si>
  <si>
    <t>Biaya Sewa Mobil 1 Bulan Anugrah Putra Bali, Rizqi Aulia</t>
  </si>
  <si>
    <t>PPh 2% Biaya Sewa Mobil 1 Bulan Anugrah Putra Bali, Rizqi Aulia</t>
  </si>
  <si>
    <t>Biaya Transfer Biaya Sewa Mobil 1 Bulan Anugrah Putra Bali, Rizqi Aulia</t>
  </si>
  <si>
    <t>BS240116</t>
  </si>
  <si>
    <t>Makan Lembur &amp; Meeting Jargas Bali (Deri) Eko Waluyo</t>
  </si>
  <si>
    <t>BS240123</t>
  </si>
  <si>
    <t>Pembelian Material (Pasir Urug @ 45 m3) Faishol Aziz</t>
  </si>
  <si>
    <t>Pembelian Material (Pasir Pasang @ 60 m3) Faishol Aziz</t>
  </si>
  <si>
    <t>Pembelian Material (Batu Split @ 45 m3) Faishol Aziz</t>
  </si>
  <si>
    <t>Pembelian Material (Pasir Semen @ 90 Zak) Faishol Aziz</t>
  </si>
  <si>
    <t>Pembelian Material (Kayu Kaso 4/6 @ 0,4 m3) Faishol Aziz</t>
  </si>
  <si>
    <t>BS240128</t>
  </si>
  <si>
    <t>Pembayaran DP 30% PO 24020 Inv.056 PT.Alpha Cikupa Makmur</t>
  </si>
  <si>
    <t>PPN 11% Pembayaran DP 30% PO 24020 Inv.056 PT.Alpha Cikupa Makmur</t>
  </si>
  <si>
    <t>Biaya Transfer Pembayaran DP 30% PO 24020 Inv.056 PT.Alpha Cikupa Makmur</t>
  </si>
  <si>
    <t>BS240140</t>
  </si>
  <si>
    <t>Penerimaan dari PT. National Energy Solutions Inv. 010</t>
  </si>
  <si>
    <t>BS240149</t>
  </si>
  <si>
    <t>Pembayaran DP 30% PO 24032 Inv.007 PT.Anugrah Mustika Bumi</t>
  </si>
  <si>
    <t>Biaya Transfer DP 30% PO 24033 Inv.008 &amp; DP 30% PO 24032 Inv.007 PT.Anugrah Mustika Bumi</t>
  </si>
  <si>
    <t>BS240164</t>
  </si>
  <si>
    <t>Pembelian Kertas Barton Chart, Rizqi Aulia</t>
  </si>
  <si>
    <t>Pembelian Runsburg 6" Raket SS 10kg/cm2, Rizqi Aulia</t>
  </si>
  <si>
    <t>Pembelian Warm 4" Raket Blacksteel 6 Bar, Rizqi Aulia</t>
  </si>
  <si>
    <t>Biaya Loading Barang a.n (Adip T), Rizqi Aulia</t>
  </si>
  <si>
    <t>Biaya Pengiriman Barang Glodok-PT.KSM a.n (Adip T), Rizqi Aulia</t>
  </si>
  <si>
    <t>BS240170</t>
  </si>
  <si>
    <t>Makan Loading Barang Jargas Bali (Razak) Eko Waluyo</t>
  </si>
  <si>
    <t>Perawatan Laundry (Jaket &amp; Jas Pak Sutarno) Eko Waluyo</t>
  </si>
  <si>
    <t>BS240178</t>
  </si>
  <si>
    <t>Pembayaran DP 30% PO 24030 Inv.014 PT.Bhirawa Metal Mandiri</t>
  </si>
  <si>
    <t>PPN 11% Pembayaran DP 30% PO 24030 Inv.014 PT.Bhirawa Metal Mandiri</t>
  </si>
  <si>
    <t>BS240180</t>
  </si>
  <si>
    <t>Pembayaran Pelunasan 70% PO 24020 PT.Alpha Cikupa Makmur</t>
  </si>
  <si>
    <t>PPN 11% Pembayaran Pelunasan 70% PO 24020 PT.Alpha Cikupa Makmur</t>
  </si>
  <si>
    <t>Biaya Transfer Pembayaran Pelunasan 70% PO 24020 PT.Alpha Cikupa Makmur</t>
  </si>
  <si>
    <t>BS240201a</t>
  </si>
  <si>
    <t>BS240205</t>
  </si>
  <si>
    <r>
      <rPr>
        <sz val="12"/>
        <rFont val="Arial"/>
        <family val="2"/>
      </rPr>
      <t xml:space="preserve">Pembelian Material Tubing </t>
    </r>
    <r>
      <rPr>
        <sz val="12"/>
        <rFont val="Calibri"/>
        <family val="2"/>
      </rPr>
      <t>ɸ</t>
    </r>
    <r>
      <rPr>
        <sz val="11.75"/>
        <rFont val="Arial"/>
        <family val="2"/>
      </rPr>
      <t xml:space="preserve"> 10mm x 1mm SS316 @ 5 Btg Inv.2587, Rizqi Aulia</t>
    </r>
  </si>
  <si>
    <r>
      <rPr>
        <sz val="12"/>
        <rFont val="Arial"/>
        <family val="2"/>
      </rPr>
      <t xml:space="preserve">Pembelian Material Male Connector </t>
    </r>
    <r>
      <rPr>
        <sz val="12"/>
        <rFont val="Calibri"/>
        <family val="2"/>
      </rPr>
      <t>ɸ</t>
    </r>
    <r>
      <rPr>
        <sz val="11.75"/>
        <rFont val="Arial"/>
        <family val="2"/>
      </rPr>
      <t xml:space="preserve"> 10mm od x 1/2" MNPT SS316 @ 20 Pcs Inv.2587, Rizqi Aulia</t>
    </r>
  </si>
  <si>
    <t>Pembelian Material Male Connector ɸ 12mm od x 1/2" MNPT SS316 @ 2Pcs Inv.2587, Rizqi Aulia</t>
  </si>
  <si>
    <r>
      <rPr>
        <sz val="12"/>
        <rFont val="Arial"/>
        <family val="2"/>
      </rPr>
      <t xml:space="preserve">Pembelian Material Ball Valve </t>
    </r>
    <r>
      <rPr>
        <sz val="12"/>
        <rFont val="Calibri"/>
        <family val="2"/>
      </rPr>
      <t>ɸ</t>
    </r>
    <r>
      <rPr>
        <sz val="12"/>
        <rFont val="Arial"/>
        <family val="2"/>
      </rPr>
      <t xml:space="preserve"> 1/4" MNPT SS316 @ 2Pcs Inv.2587, Rizqi Aulia</t>
    </r>
  </si>
  <si>
    <t>Pembelian Material Male Connector ɸ 10mm od x 1/4" MNPT SS316 @ 8Pcs Inv.2587, Rizqi Aulia</t>
  </si>
  <si>
    <t>BS240206</t>
  </si>
  <si>
    <t>Pembelian Material Heating Element Retino Temperature Control Butfussion @ 1 PC, Rizqi Aulia</t>
  </si>
  <si>
    <t>Biaya transfer</t>
  </si>
  <si>
    <t>BS240210</t>
  </si>
  <si>
    <t>Makan (Amri) Eko Waluyo</t>
  </si>
  <si>
    <t>BS240211</t>
  </si>
  <si>
    <t>Transport Ticket Pesawat a.n Faishol Aziz, Faisho Aziz</t>
  </si>
  <si>
    <t>Transport Mandor Brebes - Bekasi PP, Faishol Aziz</t>
  </si>
  <si>
    <t>Transport Bandara (Faishol Aziz,Rizki &amp; Iwan), Faisho Aziz</t>
  </si>
  <si>
    <t>Peralatan Kantor (Pita Gulung,Buku Kiki,Bolpoint Pilot,ABC AA4,Sepatu Safety,Helmet Proyek,Thinner Syntetic,Nippon Bee,Golok,Bristle Paint,Lexar SDXC Proffesional 64 GB), Faishol Aziz</t>
  </si>
  <si>
    <t>Makan ITDC, Faishol Aziz</t>
  </si>
  <si>
    <t>Hotel Amaris a.n Faishol Aziz, Faishol Aziz</t>
  </si>
  <si>
    <t>Hotel a.n Faishol Aziz, Faishol Aziz</t>
  </si>
  <si>
    <t>Uang Makan 4 Hari (24-27 Januari 2024), Faishol Aziz</t>
  </si>
  <si>
    <t>Pembelian Peralatan Kantor (Sepatu Boot,Rompi Jaring &amp; Helmet Safety Kuning), Faishol Aziz</t>
  </si>
  <si>
    <t>BS240249</t>
  </si>
  <si>
    <t>Material Barton Inv.033 (Fitriya Afayanur), Rizki Aulia</t>
  </si>
  <si>
    <t>Biaya Transfer Material Barton Inv.033 (Fitriya Afayanur), Rizki Aulia</t>
  </si>
  <si>
    <t>Pembayaran Shipment PO 24057 PT.Birotika Semesta, Rizki Aulia</t>
  </si>
  <si>
    <t>Pembayaran Warehouse Cost PO 24057 PT.Birotika Semesta, Rizki Aulia</t>
  </si>
  <si>
    <t>PPN 11% Pembayaran Warehouse Cost PO 24057 PT.Birotika Semesta, Rizki Aulia</t>
  </si>
  <si>
    <t>Transport Ticket Pesawat a.n Daniel Crisman S, Rizki Aulia</t>
  </si>
  <si>
    <t>Transport Ticket Pesawat a.n M.Razak &amp; Faishol Aziz, Rizki Aulia</t>
  </si>
  <si>
    <t>Transport Ticket Bus Ranggawarsita, Rizki Aulia</t>
  </si>
  <si>
    <t>Pembayaran Sewa Mobil xenia Self Driver Anugrah Putra Bali, Rizki Aulia</t>
  </si>
  <si>
    <t>PPh 2% Pembayaran Sewa Mobil xenia Self Driver Anugrah Putra Bali, Rizki Aulia</t>
  </si>
  <si>
    <t>Biaya Transfer, Rizki Aulia</t>
  </si>
  <si>
    <t>BS240269</t>
  </si>
  <si>
    <t>Transport Rumah Ke Bandara PP, Faishol Aziz</t>
  </si>
  <si>
    <t>Makan @ 3 Hari Periode 28 sd 01 Maret 2024, Faishol Aziz</t>
  </si>
  <si>
    <t>Pembelian Tumpeng &amp; Snack Untuk Acara Kick Of Construction, Faishol Aziz</t>
  </si>
  <si>
    <t>BS240275</t>
  </si>
  <si>
    <t>Transport Ticket Pesawat a.n Razak, Rizqi Aulia</t>
  </si>
  <si>
    <t>BS240292</t>
  </si>
  <si>
    <t xml:space="preserve">Pembayaran PO 24054 Inv.5895 PT.Cipta Sukses Bersama </t>
  </si>
  <si>
    <t xml:space="preserve">PPN 11% Pembayaran PO 24054 Inv.5895 PT.Cipta Sukses Bersama </t>
  </si>
  <si>
    <t>BS240297</t>
  </si>
  <si>
    <t>Pembayaran Tagihan Material Ke 1 Jaringan Gas Nusa Dua Bali, Rohim</t>
  </si>
  <si>
    <t>BS240299</t>
  </si>
  <si>
    <t>Pembayaran Pengiriman Barang &amp; Document Ke Site Jargas Bali Inv.BBI-2024-00500 PT.Berkah Bersama Insani</t>
  </si>
  <si>
    <t>PPN 11% Pembayaran Pengiriman Barang &amp; Document Ke Site Jargas Bali Inv.BBI-2024-00500 PT.Berkah Bersama Insani</t>
  </si>
  <si>
    <t>PPh 2% Pembayaran Pengiriman Barang &amp; Document Ke Site Jargas Bali Inv.BBI-2024-00500 PT.Berkah Bersama Insani</t>
  </si>
  <si>
    <t>BS240348</t>
  </si>
  <si>
    <t>Pembayaran Sewa Mobil Grandmax Pick Up DK 8301 BM Self Driver Periode 13/03/2024 sd 13/04/2024 Inv.066 CV.Anugrah Putra Bali</t>
  </si>
  <si>
    <t>PPh 2% Pembayaran Sewa Mobil Grandmax Pick Up DK 8301 BM Self Driver Periode 13/03/2024 sd 13/04/2024 Inv.066 CV.Anugrah Putra Bali</t>
  </si>
  <si>
    <t>BS240360</t>
  </si>
  <si>
    <t>Bea Masuk PO 24028 Direktorat Jenderal Bea &amp; Cukai, Rizqi Aulia</t>
  </si>
  <si>
    <t>PPN Import PO 24028 Direktorat Jenderal Bea &amp; Cukai, Rizqi Aulia</t>
  </si>
  <si>
    <t>PPH Import PO 24028 Direktorat Jenderal Bea &amp; Cukai, Rizqi Aulia</t>
  </si>
  <si>
    <t>BS240362</t>
  </si>
  <si>
    <t>Pembayaran Sewa Mobil Xenia DK 1382 DN (Self Driver),Periode 23/03/2024 sd 23/04/2024 Inv.068 CV.Anugrah Putra Bali, Rizqi Aulia</t>
  </si>
  <si>
    <t>PPh 2% Pembayaran Sewa Mobil Xenia DK 1382 DN (Self Driver),Periode 23/03/2024 sd 23/04/2024 Inv.068 CV.Anugrah Putra Bali, Rizqi Aulia</t>
  </si>
  <si>
    <t>BS240367</t>
  </si>
  <si>
    <t>UMK Khairil (KSM24P006)</t>
  </si>
  <si>
    <t>Biaya Transfer UMK Khairil (KSM24P006)</t>
  </si>
  <si>
    <t>BS240371</t>
  </si>
  <si>
    <t>Pembayaran PO 24056 Inv.02078 PT.Tawindo Teknik</t>
  </si>
  <si>
    <t>PPN 11% Pembayaran PO 24056 Inv.02078 PT.Tawindo Teknik</t>
  </si>
  <si>
    <t>Biaya Transfer PT.Tawindo Teknik</t>
  </si>
  <si>
    <t>BS240375</t>
  </si>
  <si>
    <t>Pembayaran Tagihan Material Ke 2 Jaringan Gas Nusa Dua Bali, Rohim</t>
  </si>
  <si>
    <t>BS240396b</t>
  </si>
  <si>
    <t>BS240398</t>
  </si>
  <si>
    <t>Pembayaran Tagihan Material Ke 3 Term I Jaringan Gas Nusa Dua Bali, Rohim</t>
  </si>
  <si>
    <t>BS240440</t>
  </si>
  <si>
    <t>Pembayaran PO 24053 Inv.00020 PT.Kita Hokki</t>
  </si>
  <si>
    <t>PPN 11% Pembayaran PO 24053 Inv.00020 PT.Kita Hokki</t>
  </si>
  <si>
    <t>BS240444</t>
  </si>
  <si>
    <t>Pembayaran PO 24055 Inv.TPSI22403-000137 PT.Total Prime Engineering</t>
  </si>
  <si>
    <t>PPN 11% Pembayaran PO 24055 Inv.TPSI22403-000137 PT.Total Prime Engineering</t>
  </si>
  <si>
    <t>Biaya Transfer Pembayaran PO 24055 Inv.TPSI22403-000137 PT.Total Prime Engineering</t>
  </si>
  <si>
    <t>Kurang Bayar Pembayaran PO 24055 Inv.TPSI22403-000137 PT.Total Prime Engineering</t>
  </si>
  <si>
    <t>BS240455</t>
  </si>
  <si>
    <t>Pembayaran Sewa Kendaraan Xenia (Self Driver) Nopol DK 1382 EN Periode 23/4/2024 sd 23/5/2024 Inv.086 CV.Anugrah Putra Bali</t>
  </si>
  <si>
    <t>PPh 2% Pembayaran Sewa Kendaraan Xenia (Self Driver) Nopol DK 1382 EN Periode 23/4/2024 sd 23/5/2024 Inv.086 CV.Anugrah Putra Bali</t>
  </si>
  <si>
    <t>BS240456</t>
  </si>
  <si>
    <t>Transport BBM &amp; Toll Rudi Hartono</t>
  </si>
  <si>
    <t>Material (WD 40 Grade Spray) Rudi Hartono</t>
  </si>
  <si>
    <t>Pendaftaran PNBP UTTP G 2.5 MGRT Zenner Rudi Hartono</t>
  </si>
  <si>
    <t>Pendaftaran PNBP Izin Type G4 dan G6 MGRT Zenner Rudi Hartono</t>
  </si>
  <si>
    <t>BS240466</t>
  </si>
  <si>
    <t>Transport Travel Bus Bali Ke Brebes @ 34 Orang, Rizqi Aulia</t>
  </si>
  <si>
    <t>BS240469</t>
  </si>
  <si>
    <t>Pembayaran Tagihan Material Ke 3 Term II Jaringan Gas Nusa Dua Bali, Rohim</t>
  </si>
  <si>
    <t>BS240471</t>
  </si>
  <si>
    <t>Bea Masuk PO 24013 &amp; PO 24014 Direktorat Jenderal Bea &amp; Cukai</t>
  </si>
  <si>
    <t>PPN Import PO 24013 &amp; PO 24014 Direktorat Jenderal Bea &amp; Cukai</t>
  </si>
  <si>
    <t>BS240479</t>
  </si>
  <si>
    <t>Peralatan Kantor (Kompressor 175 Cfm &amp; Mobdemob) Ade Ketut I</t>
  </si>
  <si>
    <t>Biaya Transfer Ade Ketut I</t>
  </si>
  <si>
    <t>BS240498</t>
  </si>
  <si>
    <t>Trasnport Travel a.n Rohim @ 25 Org Brebes-Bali, Rizqi Aulia</t>
  </si>
  <si>
    <t>BS240501</t>
  </si>
  <si>
    <t>BS240513b</t>
  </si>
  <si>
    <t>PPh 2,65% Penerimaan dari PT. National Energy Solutions Inv. 010</t>
  </si>
  <si>
    <t>BS240522</t>
  </si>
  <si>
    <t>Pembayaran Gaji Mei 2024 (Bali)</t>
  </si>
  <si>
    <t>Material Kompressor, Rizqi Aulia</t>
  </si>
  <si>
    <t>Biaya Transfer Kompressor, Rizqi Aulia</t>
  </si>
  <si>
    <t>BS240582</t>
  </si>
  <si>
    <t>Pembayaran PO 24119 Inv.24DCSB137 PT.Cipta Sukses Bersama</t>
  </si>
  <si>
    <t>PPN 11% Pembayaran PO 24119 Inv.24DCSB137 PT.Cipta Sukses Bersama</t>
  </si>
  <si>
    <t>Pembayaran PO 24054 Inv.24DCSB036 PT.Cipta Sukses Bersama</t>
  </si>
  <si>
    <t>PPN 11% Pembayaran PO 24054 Inv.24DCSB036 PT.Cipta Sukses Bersama</t>
  </si>
  <si>
    <t>Biaya Transfer PT.Cipta Sukses Bersama</t>
  </si>
  <si>
    <t>Pembayaran PO 24193 PT.Cipta Sukses Bersama</t>
  </si>
  <si>
    <t>BS240586</t>
  </si>
  <si>
    <t>Pembayaran Cicilan PO 24110 Inv.010A PT.Anugrah Mustika Bumi</t>
  </si>
  <si>
    <t>Biaya Transfer PT.Anugrah Mustika Bumi</t>
  </si>
  <si>
    <t>BS240597</t>
  </si>
  <si>
    <t>Penerimaan dari PT. National Energy Solutions Inv. 002/Proforma</t>
  </si>
  <si>
    <t>PPh 2,6% Penerimaan dari PT. National Energy Solutions Inv. 002/Proforma</t>
  </si>
  <si>
    <t>BS240608</t>
  </si>
  <si>
    <t>Pembayaran Pelunasan PO 24119 Inv.24CFSB070 PT.Cipta Sukses Bersama</t>
  </si>
  <si>
    <t>PPN 11% Pembayaran Pelunasan PO 24119 Inv.24CFSB070 PT.Cipta Sukses Bersama</t>
  </si>
  <si>
    <t>BS240609</t>
  </si>
  <si>
    <t>Pembelian Printer Brother DCP T720W (Reza) Inv.2475370344 PT.Mitra Satu Solusindo</t>
  </si>
  <si>
    <t>PPN 11% Pembelian Printer Brother DCP T720W (Reza) Inv.2475370344 PT.Mitra Satu Solusindo</t>
  </si>
  <si>
    <t>BS240615</t>
  </si>
  <si>
    <t>Tagihan Material Jargas Bali Mandor Rohim Periode Ke 5 , M.Nur Slamet</t>
  </si>
  <si>
    <t>BS240627</t>
  </si>
  <si>
    <t>Pembayaran Gaji Jargas Bali Periode Juli 2024 PT.Kian Santang Muliatama Tbk</t>
  </si>
  <si>
    <t>BS240648</t>
  </si>
  <si>
    <t>Pembayaran Pembelian Conpressor 175 CFM PT.Karya Perkasa Abadi, Ade Ketut I</t>
  </si>
  <si>
    <t>Biaya Transfer, Ade Ketut I</t>
  </si>
  <si>
    <t>Material (Spiral Wound Gasket Klinger Hoop : SS316L,Filler : Graphite Inner Outer Ring : SS316L, Size : 3" #150), Rizqi Aulia</t>
  </si>
  <si>
    <t>Material (Stud Bolt + 2 Mur 16 x 90 Baja), Rizqi Aulia</t>
  </si>
  <si>
    <t>BS240718</t>
  </si>
  <si>
    <t>Sewa Mobil Pick Up @ 1 Bulan, Rizqi Aulia</t>
  </si>
  <si>
    <t>PPh 2% Sewa Mobil Pick Up @ 1 Bulan, Rizqi Aulia</t>
  </si>
  <si>
    <t>BS240757</t>
  </si>
  <si>
    <t>Pembayaran Progress 70% PO 24110 Inv. 010B, PT. Anugrah Mustika Bumi</t>
  </si>
  <si>
    <t>PPN 11% Pembayaran Progress 70% PO 24110 Inv. 010B, PT. Anugrah Mustika Bumi</t>
  </si>
  <si>
    <t>Biaya Transfer Pembayaran Progress 70% PO 24110 Inv. 010B, PT. Anugrah Mustika Bumi</t>
  </si>
  <si>
    <t>BS240789a</t>
  </si>
  <si>
    <t>EX UMK Rohim</t>
  </si>
  <si>
    <t>Material (Semen, Pasir Pasang, Batu Split, Pasir Urug, Kayu Kelas II, Besi Tulangan)</t>
  </si>
  <si>
    <t>Pembayaran Retensi Regasifikasi dan Jaringan Distribusi Pipa Gas Alam ITDC</t>
  </si>
  <si>
    <t>BS240790d</t>
  </si>
  <si>
    <t>Penerimaan dari PT. National Energy Solutions Inv. 143/2024</t>
  </si>
  <si>
    <t>BS240807</t>
  </si>
  <si>
    <t>Sewa Kos 1 Bulan di Bali, Sukarta I Made (Rizqi Aulia)</t>
  </si>
  <si>
    <t>PPh 10% Sewa Kos 1 Bulan di Bali, Sukarta I Made (Rizqi Aulia)</t>
  </si>
  <si>
    <t>Pembelian Pipa, CV. Bali Makmur Abadi (Rizqi Aulia)</t>
  </si>
  <si>
    <t>BS240836</t>
  </si>
  <si>
    <t>Pembayaran PO 24268 Inv. 1113 PT. Pipe Indonesia Utama</t>
  </si>
  <si>
    <t>PPN 11% Pembayaran PO 24268 Inv. 1113 PT. Pipe Indonesia Utama</t>
  </si>
  <si>
    <t>BS240876b</t>
  </si>
  <si>
    <t>Penerimaan daari PT. National Energy Solutions Inv. 143/2024</t>
  </si>
  <si>
    <t>BS240891</t>
  </si>
  <si>
    <t>Material (Swing Check Valve Stainless Steel), Rizqi Aulia</t>
  </si>
  <si>
    <t>Material (Elbow, Ball Valve, Reduce, V-Ring), Rizqi Aulia</t>
  </si>
  <si>
    <t>Material (Pipa), Rizqi Aulia</t>
  </si>
  <si>
    <t>Material (Y Strainer Stainless Drat), Rizqi Aulia</t>
  </si>
  <si>
    <t>Sewa Kendaraan Motor 1 Bulan, Rizqi Aulia</t>
  </si>
  <si>
    <t>PPh 2% Sewa Kendaraan Motor 1 Bulan, Rizqi Aulia</t>
  </si>
  <si>
    <t>Sewa 1 Unit Mobil dan 1 Unit Motor, Rizqi Aulia</t>
  </si>
  <si>
    <t>PPh 2% Sewa 1 Unit Mobil dan 1 Unit Motor, Rizqi Aulia</t>
  </si>
  <si>
    <t>BS240906</t>
  </si>
  <si>
    <t>Pembayaran PO 24284 Inv. 004, PT. Momentous Instrumindo</t>
  </si>
  <si>
    <t>PPN 11% Pembayaran PO 24284 Inv. 004, PT. Momentous Instrumindo</t>
  </si>
  <si>
    <t>BS240915</t>
  </si>
  <si>
    <t>Pembayaran PO 24285 Sewa 1 Unit Mobil Avanza Selama 1 Bulan Periode 20/10/2024 - 19/11/2024 Inv. 0403, PT. Raggam Mitra Indonesia</t>
  </si>
  <si>
    <t>PPh 2% Pembayaran PO 24285 Sewa 1 Unit Mobil Avanza Selama 1 Bulan Periode 20/10/2024 - 19/11/2024 Inv. 0403, PT. Raggam Mitra Indonesia</t>
  </si>
  <si>
    <t>Biaya Transfer, PT. Raggam Mitra Indonesia</t>
  </si>
  <si>
    <t>BS240942</t>
  </si>
  <si>
    <t>Material (Bushing Galu Drat dan Redsock Galu Drat), Rizqi Aulia</t>
  </si>
  <si>
    <t>BS240954</t>
  </si>
  <si>
    <t>Pembayaran Progress Actual 100% Tahap 1, Pekerjaan Additional PO 24110 Inv. 010c, PT. Anugrah Mustika Bumi</t>
  </si>
  <si>
    <t>BS240988</t>
  </si>
  <si>
    <t>Pembayaran Progress 70% PO 24032 Inv. 007A/AMB-INV/IX/2024, PT. Anugrah Mustika Bumi</t>
  </si>
  <si>
    <t>BS241020</t>
  </si>
  <si>
    <t>Material (Pipa Gas 1" Sch 40), Rizqi Aulia</t>
  </si>
  <si>
    <t>Material (Elbow 1 Sch 40 dan Reducer 1 x 1/2 Sch 40), Rizqi Aulia</t>
  </si>
  <si>
    <t>Material (Kran 1/2" &amp; Kran 1"), Rizqi Aulia</t>
  </si>
  <si>
    <t>Pembelian Token Listrik Idpel 551201503348, Rizqi Aulia</t>
  </si>
  <si>
    <t>BS241021</t>
  </si>
  <si>
    <t>Material (Perapihan Tanaman), Adi Pratama Putra</t>
  </si>
  <si>
    <t>Material (Perapihan Jalan Kawasan Hotel Bali Collection), Adi Pratama Putra</t>
  </si>
  <si>
    <t>Biaya Transfer, Adi Pratama Putra</t>
  </si>
  <si>
    <t>BS241051</t>
  </si>
  <si>
    <t>Pembayaran PO 24257 Inv. 024, PT. Cipta Sukses Bersama</t>
  </si>
  <si>
    <t>PPN 11% Pembayaran PO 24257 Inv. 024, PT. Cipta Sukses Bersama</t>
  </si>
  <si>
    <t>BS241062</t>
  </si>
  <si>
    <t>Pembayaran Cicilan Progress 70% PO 24032 Inv. 077A, PT. Anugrah Mustika Bumi</t>
  </si>
  <si>
    <t>Sewa Kendaraan Vario DK 3382 FAD Periode 03/11/24 - 03/12/24, Rizqi Aulia</t>
  </si>
  <si>
    <t>PPh 2% Sewa Kendaraan Vario DK 3382 FAD Periode 03/11/24 - 03/12/24, Rizqi Aulia</t>
  </si>
  <si>
    <t>Sewa Gudang Periode November 2024, Rizqi Aulia</t>
  </si>
  <si>
    <t>PPh 10% Sewa Gudang Periode November 2024, Rizqi Aulia</t>
  </si>
  <si>
    <t>Sewa Kendaraan Pick Up dan Motor Selama 1 Bulan, Rizqi Aulia</t>
  </si>
  <si>
    <t>PPh 2% Sewa Kendaraan Pick Up dan Motor Selama 1 Bulan, Rizqi Aulia</t>
  </si>
  <si>
    <t>BS241095a</t>
  </si>
  <si>
    <t>Transport Pesawat a.n Nur Slamet, Ops Kantor</t>
  </si>
  <si>
    <t>BS241100</t>
  </si>
  <si>
    <t>Pembayaran PO 24060 Rev 1 Inv. 021, PT Karya Instrumindo Simpati</t>
  </si>
  <si>
    <t>PPN 11% Pembayaran PO 24060 Rev 1 Inv. 021, PT Karya Instrumindo Simpati</t>
  </si>
  <si>
    <t>KSM24P006 &amp; KSM24P007</t>
  </si>
  <si>
    <t>Pembayaran PO 24077 Inv. 014, PT Karya Instrumindo Simpati</t>
  </si>
  <si>
    <t>PPN 11% Pembayaran PO 24077 Inv. 014, PT Karya Instrumindo Simpati</t>
  </si>
  <si>
    <t>Biaya Transfer, PT Karya Instrumindo Simpati</t>
  </si>
  <si>
    <t>BS241103</t>
  </si>
  <si>
    <t>Pembayaran Pengiriman Barang ke Bpk. Iwan Kab. Badung Inv. 1078, CV. Sarana Pratama Expressindo</t>
  </si>
  <si>
    <t>PPh 2% Pembayaran Pengiriman Barang ke Bpk. Iwan Kab. Badung Inv. 1078, CV. Sarana Pratama Expressindo</t>
  </si>
  <si>
    <t>Pembayaran Pengiriman Barang ke Bpk. Iwan Kab. Badung Inv. 1079, CV. Sarana Pratama Expressindo</t>
  </si>
  <si>
    <t>PPh 2% Pembayaran Pengiriman Barang ke Bpk. Iwan Kab. Badung Inv. 1079, CV. Sarana Pratama Expressindo</t>
  </si>
  <si>
    <t>BS241104</t>
  </si>
  <si>
    <t>Pembayaran PO 24279 Inv. 041/CSB/X/24, PT. Cipta Sukses Bersama</t>
  </si>
  <si>
    <t>PPN 11% Pembayaran PO 24279 Inv. 041/CSB/X/24, PT. Cipta Sukses Bersama</t>
  </si>
  <si>
    <t>Biaya Transfer, PT. Cipta Sukses Bersama</t>
  </si>
  <si>
    <t>BS241105</t>
  </si>
  <si>
    <t>Pembayaran PO 24274 Inv. TT24/FP/10.549, PT. Tawindo Teknik</t>
  </si>
  <si>
    <t>PPN 11% Pembayaran PO 24274 Inv. TT24/FP/10.549, PT. Tawindo Teknik</t>
  </si>
  <si>
    <t>Biaya Transfer, PT. Tawindo Teknik</t>
  </si>
  <si>
    <t>BS241178</t>
  </si>
  <si>
    <t>Pembayaran DP 30% PO 24314 Inv. IV-KH/2024/00122, PT. Kita Hokki</t>
  </si>
  <si>
    <t>PPN 11% Pembayaran DP 30% PO 24314 Inv. IV-KH/2024/00122, PT. Kita Hokki</t>
  </si>
  <si>
    <t>BS241292</t>
  </si>
  <si>
    <t>Lebih Bayar Pembayaran PO 24032 Inv. 007A/AMB-INV/XI/2024, PT. Anugrah Mustika Bumi</t>
  </si>
  <si>
    <t>BS241464</t>
  </si>
  <si>
    <t>Pembayaran Pengiriman Barang ke Site KSM Denpasar Kab. Badung Inv. 1131, CV. Sarana Pramata Expressindo</t>
  </si>
  <si>
    <t>PPh 2% Pembayaran Pengiriman Barang ke Site KSM Denpasar Kab. Badung Inv. 1131, CV. Sarana Pramata Expressindo</t>
  </si>
  <si>
    <t>Transport Transjakarta, Mardhani Cahyanto</t>
  </si>
  <si>
    <t>BS241515</t>
  </si>
  <si>
    <t>EX UMK Novi Irawan, Novi Irawan</t>
  </si>
  <si>
    <t>Transport Instalasi Pipa @ 8 Orang Periode 23 Okt - 2 Nov 2024, Novi Irawan</t>
  </si>
  <si>
    <t>Transport Koordinasi Bali Collection, Novi Irawan</t>
  </si>
  <si>
    <t>Transport BBM, Novi Irawan</t>
  </si>
  <si>
    <t>Makan Dengan Tim Jargas Bali, Novi Irawan</t>
  </si>
  <si>
    <t>Sewa Kendaraan Periode 03 Des 2023 - 03 Jan 2024, Novi Irawan</t>
  </si>
  <si>
    <t>PPh 2% Sewa Kendaraan Periode 03 Des 2023 - 03 Jan 2024, Novi Irawan</t>
  </si>
  <si>
    <t>Peralatan (Isolasi, Lem Dextone, Kunci Ring, Klem), Novi Irawan</t>
  </si>
  <si>
    <t>Peralatan (Pipa, Reduce, Dop, Sok, Lem, Tali, U Bolt), Novi Irawan</t>
  </si>
  <si>
    <t>Makan Koordinasi Lapangan, Novi Irawan</t>
  </si>
  <si>
    <t>Pembelian Obat, Novi Irawan</t>
  </si>
  <si>
    <t>Iuran Sampah Periode Okt - Nov 2024, Novi Irawan</t>
  </si>
  <si>
    <t>Makan (Air Galon), Novi Irawan</t>
  </si>
  <si>
    <t>Transport Toll, Novi Irawan</t>
  </si>
  <si>
    <t>Peralatan (Pengharum Ruangan), Novi Irawan</t>
  </si>
  <si>
    <t>JNE, Novi Irawan</t>
  </si>
  <si>
    <t>Perawatan (Cuci Kendaraan dan Ganti Oli), Novi Irawan</t>
  </si>
  <si>
    <t>Material (Semen Gresik), Novi Irawan</t>
  </si>
  <si>
    <t>Biaya Transfer, Novi Irawan</t>
  </si>
  <si>
    <t xml:space="preserve">Pembayaran Gaji (Jargas Bali) Periode Agustus 2024 </t>
  </si>
  <si>
    <t>BSI240065</t>
  </si>
  <si>
    <t>Pembayaran Sewa Truck Untuk Angkut MRS Jargas Bali, Rizqi Aulia</t>
  </si>
  <si>
    <t>PPh 2% Pembayaran Sewa Truck Untuk Angkut MRS Jargas Bali, Rizqi Aulia</t>
  </si>
  <si>
    <t>UMK a.n Raffi Achmad (KSM24P006), Rizqi Aulia</t>
  </si>
  <si>
    <t>BSI240091</t>
  </si>
  <si>
    <t>Pembayaran Sewa Mobil Toyota Avanza @ 1 Bulan Inv.0353, PT.Raggam Mitra Indonesia</t>
  </si>
  <si>
    <t>PPh 2% Pembayaran Sewa Mobil Toyota Avanza @ 1 Bulan Inv.0353, PT.Raggam Mitra Indonesia</t>
  </si>
  <si>
    <t>Biaya Transfer, PT.Raggam Mitra Indonesia</t>
  </si>
  <si>
    <t>Sewa Alat Mobil Crane, Rizqi Aulia</t>
  </si>
  <si>
    <t>PPh 2% Sewa Alat Mobil Crane, Rizqi Aulia</t>
  </si>
  <si>
    <t>BSI240118c</t>
  </si>
  <si>
    <t>Pembayaran PO 24232 Inv.881, PT.Cipta Sukses Bersama</t>
  </si>
  <si>
    <t>PPN 11% Pembayaran PO 24232 Inv.881, PT.Cipta Sukses Bersama</t>
  </si>
  <si>
    <t>Biaya Transfer, PT.Cipta Sukses Bersama</t>
  </si>
  <si>
    <t>KK250012b</t>
  </si>
  <si>
    <t>Pembayaran PDAM No. 44070520034406 Jargas Bali, PDAM</t>
  </si>
  <si>
    <t>KK250021</t>
  </si>
  <si>
    <t>Makan (Martabak) Tim Jargas Bali Flushing, Samsul Mualiam</t>
  </si>
  <si>
    <t>Biaya Transfer, Samsul Mualim</t>
  </si>
  <si>
    <t>KK250022</t>
  </si>
  <si>
    <t>Makan Tim Jargas Bali Flushing, Kadek Widi Artayasa</t>
  </si>
  <si>
    <t>Biaya Transfer, Kadek Widi Artayasa</t>
  </si>
  <si>
    <t>KK250023</t>
  </si>
  <si>
    <t>Makan (Air Mineral) Tim Jargas Bali, Kadek Widi Artayasa</t>
  </si>
  <si>
    <t>Sewa Kendaraan Motor Vario DK 3382 FAD Periode 03/01/25 - 03/02/25, Adinda Naufianti</t>
  </si>
  <si>
    <t>PPh 2% Sewa Kendaraan Motor Vario DK 3382 FAD Periode 03/01/25 - 03/02/25, Adinda Naufianti</t>
  </si>
  <si>
    <t>Biaya Transfer Sewa Kendaraan Motor Vario DK 3382 FAD Periode 03/01/25 - 03/02/25, Adinda Naufianti</t>
  </si>
  <si>
    <t>BSK250076</t>
  </si>
  <si>
    <t>Talangan Atas Pembayaran DP 50% PO 25007 Inv. PIM-2501-0033, PT. Karya Instrumindo Simpati</t>
  </si>
  <si>
    <t>PPN 11% Talangan Atas Pembayaran DP 50% PO 25007 Inv. PIM-2501-0033, PT. Karya Instrumindo Simpati</t>
  </si>
  <si>
    <t>Biaya Transfer Talangan Atas Pembayaran DP 50% PO 25007 Inv. PIM-2501-0033, PT. Karya Instrumindo Simpati</t>
  </si>
  <si>
    <t>Biaya Transfer, PT. Karya Instrumindo Simpati</t>
  </si>
  <si>
    <t>Transport Tiket Pesawat a.n Nur Slamet, Adinda Naufianti</t>
  </si>
  <si>
    <t>Transport GoCar a.n Nur Slamet</t>
  </si>
  <si>
    <t>Transport Toll a.n Nur Slamet</t>
  </si>
  <si>
    <t>Transport Parkir a.n Nur Slamet</t>
  </si>
  <si>
    <t>Transport GrabCar a.n Nur Slamet</t>
  </si>
  <si>
    <t>Material (Pipa Galvanis)</t>
  </si>
  <si>
    <t>Biaya Transfer Material (Pipa Galvanis)</t>
  </si>
  <si>
    <t>Hotel a.n Nur Slamet</t>
  </si>
  <si>
    <t>Biaya Transfer Hotel a.n Nur Slamet</t>
  </si>
  <si>
    <t>Biaya Makan Novi Irawan &amp; Tim Jargas Bali</t>
  </si>
  <si>
    <t>Biaya Transfer Makan Novi Irawan &amp; Tim Jargas Bali</t>
  </si>
  <si>
    <t>Biaya Pengiriman Barang Material dari Bali</t>
  </si>
  <si>
    <t>Biaya Transfer Pengiriman Barang Material dari Bali</t>
  </si>
  <si>
    <t>Biaya Transport Bus a.n Novi Irawan, Dede Siswanto dan Yenti</t>
  </si>
  <si>
    <t>Biaya Transfer Biaya Transport Bus a.n Novi Irawan, Dede Siswanto dan Yenti</t>
  </si>
  <si>
    <t>Biaya Transport Gocar Novi Irawan</t>
  </si>
  <si>
    <t>Biaya Transport Goride Nur Slamet</t>
  </si>
  <si>
    <t>BSM250025</t>
  </si>
  <si>
    <t>EX UMK Novi Irawan</t>
  </si>
  <si>
    <t>J&amp;T (Kirim Dokumen)</t>
  </si>
  <si>
    <t>Transport Pekerjaan Galian Crosing Pipa</t>
  </si>
  <si>
    <t xml:space="preserve">Material (Kain Majun, Kapasitor, Sok, Double Neple, Semen, Cat, Thinner, Kuas, Minyak Solar)
</t>
  </si>
  <si>
    <t>ATK (spidol)</t>
  </si>
  <si>
    <t>Perlengkapan (Plastik)</t>
  </si>
  <si>
    <t>BSK250273</t>
  </si>
  <si>
    <t>BSK250307</t>
  </si>
  <si>
    <t>Pembayaran Pengiriman Barang ke Bali Inv. 1193/1/2025, CV. Sarana Pratama Expressindo</t>
  </si>
  <si>
    <t>PPh 2% Pembayaran Pengiriman Barang ke Bali Inv. 1193/1/2025, CV. Sarana Pratama Expressindo</t>
  </si>
  <si>
    <t>BSK250343</t>
  </si>
  <si>
    <t>Pembayaran Pelunasan PO 25007 Inv. PIM-2502-006, PT. Momentous Instrumindo</t>
  </si>
  <si>
    <t>PPN 11% Pembayaran Pelunasan PO 25007 Inv. PIM-2502-006, PT. Momentous Instrumindo</t>
  </si>
  <si>
    <t>Material (Perbaikan Jalan di Merusaka), Adinda Novianti Fadli</t>
  </si>
  <si>
    <t>BSK251038</t>
  </si>
  <si>
    <t>Transport Ticket Pesawat a.n Faishol Aziz,Tirtonoto &amp; Agung Sulistyono, Salisah</t>
  </si>
  <si>
    <t>Hotel a.n Fadjar Tri Ananda, Yuli Irawati</t>
  </si>
  <si>
    <t>Pembayaran Sewa Mobil Inova Reborn DK 1021 ABR @ 2 Hari CV.Anugrah Putra Bali, Yuli Irawati</t>
  </si>
  <si>
    <t>PPh 2% Pembayaran Sewa Mobil Inova Reborn DK 1021 ABR @ 2 Hari CV.Anugrah Putra Bali, Yuli Irawati</t>
  </si>
  <si>
    <t>BSK251082</t>
  </si>
  <si>
    <t>Transport a.n Fadjar Tri Ananda dan Tirtonoto, Yuli Irawati</t>
  </si>
  <si>
    <t>BSK251564</t>
  </si>
  <si>
    <t xml:space="preserve">Makan Lembur Jargas Bali (Faishol, Agung, Fajar, Arfa, Rudi), Eko Waluyo </t>
  </si>
  <si>
    <t>BSM250130</t>
  </si>
  <si>
    <t>Sewa Mobil Slamet, Salisah Hilmiah M</t>
  </si>
  <si>
    <t>PPh 2% Sewa Mobil Slamet, Salisah Hilmiah M</t>
  </si>
  <si>
    <t xml:space="preserve">Biaya Transfer, Salisah Hilmiah M </t>
  </si>
  <si>
    <t xml:space="preserve">Penginapan Slamet, Salisah Hilmiah M </t>
  </si>
  <si>
    <t>Tiket Pesawat Slamet,Faisal &amp; Azyana, Salisah Hilmiah M</t>
  </si>
  <si>
    <t>BSM250130a</t>
  </si>
  <si>
    <t>Transport Bus a.n Dede Siswanto Jargas Bali, Shavira Akmalia Putri</t>
  </si>
  <si>
    <t>BSM250130b</t>
  </si>
  <si>
    <t>Transport ke Bandara a.n Nur Slamet</t>
  </si>
  <si>
    <t>BSM250131</t>
  </si>
  <si>
    <t>UMK a.n Muh Nur Slamet, Moura</t>
  </si>
  <si>
    <t>BSM250132</t>
  </si>
  <si>
    <t xml:space="preserve">Pengiriman Electrofusion Bali, Salisah Hilmiah M </t>
  </si>
  <si>
    <t xml:space="preserve">Buana Pro Logistic Jargas Bali, Salisah Hilmiah M </t>
  </si>
  <si>
    <t xml:space="preserve">Makan ITDC dengan NES, Salisah Hilmiah M  </t>
  </si>
  <si>
    <t xml:space="preserve">Material Jargas Bali (Kuas,Cat,Thinner), Salisah Hilmiah M </t>
  </si>
  <si>
    <t>BSK251587</t>
  </si>
  <si>
    <t xml:space="preserve">Makan Lembur Jargas Bali (Amry, Arfa), Eko Waluyo </t>
  </si>
  <si>
    <t>BSM250134</t>
  </si>
  <si>
    <t xml:space="preserve">Material (Isi Nitrogen), Rizqi Aulia </t>
  </si>
  <si>
    <t xml:space="preserve">Jaminan Tabung Nitrogen @10 Tabung Jargas Bali, PT. Samabayu Mandala, Rizqi Aulia </t>
  </si>
  <si>
    <t xml:space="preserve">Material (Nepel Selang, Selang Hiprex, Maskingtape), Rizqi Aulia </t>
  </si>
  <si>
    <t xml:space="preserve">Gobox Jargas Bali, Rizqi Aulia </t>
  </si>
  <si>
    <t>BSM250135</t>
  </si>
  <si>
    <t xml:space="preserve">Makan dan Minum (Slamet dan PMO), Moura </t>
  </si>
  <si>
    <t xml:space="preserve">Hotel a.n Slamet, Moura </t>
  </si>
  <si>
    <t xml:space="preserve">Sewa Kendaraan a.n Slamet, Moura </t>
  </si>
  <si>
    <t xml:space="preserve">PPh 2% Sewa Kendaraan a.n Slamet, Moura </t>
  </si>
  <si>
    <t>BSM250136</t>
  </si>
  <si>
    <t xml:space="preserve">Pemasangan Patok Gas Jargas Bali, Shavira Akmalia </t>
  </si>
  <si>
    <t xml:space="preserve">PPh 2,5% Pemasangan Patok Gas Jargas Bali, Shavira Akmalia </t>
  </si>
  <si>
    <t xml:space="preserve">Biaya Transfer, Shavira Akmalia </t>
  </si>
  <si>
    <t xml:space="preserve">Material (Seal Tape, Sock dan Tang) Jargas Bali, Shavira Akmalia </t>
  </si>
  <si>
    <t xml:space="preserve">Makan Dengan Tim NES dan ITDC Jargas Bali, Shavira Akmalia </t>
  </si>
  <si>
    <t xml:space="preserve">Material (Kunci Shock) Jargas Bali, Shavira Akmalia </t>
  </si>
  <si>
    <t xml:space="preserve">Material (Sock) Jargas Bali, Shavira Akmalia </t>
  </si>
  <si>
    <t>BSM250137</t>
  </si>
  <si>
    <t xml:space="preserve">Transport Gocar a.n Amry Fajar, Adinda Naufianti </t>
  </si>
  <si>
    <t xml:space="preserve">Makan a.n Slamet Dengan Tim NES, Laras, dan ITDC, Adinda Naufianti </t>
  </si>
  <si>
    <t xml:space="preserve">Penginapan a.n Amry Fajar, Adinda Naufianti </t>
  </si>
  <si>
    <t xml:space="preserve">Pembayaran Sewa Motor a.n Amry Fajar di Bali Selama 1 Bulan, Ni Wayan Sariani, Adinda Naufianti </t>
  </si>
  <si>
    <t xml:space="preserve">PPh 2% Sewa Motor a.n Amry Fajar di Bali Selama 1 Bulan, Ni Wayan Sariani, Adinda Naufianti </t>
  </si>
  <si>
    <t xml:space="preserve">Biaya Transfer, Adinda Naufianti </t>
  </si>
  <si>
    <t xml:space="preserve">Pembayaran Sewa Electrufusion Jargas Bali, Agung Wiyoto, Adinda Naufianti </t>
  </si>
  <si>
    <t xml:space="preserve">PPh 2% Sewa Electrufusion Jargas Bali, Agung Wiyoto, Adinda Naufianti </t>
  </si>
  <si>
    <t xml:space="preserve">Travel Kirim Electrofusion Dari Bali Ke Banyuwangi, Adinda Naufianti </t>
  </si>
  <si>
    <t>BSM250141</t>
  </si>
  <si>
    <t xml:space="preserve">Material Lapangan (Nameplate),  Moura  </t>
  </si>
  <si>
    <t xml:space="preserve">Material Lapangan (Gas N2), Moura </t>
  </si>
  <si>
    <t xml:space="preserve">Transport Pengiriman Barang Via Garuda, Moura  </t>
  </si>
  <si>
    <t xml:space="preserve">Makan dan Minum (Slamet dan PMO), Moura  </t>
  </si>
  <si>
    <t>BSM250143</t>
  </si>
  <si>
    <t>Cargo Kirim Barang Jargas Bali</t>
  </si>
  <si>
    <t>Gobox Material Jargas Bali</t>
  </si>
  <si>
    <t>Pembelian Pipa Galvanis Med @ 100 Unit Inv. 089 (F), Shavira Akmalia Putri</t>
  </si>
  <si>
    <t>Pembelian STZ Industries 1-1/2 in. Galvanized Pipe Tee 311UT-112 @ 100 Unit Inv. 089 (F), Shavira Akmalia Putri</t>
  </si>
  <si>
    <t>Pembelian Galvanized Steel Pipe Nipple 793F @ 10 Unit Inv. 089 (F), Shavira Akmalia Putri</t>
  </si>
  <si>
    <t xml:space="preserve">Pembelian MSA Safety 478191 Calibration Gas Cylinder @5 Unit Inv. 120 (F), CV. Alam Jaya </t>
  </si>
  <si>
    <t>BSK251457</t>
  </si>
  <si>
    <t>Transport Allowance EUR 23.500 @19.000, Rusli Bakri</t>
  </si>
  <si>
    <t>Makan dan Minum EUR 5.200 @19.000, Rusli Bakri</t>
  </si>
  <si>
    <t>Transfer Antar Bank, Rusli Bakri</t>
  </si>
  <si>
    <t>BSK251458</t>
  </si>
  <si>
    <t xml:space="preserve">Transport Pesawat a.n Achmad Bayhaqy Inv. 0079, Mulia Sujar Abadi </t>
  </si>
  <si>
    <t xml:space="preserve">Biaya Transfer, Mulia Sujar Abadi </t>
  </si>
  <si>
    <t>BSK251459</t>
  </si>
  <si>
    <t xml:space="preserve">Hotel a.n Edy Nurhamid Amin dan Achmad Bayhaqy, Mulia Sujar Abadi </t>
  </si>
  <si>
    <t xml:space="preserve">Makan Lembur KSM24P047 (Anjani, Nabila), Eko Waluyo </t>
  </si>
  <si>
    <t>BSM250126b</t>
  </si>
  <si>
    <t>Transport Whoosh a.n Rinto (Ditmet),  Shavira Akmalia</t>
  </si>
  <si>
    <t xml:space="preserve">Transport Bagasi a.n Edy Nurhamid Amin </t>
  </si>
  <si>
    <t>BSM250130c</t>
  </si>
  <si>
    <t xml:space="preserve">EX UMK Fadlan, Fadlan </t>
  </si>
  <si>
    <t xml:space="preserve">Transport Gojek, Fadlan </t>
  </si>
  <si>
    <t>Transport Toll, Fadlan</t>
  </si>
  <si>
    <t>Transport KRL, Fadlan</t>
  </si>
  <si>
    <t xml:space="preserve">Transport BBM, Fadlan </t>
  </si>
  <si>
    <t xml:space="preserve">Transport Parkir, Fadlan </t>
  </si>
  <si>
    <t xml:space="preserve">Sparepart (Cuci Mobil), Fadlan </t>
  </si>
  <si>
    <t xml:space="preserve">Makan Minum, Fadlan </t>
  </si>
  <si>
    <t>BSK251456e</t>
  </si>
  <si>
    <t>EX UMK a.n Ahmad Rizak Mubarok, Ahmad Rizak Mubarok</t>
  </si>
  <si>
    <t>Pembelian PETZL VERTEX VENT Safety Helmet For Profesional Industrial Work and Rescue Inv. 345356KRCPM21 (F), Ahmad Rizak Mubarok</t>
  </si>
  <si>
    <t>KSM24P045</t>
  </si>
  <si>
    <t>Pembayaran PO 24111 Inv.PSI044890 USD 74.363,32 @ 15.440 Canalta Control Ltd</t>
  </si>
  <si>
    <t>Bea Masuk PO 24134, Direktorat Jenderal Bea &amp; Cukai</t>
  </si>
  <si>
    <t>PPN Import PO 24134, Direktorat Jenderal Bea &amp; Cukai</t>
  </si>
  <si>
    <t>PPh Import PO 24134, Direktorat Jenderal Bea &amp; Cukai</t>
  </si>
  <si>
    <t>PPN Import PO 24200, Direktorat Bea &amp; Cukai</t>
  </si>
  <si>
    <t>PPh Import PO 24200, Direktorat Bea &amp; Cukai</t>
  </si>
  <si>
    <t>Pembelian Material (Ball Valve, Double Nipple, Male Conn, Pipa Tubing), Suminar</t>
  </si>
  <si>
    <t>Biaya Transfer, Suminar</t>
  </si>
  <si>
    <t>Pembayaran PO 24422 Inv. 03/SR/XII/24/KSMT, CV. Sumber Rezeki</t>
  </si>
  <si>
    <t>PPN 11% Pembayaran PO 24422 Inv. 03/SR/XII/24/KSMT, CV. Sumber Rezeki</t>
  </si>
  <si>
    <t>PPh 2% Pembayaran PO 24422 Inv. 03/SR/XII/24/KSMT, CV. Sumber Rezeki</t>
  </si>
  <si>
    <t>Biaya Transfer, CV. Sumber Rezeki</t>
  </si>
  <si>
    <t>Pembayaran Riger Crane, Didik Ahmad Tohir</t>
  </si>
  <si>
    <t>Biaya Transfer, Didik Ahmad Tohir</t>
  </si>
  <si>
    <t>Pembayaran PO 24426 Inv. 04/SR/XII/24/KSMT, CV. Sumber Rezeki</t>
  </si>
  <si>
    <t>PPN 11% Pembayaran PO 24426 Inv. 04/SR/XII/24/KSMT, CV. Sumber Rezeki</t>
  </si>
  <si>
    <t>PPh 2% Pembayaran PO 24426 Inv. 04/SR/XII/24/KSMT, CV. Sumber Rezeki</t>
  </si>
  <si>
    <t>Pembelian Gasket (SWB 16" # 300 SS 316 @ 4 Pcs), PD. Sumber Perkasa</t>
  </si>
  <si>
    <t>Biaya Transfer, PD. Sumber Perkasa</t>
  </si>
  <si>
    <t>B240129</t>
  </si>
  <si>
    <t>Transport GoCar PT.KS-PT.PGAS Solutions PP, Fajar Andik C</t>
  </si>
  <si>
    <t>Makan (Agung S,Fajar,Rahman,Tirto,Dani &amp; Tim PGAS), Fajar Andik C</t>
  </si>
  <si>
    <t>B240225</t>
  </si>
  <si>
    <t>Makan Meeting Listrindo (Hadi), Eko Waluyo</t>
  </si>
  <si>
    <t>Makan Lembur CL (Amri), Eko Waluyo</t>
  </si>
  <si>
    <t>B240303</t>
  </si>
  <si>
    <t>Pembayaran DP 30% PO 24136 Inv.P24060859, PT.Control System Arena Para Nusa</t>
  </si>
  <si>
    <t>PPN 11% Pembayaran DP 30% PO 24136 Inv.P24060859, PT.Control System Arena Para Nusa</t>
  </si>
  <si>
    <t>Biaya Transfer, PT.Control System Arena Para Nusa</t>
  </si>
  <si>
    <t>B240314</t>
  </si>
  <si>
    <t>Pembayaran DP 30% PO 24115 Inv.24VIZA-004 USD 20.991,9 @ 16.480, Shozu Viza Valve Co.Ltd</t>
  </si>
  <si>
    <t>Biaya Transfer USD 25 @ 16.480, Shozu Viza Valve Co.Ltd</t>
  </si>
  <si>
    <t>B240439</t>
  </si>
  <si>
    <t>Biaya Transfer, M.Rahman</t>
  </si>
  <si>
    <t>B240462</t>
  </si>
  <si>
    <t>Biaya Transfer, Amry Fajar</t>
  </si>
  <si>
    <t>B240552</t>
  </si>
  <si>
    <t>Pembayaran DP 30% PO 24196 Inv.24-01932 USD 3.652 @ 16.270 Palmer Wahl Instruments Inc</t>
  </si>
  <si>
    <t>Biaya Transfer USD 25 @ 16.270 Palmer Wahl Instruments Inc</t>
  </si>
  <si>
    <t>Makan Meeting Cikarang Listrindo (Faishol &amp; Tirto), Eko Waluyo</t>
  </si>
  <si>
    <t>Transport BBM, Faishol Aziz</t>
  </si>
  <si>
    <t>Transport Toll, Faishol Aziz</t>
  </si>
  <si>
    <t>Transport Parkir, Faishol Aziz</t>
  </si>
  <si>
    <t>Makan (Faishol Aziz Dengan Tim Migas), Faishol Aziz</t>
  </si>
  <si>
    <t>B240622</t>
  </si>
  <si>
    <t>Pembayaran PO 24200 Inv. XLFP2024092901 USD 3.960 @ 15.410 Shenyang Xinlian Petro-Chemical Equipment Co., Ltd</t>
  </si>
  <si>
    <t>Biaya Transfer USD 25 @ 15.410 Shenyang Xinlian Petro-Chemical Equipment Co., Ltd</t>
  </si>
  <si>
    <t>B240645</t>
  </si>
  <si>
    <t>Pembayaran PO 24200 Inv. XLFP2024092902 USD 9.240 @ 16.095, Shenyang Xinlian Petro-Chemical</t>
  </si>
  <si>
    <t>Biaya Transfer USD 25 @ 16.095, Shenyang Xinlian Petro-Chemical</t>
  </si>
  <si>
    <t>B240659</t>
  </si>
  <si>
    <t>Pembayaran Pelunasan 70% PO 24196 Inv. 24-01932 USD 8.521 @ 16.000, Palmer Wahl Instrument Inc</t>
  </si>
  <si>
    <t>Biaya Transfer USD 25 @ 16.000, Palmer Wahl Instrument Inc</t>
  </si>
  <si>
    <t>B240718</t>
  </si>
  <si>
    <t>Pembayaran Tabung Nitrogen @ 21 Ea, CV. Ica Gas</t>
  </si>
  <si>
    <t>Biaya Transfer, CV. Ica Gas</t>
  </si>
  <si>
    <t>B240733</t>
  </si>
  <si>
    <t>Pembayaran PO 24380 Inv. PI/122/XII/2024, PT. Pelita Bintang Berkat</t>
  </si>
  <si>
    <t>PPN 11% Pembayaran PO 24380 Inv. PI/122/XII/2024, PT. Pelita Bintang Berkat</t>
  </si>
  <si>
    <t>B240742</t>
  </si>
  <si>
    <t>Pembayaran PO 24387 Inv. PI/125/XII/2024, PT. Pelita Bintang Berkat</t>
  </si>
  <si>
    <t>PPN 11% Pembayaran PO 24387 Inv. PI/125/XII/2024, PT. Pelita Bintang Berkat</t>
  </si>
  <si>
    <t>B240747</t>
  </si>
  <si>
    <t>Pembayaran Pelunasan PO 24188 Inv. 24.TJP-XI-031, PT. Teknindo Jaya Perkasa</t>
  </si>
  <si>
    <t>PPN 11% Pembayaran Pelunasan PO 24188 Inv. 24.TJP-XI-031, PT. Teknindo Jaya Perkasa</t>
  </si>
  <si>
    <t>Biaya Transfer, PT. Teknindo Jaya Perkasa</t>
  </si>
  <si>
    <t>B240749</t>
  </si>
  <si>
    <t>Pembayaran PO 24385 Inv. INV-SUG/XII/2024, PT. Sinar Utama Grounding</t>
  </si>
  <si>
    <t>PPN 11% Pembayaran PO 24385 Inv. INV-SUG/XII/2024, PT. Sinar Utama Grounding</t>
  </si>
  <si>
    <t>B240755</t>
  </si>
  <si>
    <t>Pembayaran PO 24390 Inv. INV240024, PT. Abba Global Indonesia</t>
  </si>
  <si>
    <t>PPN 11% Pembayaran PO 24390 Inv. INV240024, PT. Abba Global Indonesia</t>
  </si>
  <si>
    <t>Biaya Transfer, PT. Abba Global Indonesia</t>
  </si>
  <si>
    <t>B240764</t>
  </si>
  <si>
    <t>Bea Masuk PO 24196, Direktorat Bea &amp; Cukai</t>
  </si>
  <si>
    <t>PPN Import PO 24196, Direktorat Bea &amp; Cukai</t>
  </si>
  <si>
    <t>PPh Import PO 24196, Direktorat Bea &amp; Cukai</t>
  </si>
  <si>
    <t>B240767</t>
  </si>
  <si>
    <t>Pelunasan PO 24188 Inv. 24.TJP-XI-031, PT. Teknindo Jaya Prakarsa</t>
  </si>
  <si>
    <t>PPN 11% Pelunasan PO 24188 Inv. 24.TJP-XI-031, PT. Teknindo Jaya Prakarsa</t>
  </si>
  <si>
    <t>BS240488b</t>
  </si>
  <si>
    <t>Penerimaan dari PT. Algas Mitra Sejati Inv. 050/2024</t>
  </si>
  <si>
    <t>BS240628</t>
  </si>
  <si>
    <t>BS240644</t>
  </si>
  <si>
    <t>Pembayaran Dp 50% PO 24189 Inv.00184 PT.Christo Teknik Pertama</t>
  </si>
  <si>
    <t>PPN 11% Pembayaran Dp 50% PO 24189 Inv.00184 PT.Christo Teknik Pertama</t>
  </si>
  <si>
    <t>Biaya Transfer PT.Christo Teknik Pertama</t>
  </si>
  <si>
    <t>BS240650</t>
  </si>
  <si>
    <t>Pembayaran Cicilan DP 50% PO 24188 Inv.24-TJP-VII-013 PT.Teknindo Jaya Perkasa</t>
  </si>
  <si>
    <t>PPN 11% Pembayaran Cicilan DP 50% PO 24188 Inv.24-TJP-VII-013 PT.Teknindo Jaya Perkasa</t>
  </si>
  <si>
    <t>Biaya Transfer PT.Teknindo Jaya Perkasa</t>
  </si>
  <si>
    <t>BS240664</t>
  </si>
  <si>
    <t>Pembayaran Cicilan DP 50% PO 24188 Inv.24-TJP-VII-013, PT.Teknindo Jaya Prakarsa</t>
  </si>
  <si>
    <t>Biaya Transfer, PT.Teknindo Jaya Prakarsa</t>
  </si>
  <si>
    <t>BS240678</t>
  </si>
  <si>
    <t>Penerimaan Cicilan dari DP 20% PT. Algas Mitra Sejati Inv. 050/2024</t>
  </si>
  <si>
    <t>Makan Meeting CL (Rahman,Murdiyanto,Tirto), Eko Waluyo</t>
  </si>
  <si>
    <t>BS240696</t>
  </si>
  <si>
    <t>BS240728</t>
  </si>
  <si>
    <t>Pembayaran Cicilan DP 30% PO 24201 Inv.046092024, PT.Armindo Jaya Mandiri</t>
  </si>
  <si>
    <t>Biaya Transfer, PT.Armindo Jaya Mandiri</t>
  </si>
  <si>
    <t>BS240753</t>
  </si>
  <si>
    <t>Pembayaran Cicilan PO 24201 Inv. 046092024, PT. Armindo Jaya Mandiri</t>
  </si>
  <si>
    <t>Biaya Transfer Pembayaran Cicilan PO 24201 Inv. 046092024, PT. Armindo Jaya Mandiri</t>
  </si>
  <si>
    <t>BS240793</t>
  </si>
  <si>
    <t>PPN Import PO 24115, Direktorat Jenderal Bea dan Cukai</t>
  </si>
  <si>
    <t>PPh Import PO 24115, Direktorat Jenderal Bea dan Cukai</t>
  </si>
  <si>
    <t>BS240797</t>
  </si>
  <si>
    <t>Pembayaran DP 30% PO 24201 Inv. 046 PT. Armindo Jaya Mandiri</t>
  </si>
  <si>
    <t>Biaya Transfer, PT Armindo Jaya Pratama</t>
  </si>
  <si>
    <t>BS240813b</t>
  </si>
  <si>
    <t>PPh 2% Penerimaan dari PT. Algas Mitra Sejati Inv. 050/2024</t>
  </si>
  <si>
    <t>Makan Meeting Agung (CL), Eko Waluyo</t>
  </si>
  <si>
    <t>BS240855</t>
  </si>
  <si>
    <t>Pembayaran Pelunasan DP 30% PO 24201 Inv. 046092024 PT. Armindo Jaya Mandiri</t>
  </si>
  <si>
    <t>Transport Toll, Tirtonoto</t>
  </si>
  <si>
    <t>Transport Parkir, Tirtonoto</t>
  </si>
  <si>
    <t>Perawatan Kendaraan (Isi Ban Nitrogen), Tirtonoto</t>
  </si>
  <si>
    <t>BS240892</t>
  </si>
  <si>
    <t>Makan Meeting CL (Amry Fajar), Eko Waluyo</t>
  </si>
  <si>
    <t>BS240907</t>
  </si>
  <si>
    <t>Pembayaran DP 30% PO 24282 Inv. 023, PT. Teknindo Jaya Prakarsa</t>
  </si>
  <si>
    <t>PPN 11% Pembayaran DP 30% PO 24282 Inv. 023, PT. Teknindo Jaya Prakarsa</t>
  </si>
  <si>
    <t>Transport Toll dan Pengiriman Barang ke PT. Armindo Jaya Mandiri, Rizqi Aulia</t>
  </si>
  <si>
    <t>Makan (Pengiriman Barang ke PT. Armindo), Rizqi Aulia</t>
  </si>
  <si>
    <t>Peralatan (Pilox &amp; Kertas Lem), Eko Waluyo</t>
  </si>
  <si>
    <t>BS240964</t>
  </si>
  <si>
    <t>Transport Toll a.n Azyana, Agung Jaya</t>
  </si>
  <si>
    <t>Transport GrabCar a.n Azyana, Agung Jaya</t>
  </si>
  <si>
    <t>Makan a.n Azyana, Agung Jaya</t>
  </si>
  <si>
    <t>Biaya Transfer, Agung Jaya</t>
  </si>
  <si>
    <t>BS240971</t>
  </si>
  <si>
    <t>Bea Masuk PO 24111, Direktorat Jenderal Bea &amp; Cukai</t>
  </si>
  <si>
    <t>PPN Import PO 24111, Direktorat Jenderal Bea &amp; Cukai</t>
  </si>
  <si>
    <t>PPh Import PO 24111, Direktorat Jenderal Bea &amp; Cukai</t>
  </si>
  <si>
    <t>BS240989</t>
  </si>
  <si>
    <t>Pembayaran PO 24280 Inv. 141.INV.MRI.X.24, PT. Mahkota Raja Indonesia</t>
  </si>
  <si>
    <t>PPN 11% Pembayaran PO 24280 Inv. 141.INV.MRI.X.24, PT. Mahkota Raja Indonesia</t>
  </si>
  <si>
    <t>PPh 2% Pembayaran PO 24280 Inv. 141.INV.MRI.X.24, PT. Mahkota Raja Indonesia</t>
  </si>
  <si>
    <t>BS241033</t>
  </si>
  <si>
    <t>BS241050</t>
  </si>
  <si>
    <t>Pembayaran Pelunasan 50% PO 24189 Inv. 00184, PT. Christo Teknik Pertama</t>
  </si>
  <si>
    <t>PPN 11% Pembayaran Pelunasan 50% PO 24189 Inv. 00184, PT. Christo Teknik Pertama</t>
  </si>
  <si>
    <t>Biaya Transfer, PT. Christo Teknik Pertama</t>
  </si>
  <si>
    <t>BS241094a</t>
  </si>
  <si>
    <t>Pembayaran Cicilan PO 24201 Inv. INV-054102024, PT. Armindo Jaya Mandiri</t>
  </si>
  <si>
    <t>Biaya Transfer, PT. Armindo Jaya Mandiri</t>
  </si>
  <si>
    <t>BS241096</t>
  </si>
  <si>
    <t>BS241134</t>
  </si>
  <si>
    <t>Makan dan Minum Adip, Ditmet, dan Pak Galih, Adip Trisnanto</t>
  </si>
  <si>
    <t>BS241143</t>
  </si>
  <si>
    <t>Pembayaran PNBP Pengujian Plat Orifis No. T-1963-11-2024, Kementrian Perdagangan</t>
  </si>
  <si>
    <t>BS241165</t>
  </si>
  <si>
    <t>BS241214</t>
  </si>
  <si>
    <t>Pembayaran Pelunasan PO 24201 Inv. INV-05412024, PT. Armindo Jaya Mandiri</t>
  </si>
  <si>
    <t>PPN 11% Pembayaran Pelunasan PO 24201 Inv. INV-05412024, PT. Armindo Jaya Mandiri</t>
  </si>
  <si>
    <t>BS241215</t>
  </si>
  <si>
    <t>Pembayaran PO 24366 Inv. AST/123/1124, PT. Almeera Silvindo Teknik</t>
  </si>
  <si>
    <t>Biaya Transfer, PT. Almeera Silvindo Teknik</t>
  </si>
  <si>
    <t>Makan Lembur CL (Amry Fajar, Hetti), Eko Waluyo</t>
  </si>
  <si>
    <t>Makan Meeting CL (M. Rahman, Tirto), Eko Waluyo</t>
  </si>
  <si>
    <t>BS241278</t>
  </si>
  <si>
    <t>Pembayaran PO 24355 Inv. 281124-SJ-1, Sami Jaya Instrument</t>
  </si>
  <si>
    <t>BS241305</t>
  </si>
  <si>
    <t>Transport Operator Noise dan Pasang Ball Valve, Agung Sulistyono</t>
  </si>
  <si>
    <t>Makan Agung, Tim Armindo, Tim Pgasol, dan Tim PGN, Agung Sulistyono</t>
  </si>
  <si>
    <t>Transport Parkir, Amry Fajar</t>
  </si>
  <si>
    <t>Perawatan (Cuci Mobil), Amry Fajar</t>
  </si>
  <si>
    <t>Pembayaran PO 24381 Inv. 01/SR/XII/24/KSMT, Rizqi Aulia, Rizqi Aulia</t>
  </si>
  <si>
    <t>PPN Pembayaran PO 24381 Inv. 01/SR/XII/24/KSMT, Rizqi Aulia</t>
  </si>
  <si>
    <t>PPh 2% Pembayaran PO 24381 Inv. 01/SR/XII/24/KSMT, Rizqi Aulia</t>
  </si>
  <si>
    <t>Biaya Transfer Pembayaran PO 24381 Inv. 01/SR/XII/24/KSMT, Rizqi Aulia</t>
  </si>
  <si>
    <t>BS241395</t>
  </si>
  <si>
    <t>Pembayaran PO 24411 Inv. 02/SR/XII/24/KSMT, CV. Sumber Rezeki</t>
  </si>
  <si>
    <t>PPN 11% Pembayaran PO 24411 Inv. 02/SR/XII/24/KSMT, CV. Sumber Rezeki</t>
  </si>
  <si>
    <t>PPh 2% Pembayaran PO 24411 Inv. 02/SR/XII/24/KSMT, CV. Sumber Rezeki</t>
  </si>
  <si>
    <t>BS241398</t>
  </si>
  <si>
    <t>Pembayaran Cicilan PO 24201 Inv. INV-066122024, PT. Armindo Jaya Pratama</t>
  </si>
  <si>
    <t>Biaya Transfer, PT. Armindo Jaya Pratama</t>
  </si>
  <si>
    <t>Pembayaran PO 24393 Inv. INV-121224-SJ-5, Sami Jaya Instrument</t>
  </si>
  <si>
    <t>BS241416</t>
  </si>
  <si>
    <t>Transport Toll, Dio Nesta</t>
  </si>
  <si>
    <t>Transport BBM, Dio Nesta</t>
  </si>
  <si>
    <t>Perawatan Kendaraan (Isi Nitrogen), Dio Nesta</t>
  </si>
  <si>
    <t>Makan Dio, Tim PGN dan Tim Algas, Dio Nesta</t>
  </si>
  <si>
    <t>Pembuatan Surat Keterangan Sehat a.n M. Yasin, Arifuddin, Aspura, Pian Sopian, Agus Priyono dan Rino Supriyanto, Dio Nesta</t>
  </si>
  <si>
    <t>Transport Personil E/I dari Cilegon ke Cikarang @ 4 Orang, Dio Nesta</t>
  </si>
  <si>
    <t>Transport Personil Torsi dari Cilegon ke Cikarang @ 2 Orang, Dio Nesta</t>
  </si>
  <si>
    <t>BS241417</t>
  </si>
  <si>
    <t>Pengiriman Barang, Hadi Triyono</t>
  </si>
  <si>
    <t>Makan Hadi, Ario, Rahman dan Nanang, Hadi Triyono</t>
  </si>
  <si>
    <t>BS241422</t>
  </si>
  <si>
    <t>Pembayaran PO 24402, PT. Jespro Network Rent</t>
  </si>
  <si>
    <t>PPN 11% Pembayaran PO 24402, PT. Jespro Network Rent</t>
  </si>
  <si>
    <t>Biaya Transfer, PT. Jespro Network Rent</t>
  </si>
  <si>
    <t>BS241427</t>
  </si>
  <si>
    <t>Pembayaran Pembelian Obeng 1 Set, Achmad Bayhaqy</t>
  </si>
  <si>
    <t>Biaya Transfer, Achmad Bayhaqy</t>
  </si>
  <si>
    <t>BS241429</t>
  </si>
  <si>
    <t>Pembayaran PO 24388 Inv. PI/128/XII/2024, PT. Pelita Bintang Berkat</t>
  </si>
  <si>
    <t>PPN 11% Pembayaran PO 24388 Inv. PI/128/XII/2024, PT. Pelita Bintang Berkat</t>
  </si>
  <si>
    <t>BS241431</t>
  </si>
  <si>
    <t>Pembayaran PO 24414 Inv. 2415, UD. Ferul Teknik</t>
  </si>
  <si>
    <t>Material (Bushing, Plug dan Sock) Inv. 2419, UD. Ferul Teknik</t>
  </si>
  <si>
    <t>Lebih Bayar Material (Bushing, Plug dan Sock) Inv. 2419, UD. Ferul Teknik</t>
  </si>
  <si>
    <t>Biaya Transport, UD. Ferul Teknik</t>
  </si>
  <si>
    <t>BS241440</t>
  </si>
  <si>
    <t>Pembayaran Pembelian Pipa Galvanis 3 Inch, Yudiansyah</t>
  </si>
  <si>
    <t>Biaya Transfer, Yudiansyah</t>
  </si>
  <si>
    <t>BS241443</t>
  </si>
  <si>
    <t>Makan Adip dan Yudi, Adip Trisnanto</t>
  </si>
  <si>
    <t>Pembayaran PNBP UTTP Transmitter No. T-2059-12-2024, Adip Trisnanto</t>
  </si>
  <si>
    <t>BS241445</t>
  </si>
  <si>
    <t>Material (Female Union 3/4), Adip Trisnanto</t>
  </si>
  <si>
    <t>BS241447</t>
  </si>
  <si>
    <t>Penerimaan Lebih Bayar Material (Bushing, Plug dan Sock) Inv. 2419, UD. Ferul Teknik</t>
  </si>
  <si>
    <t>BS241458</t>
  </si>
  <si>
    <t>Penerimaan dari PT. Algas Mitra Sejati Inv. 207</t>
  </si>
  <si>
    <t>BS241469</t>
  </si>
  <si>
    <t>Pembayaran PO 24417 Inv. 176.INV.MRI.XII.24, PT. Mahkota Raja Indonesia</t>
  </si>
  <si>
    <t>PPN 11% Pembayaran PO 24417 Inv. 176.INV.MRI.XII.24, PT. Mahkota Raja Indonesia</t>
  </si>
  <si>
    <t>PPh 2% Pembayaran PO 24417 Inv. 176.INV.MRI.XII.24, PT. Mahkota Raja Indonesia</t>
  </si>
  <si>
    <t>BS241471</t>
  </si>
  <si>
    <t>Pembayaran PO 24399 Inv. 24/JIS/INV/XII/0131, PT. Heksa Instrumen Sinergi</t>
  </si>
  <si>
    <t>PPN 11% Pembayaran PO 24399 Inv. 24/JIS/INV/XII/0131, PT. Heksa Instrumen Sinergi</t>
  </si>
  <si>
    <t>PPh 2% Pembayaran PO 24399 Inv. 24/JIS/INV/XII/0131, PT. Heksa Instrumen Sinergi</t>
  </si>
  <si>
    <t>BS241485</t>
  </si>
  <si>
    <t>Pembelian Material (Union Connector dan Pipa Tubing), Suminar</t>
  </si>
  <si>
    <t>BS241492</t>
  </si>
  <si>
    <t>Transport GoCar, Agung Sulistyono</t>
  </si>
  <si>
    <t>Makan Agung Sulistyono dan Mardhani, Agung Sulistyono</t>
  </si>
  <si>
    <t>BS241502</t>
  </si>
  <si>
    <t>UMK Adip Trisnanto (KSM24P045), Adip Trisnanto</t>
  </si>
  <si>
    <t>Transport Metrologi Tera Transmitter 6 Unit, Adip Trisnanto</t>
  </si>
  <si>
    <t>BS241511</t>
  </si>
  <si>
    <t>Pembayaran Cicilan PO 24201 Inv. 066122024, PT. Armindo Jaya Mandiri</t>
  </si>
  <si>
    <t>Pembelian Material (Pipe Spool)</t>
  </si>
  <si>
    <t>Biaya Transfer Pembelian Material (Pipe Spool)</t>
  </si>
  <si>
    <t>Lalamove Pick Up Bogor ke Cikarang</t>
  </si>
  <si>
    <t>Biaya Transfer Lalamove Pick Up Bogor ke Cikarang</t>
  </si>
  <si>
    <t>Pembelian (Pasir, Semen, Skrup dan Split Koral)</t>
  </si>
  <si>
    <t>Pembelian (Swagelok 1" # 300)</t>
  </si>
  <si>
    <t>Lalamove ke Heksa Instrumen</t>
  </si>
  <si>
    <t>Lalamove Heksa Instrumen ke Kantor</t>
  </si>
  <si>
    <t>BSI240023</t>
  </si>
  <si>
    <t>Pembayaran Cicilan DP 50% PO 24188 Inv.24-TJP-VII-013 PT.Teknindo Jaya Prakarsa</t>
  </si>
  <si>
    <t>Biaya Transfer PT.Teknindo Jaya Prakarsa</t>
  </si>
  <si>
    <t>BSI240031</t>
  </si>
  <si>
    <t>Pembayaran PO 24135 Inv.0391 PT 3S International</t>
  </si>
  <si>
    <t>PPN 11% Pembayaran PO 24135 Inv.0391 PT 3S International</t>
  </si>
  <si>
    <t>Biaya Transfer PT 3S International</t>
  </si>
  <si>
    <t xml:space="preserve">Pembayaran Gaji (Cikarang Listrindo) Periode Agustus 2024 </t>
  </si>
  <si>
    <t>BSI240047</t>
  </si>
  <si>
    <t>BSI240060</t>
  </si>
  <si>
    <t>BSI240092</t>
  </si>
  <si>
    <t>Pembayaran PPN 11% PO 24201 Inv.046092024, PT.Armindo Jaya Mandiri</t>
  </si>
  <si>
    <t>Makan Meeting CL (Agung Sulistyono), Eko Waluyo</t>
  </si>
  <si>
    <t>ATK (Flashdisk 64 GB Untuk Pak Agung Sulistyono), Eko Waluyo</t>
  </si>
  <si>
    <t xml:space="preserve">KSM24P045 </t>
  </si>
  <si>
    <t xml:space="preserve">Pembayaran Shipment PO 25049 Inv. D000436487, Moura </t>
  </si>
  <si>
    <t xml:space="preserve">04002500108135606 - Birotika Semesta, Moura </t>
  </si>
  <si>
    <t xml:space="preserve">PPh 2% Pembayaran Shipment PO 25049 Inv. D000436487, Moura </t>
  </si>
  <si>
    <t>Pembayaran PIB PO 25049, Moura</t>
  </si>
  <si>
    <t xml:space="preserve">PPN Import PO 25049, Moura </t>
  </si>
  <si>
    <t xml:space="preserve">PPh Import PO 25049, Moura </t>
  </si>
  <si>
    <t>BK250030</t>
  </si>
  <si>
    <t xml:space="preserve">Pembayaran Shipment P1 PO 24111 Inv. P1/2024/11/0341, PT Kartika Eka Yudha Maritim </t>
  </si>
  <si>
    <t xml:space="preserve">PPN 11% Pembayaran Shipment P1 PO 24111 Inv. P1/2024/11/0341, PT Kartika Eka Yudha Maritim </t>
  </si>
  <si>
    <t xml:space="preserve">PPh 2% Pembayaran Shipment P1 PO 24111 Inv. P1/2024/11/0341, PT Kartika Eka Yudha Maritim </t>
  </si>
  <si>
    <t xml:space="preserve">Pembayaran Shipment P2 PO 24111 Inv. P2/2024/11/0282, PT Kartika Eka Yudha Maritim </t>
  </si>
  <si>
    <t>PPN 11% Pembayaran Shipment P2 PO 24111 Inv. P2/2024/11/0282, PT Kartika Eka Yudha Maritim</t>
  </si>
  <si>
    <t xml:space="preserve">PPh 2% Pembayaran Shipment P2 PO 24111 Inv. P2/2024/11/0282, PT Kartika Eka Yudha Maritim </t>
  </si>
  <si>
    <t xml:space="preserve">Pembayaran Warehouse Cost PO 24111 Inv. NR/2024/11/0270,PT Kartika Eka Yudha Maritim </t>
  </si>
  <si>
    <t xml:space="preserve">PPN 11% Pembayaran Warehouse Cost PO 24111 Inv. NR/2024/11/0270, PT Kartika Eka Yudha Maritim </t>
  </si>
  <si>
    <t xml:space="preserve">PPh 2% Pembayaran Warehouse Cost PO 24111 Inv. NR/2024/11/0270, PT Kartika Eka Yudha Maritim </t>
  </si>
  <si>
    <t>BK250035</t>
  </si>
  <si>
    <t>Pembayaran PO 24415 Inv. AL00242119, PT. Air Liquide Indonesia</t>
  </si>
  <si>
    <t>PPN 11% Pembayaran PO 24415 Inv. AL00242119, PT. Air Liquide Indonesia</t>
  </si>
  <si>
    <t>BK250037</t>
  </si>
  <si>
    <t>Pembayaran Term 30% PO 24282 Inv.25.TJP-I-001, PT. Teknindo Jaya Perkarsa</t>
  </si>
  <si>
    <t>PPN 11% Pembayaran Term 30% PO 24282 Inv.25.TJP-I-001, PT. Teknindo Jaya Perkarsa</t>
  </si>
  <si>
    <t>Makan Lembur CL (Leo), Eko</t>
  </si>
  <si>
    <t>BSK250015</t>
  </si>
  <si>
    <t>Pembayaran Shipment P1 PO 24115 Inv. P1/2024/10/0076, PT. Kartika Eka Yudha Maritim</t>
  </si>
  <si>
    <t>PPN 11% Pembayaran Shipment P1 PO 24115 Inv. P1/2024/10/0076, PT. Kartika Eka Yudha Maritim</t>
  </si>
  <si>
    <t>PPh 2% Pembayaran Shipment P1 PO 24115 Inv. P1/2024/10/0076, PT. Kartika Eka Yudha Maritim</t>
  </si>
  <si>
    <t>Pembayaran Shipment P2 PO 24115 Inv. P2/2024/10/0064, PT. Kartika Eka Yudha Maritim</t>
  </si>
  <si>
    <t>PPN 11% Pembayaran Shipment P2 PO 24115 Inv. P2/2024/10/0064, PT. Kartika Eka Yudha Maritim</t>
  </si>
  <si>
    <t>PPh 2% Pembayaran Shipment P2 PO 24115 Inv. P2/2024/10/0064, PT. Kartika Eka Yudha Maritim</t>
  </si>
  <si>
    <t>Pembayaran Warehouse Cost PO 24115 Inv. NR/2024/10/0054, PT. Kartika Eka Yudha Maritim</t>
  </si>
  <si>
    <t>PPN 11% Pembayaran Warehouse Cost PO 24115 Inv. NR/2024/10/0054, PT. Kartika Eka Yudha Maritim</t>
  </si>
  <si>
    <t>PPh 2% Pembayaran Warehouse Cost PO 24115 Inv. NR/2024/10/0054, PT. Kartika Eka Yudha Maritim</t>
  </si>
  <si>
    <t>BSK250019</t>
  </si>
  <si>
    <t>Pembayaran PO 24401, Mohamad Yasin</t>
  </si>
  <si>
    <t>PPh 2,5% Pembayaran PO 24401, Mohamad Yasin</t>
  </si>
  <si>
    <t>Biaya Transfer, Mohamad Yasin</t>
  </si>
  <si>
    <t>BSK250021</t>
  </si>
  <si>
    <t>Transport Uang Harian (Kab. Bekasi, Jawa Barat) 1 Org x 2 Hari @ 430.000 No. T-2077-12-2024, Kementerian Perdagangan</t>
  </si>
  <si>
    <t>Biaya Transfer, Kementerian Perdagangan</t>
  </si>
  <si>
    <t>Pembelian Pipa Galvanis 1" @ 45 btg, Adinda Naufianti</t>
  </si>
  <si>
    <t>Biaya Transfer Pembelian Pipa Galvanis 1" @ 45 btg, Adinda Naufianti</t>
  </si>
  <si>
    <t>Pembelian Torsi, Adinda Naufianti</t>
  </si>
  <si>
    <t>Biaya Transfer Pembelian Torsi, Adinda Naufianti</t>
  </si>
  <si>
    <t>Pembelian Kabel, Adinda Naufianti</t>
  </si>
  <si>
    <t>Biaya Transfer Pembelian Kabel, Adinda Naufianti</t>
  </si>
  <si>
    <t>Pembayaran PO 24430 Inv. 05/SR/XII/24/KSMT, Adinda Naufianti</t>
  </si>
  <si>
    <t>PPN 11% Pembayaran PO 24430 Inv. 05/SR/XII/24/KSMT, Adinda Naufianti</t>
  </si>
  <si>
    <t>PPh 2% Pembayaran PO 24430 Inv. 05/SR/XII/24/KSMT, Adinda Naufianti</t>
  </si>
  <si>
    <t>Biaya Transfer Pembayaran PO 24430 Inv. 05/SR/XII/24/KSMT, Adinda Naufianti</t>
  </si>
  <si>
    <t>Pembelian Gasket 304 300, Adinda Naufianti</t>
  </si>
  <si>
    <t>BSK250043</t>
  </si>
  <si>
    <t>Pembayaran PO 24427 Inv. PI/130/XII/2024, PT. Pelita Bintang Berkah</t>
  </si>
  <si>
    <t>PPN 11% Pembayaran PO 24427 Inv. PI/130/XII/2024, PT. Pelita Bintang Berkah</t>
  </si>
  <si>
    <t>Biaya Transfer, PT. Pelita Bintang Berkah</t>
  </si>
  <si>
    <t>BSK250050</t>
  </si>
  <si>
    <t>Pembayaran Pembelian 7814A Belden Cat6 Inv. 12122418, PT. Mitra Satu Solusindo</t>
  </si>
  <si>
    <t>PPN 11% Pembayaran Pembelian 7814A Belden Cat6 Inv. 12122418, PT. Mitra Satu Solusindo</t>
  </si>
  <si>
    <t>BSK250051</t>
  </si>
  <si>
    <t>Pembayaran Man Power Elektrikal (PO 24401), Bpk. Mohamad Yasin</t>
  </si>
  <si>
    <t>PPh 2,5% Pembayaran Man Power Elektrikal (PO 24401), Bpk. Mohamad Yasin</t>
  </si>
  <si>
    <t>Biaya Transfer, Bpk. Mohamad Yasin</t>
  </si>
  <si>
    <t>BSK250054</t>
  </si>
  <si>
    <t>Pembayaran Pembelian Nitrogen @ 4 Tabung Inv. KSM/1120/XII/2024, CV. Ica Gas</t>
  </si>
  <si>
    <t>BSK250055</t>
  </si>
  <si>
    <t>Pembayaran PO 24355 Inv. 191224-SJ-7</t>
  </si>
  <si>
    <t>BSK250069</t>
  </si>
  <si>
    <t>Pembayaran Pembelian Material (Needle Valve, Male Conn dan Bushing), Ferul Teknik</t>
  </si>
  <si>
    <t>Biaya Transfer, Ferul Teknik</t>
  </si>
  <si>
    <t>Makan Lembur CL (Amry, Heti), Eko</t>
  </si>
  <si>
    <t>Makan Meeting CL (Rahman), Eko</t>
  </si>
  <si>
    <t>BSK250078</t>
  </si>
  <si>
    <t>Makan (Rahman, Reli, Tim PGN, Tim PGAS dan Tim Algas), M. Rahman</t>
  </si>
  <si>
    <t>Lalamove CL, Adinda Naufianti</t>
  </si>
  <si>
    <t>BSK250099</t>
  </si>
  <si>
    <t>Pembayaran DP 40% PO 25010 Inv. 25.TJP-I-003, PT. Teknindo Jaya Prakarsa</t>
  </si>
  <si>
    <t>PPN 11% Pembayaran DP 40% PO 25010 Inv. 25.TJP-I-003, PT. Teknindo Jaya Prakarsa</t>
  </si>
  <si>
    <t>Biaya Transfer, PT. Teknindo Jaya Prakarsa</t>
  </si>
  <si>
    <t>BSK250134</t>
  </si>
  <si>
    <t>Pembayaran PO 24400 INV 0010/KEI/INV/01/25 PT. Kensa Enzi Internasional</t>
  </si>
  <si>
    <t>PPN 11% Pembayaran PO 24400 INV 0010/KEI/INV/01/25 PT. Kensa Enzi Internasional</t>
  </si>
  <si>
    <t>PPh 2% Pembayaran PO 24400 INV 0010/KEI/INV/01/25 PT. Kensa Enzi Internasional</t>
  </si>
  <si>
    <t>BSK250149</t>
  </si>
  <si>
    <t>Pembayaran PO 24415 Inv. AL00241568, PT. Air Liquide Indonesia</t>
  </si>
  <si>
    <t>PPN 11% Pembayaran PO 24415 Inv. AL00241568, PT. Air Liquide Indonesia</t>
  </si>
  <si>
    <t>Biaya Transfer, PT. Air Liquide Indonesia</t>
  </si>
  <si>
    <t>BSK250152</t>
  </si>
  <si>
    <t>Pembayaran Pelunasan PO 24417 Inv. 004.INV.MRI.I.25, PT. Mahkota Raja Indonesia</t>
  </si>
  <si>
    <t>PPN 11% Pembayaran Pelunasan PO 24417 Inv. 004.INV.MRI.I.25, PT. Mahkota Raja Indonesia</t>
  </si>
  <si>
    <t>PPh 2% Pembayaran Pelunasan PO 24417 Inv. 004.INV.MRI.I.25, PT. Mahkota Raja Indonesia</t>
  </si>
  <si>
    <t>BSM250021</t>
  </si>
  <si>
    <t>Transport Whoosh (Padalarang - Halim - Padalarang), Adip Trisnanto</t>
  </si>
  <si>
    <t>Material (Reducing Safety Valve 16 Bar 4 Inch DN100 PN16), Adip Trisnanto</t>
  </si>
  <si>
    <t>Makan Adip dan Ditmet, Adip Trisnanto</t>
  </si>
  <si>
    <t>BSK250173</t>
  </si>
  <si>
    <t>Material (StudBolt 250 Pcs 1,5" dan 30 Pcs Bolt 1")</t>
  </si>
  <si>
    <t>Material (Filter Tipis Max XTII dan Alligment Sensor LELL)</t>
  </si>
  <si>
    <t>Biaya Transfer Material (Filter Tipis Max XTII dan Alligment Sensor LELL)</t>
  </si>
  <si>
    <t>BSM250036</t>
  </si>
  <si>
    <t>Penerimaan dari Algas Mitra Sejati</t>
  </si>
  <si>
    <t>BSK250234</t>
  </si>
  <si>
    <t>Pembayaran PNBP UTTP Sistem Meter Gas Orifice No. T-2077-12-2024</t>
  </si>
  <si>
    <t>BSK250235</t>
  </si>
  <si>
    <t>Pembayaran PO  25010 (UPS) Inv. INV.25.TJP-I-006</t>
  </si>
  <si>
    <t>PPN 11% Pembayaran PO  25010 (UPS) Inv. INV.25.TJP-I-006</t>
  </si>
  <si>
    <t>BSK250241</t>
  </si>
  <si>
    <t>Pembayaran Balance 40% PO 24282 Inv. INV.25.TJP-I-002</t>
  </si>
  <si>
    <t>PPN 11% Pembayaran Balance 40% PO 24282 Inv. INV.25.TJP-I-002</t>
  </si>
  <si>
    <t>Biaya Makan Lembur CL (Hetty,Toro)</t>
  </si>
  <si>
    <t>Makan Lembur CL (Hetti dan Dhea)</t>
  </si>
  <si>
    <t>Makan Meeting CL (Agung Sulistyo)</t>
  </si>
  <si>
    <t>BSK250326</t>
  </si>
  <si>
    <t>Material (Semen 25 Kg)</t>
  </si>
  <si>
    <t>BSK250330</t>
  </si>
  <si>
    <t>Transport BBM, Mustafodurrahman</t>
  </si>
  <si>
    <t>Transport Goride, Mustafodurrahman</t>
  </si>
  <si>
    <t>Makan dan Minum (Rahman, PHN, Driver PGN, PGASOL, Team Hydrotest Valve)</t>
  </si>
  <si>
    <t>BSK250361</t>
  </si>
  <si>
    <t>Pembayaran Pelunasan PO 25010 Inv. INV.25.TJP-I-006, PT. Teknindo Jaya Prakarsa</t>
  </si>
  <si>
    <t>PPN 11% Pembayaran Pelunasan PO 25010 Inv. INV.25.TJP-I-006, PT. Teknindo Jaya Prakarsa</t>
  </si>
  <si>
    <t>BSK250393</t>
  </si>
  <si>
    <t>EX UMK a.n Mustafidurrahman</t>
  </si>
  <si>
    <t>Transport E/I</t>
  </si>
  <si>
    <t>Makan dan Minum (Rizal, Rahman, Bay, Hadi, Scada, OM, Rigger, Operator, Helper, E/I, Pgasol, Algas, PGAS, PGN)</t>
  </si>
  <si>
    <t>Lalamove dan Gosend</t>
  </si>
  <si>
    <t>Peralatan (Kuas, Ember, Paint Remover, Isolasi, Frone Fan, Hole Saw, Gress, Gagang Gergaji, Bor, Hand Taps, Isi Cutter, Kikir, Kabel TID, Plastik Sampah, Sarung Tangan, Spidol, Baterai, Kasur)</t>
  </si>
  <si>
    <t>Laundry</t>
  </si>
  <si>
    <t>Obat-obatan (Neozep)</t>
  </si>
  <si>
    <t>Listrik</t>
  </si>
  <si>
    <t>Makan dan Minum Overtime (Crance, Rigger, Operator)</t>
  </si>
  <si>
    <t>Material Lapangan (Pylox, Dynabolt, Mata Bor, Mur, Baut, Jembo, Oli, WD Cutting)</t>
  </si>
  <si>
    <t>Makan Lembur CL (Arief)</t>
  </si>
  <si>
    <t>BSK250405</t>
  </si>
  <si>
    <t>BSK250422</t>
  </si>
  <si>
    <t>Pembayaran Pelunasan PO 24201 Inv. INV-066122024, PT. Armindo Jaya Mandiri</t>
  </si>
  <si>
    <t>PPN 11% Pembayaran Pelunasan PO 24201 Inv. INV-066122024, PT. Armindo Jaya Mandiri</t>
  </si>
  <si>
    <t>Makan dan Minum (Rahman dan Arif)</t>
  </si>
  <si>
    <t>Transport Gojek</t>
  </si>
  <si>
    <t>Peralatan Isticker Flow Direction)</t>
  </si>
  <si>
    <t>BSK250464</t>
  </si>
  <si>
    <t>Transport BBM Achmad Bayhaqy</t>
  </si>
  <si>
    <t>Token Listrik Achmad Bayhaqy</t>
  </si>
  <si>
    <t>Material Lapangan (Cable Grounding, Dynabolt, Marking Tube, SCR, Sigma Ties, RJ45)</t>
  </si>
  <si>
    <t>Makan dan Minum (Reli, Arif, Fahri TGI)</t>
  </si>
  <si>
    <t>BSK250466</t>
  </si>
  <si>
    <t>Transport Toll Achmad Bayhaqy</t>
  </si>
  <si>
    <t>Makan dan Minum (Bay, Rahman, Reli, Helper, dan Algas)</t>
  </si>
  <si>
    <t>Material Lapangan</t>
  </si>
  <si>
    <t>ATK (Double Tape)</t>
  </si>
  <si>
    <t>BSK250557</t>
  </si>
  <si>
    <t>Pembayaran Shipment PO 24134 Inv.0263 PT.Kartika Eka Yudha Maritim</t>
  </si>
  <si>
    <t>PPN 11% Pembayaran Shipment PO 24134 Inv.0263 PT.Kartika Eka Yudha Maritim</t>
  </si>
  <si>
    <t>PPh 2% Pembayaran Shipment PO 24134 Inv.0263 PT.Kartika Eka Yudha Maritim</t>
  </si>
  <si>
    <t>Pembayaran Shipment PO 24134 Inv.0210 PT.Kartika Eka Yudha Maritim</t>
  </si>
  <si>
    <t>PPN 11% Pembayaran Shipment PO 24134 Inv.0210 PT.Kartika Eka Yudha Maritim</t>
  </si>
  <si>
    <t>PPh 2% Pembayaran Shipment PO 24134 Inv.0210 PT.Kartika Eka Yudha Maritim</t>
  </si>
  <si>
    <t>Pembayaran Warehouse Cost PO 24134 Inv.0208 PT.Kartika Eka Yudha Maritim</t>
  </si>
  <si>
    <t>PPN 11% Pembayaran Warehouse Cost PO 24134 Inv.0208 PT.Kartika Eka Yudha Maritim</t>
  </si>
  <si>
    <t>PPh 2% Pembayaran Warehouse Cost PO 24134 Inv.0208 PT.Kartika Eka Yudha Maritim</t>
  </si>
  <si>
    <t>BSK250562</t>
  </si>
  <si>
    <t>Pembayaran PO 25088 Inv.023032025 PT.Armindo Jaya Mandiri</t>
  </si>
  <si>
    <t>PPN 11% Pembayaran PO 25088 Inv.023032025 PT.Armindo Jaya Mandiri</t>
  </si>
  <si>
    <t>PPh 2% Pembayaran PO 25088 Inv.023032025 PT.Armindo Jaya Mandiri</t>
  </si>
  <si>
    <t>Transfer Antar Bank PT.Armindo Jaya Mandiri</t>
  </si>
  <si>
    <t>BSK250573</t>
  </si>
  <si>
    <t>Material Lapangan (Isolator Busbar Holder) Reli Nurfaiz</t>
  </si>
  <si>
    <t>BSK250618</t>
  </si>
  <si>
    <t>PPN 11% Pembayaran Shipment PO 24196 Inv.0437 PT.Kartika Eka Yudha Maritim</t>
  </si>
  <si>
    <t>PPh 2% Pembayaran Shipment PO 24196 Inv.0437 PT.Kartika Eka Yudha Maritim</t>
  </si>
  <si>
    <t>Pembayaran Shipment PO 24196 Inv.0356 PT.Kartika Eka Yudha Maritim</t>
  </si>
  <si>
    <t>PPN 11% Pembayaran Shipment PO 24196 Inv.0356 PT.Kartika Eka Yudha Maritim</t>
  </si>
  <si>
    <t>PPh 2% Pembayaran Shipment PO 24196 Inv.0356 PT.Kartika Eka Yudha Maritim</t>
  </si>
  <si>
    <t>Pembayaran Warehouse Cost PO 24196 Inv.0316 PT.Kartika Eka Yudha Maritim</t>
  </si>
  <si>
    <t>PPN 11% Pembayaran Warehouse Cost PO 24196 Inv.0316 PT.Kartika Eka Yudha Maritim</t>
  </si>
  <si>
    <t>PPh 2% Pembayaran Warehouse Cost PO 24196 Inv.0316 PT.Kartika Eka Yudha Maritim</t>
  </si>
  <si>
    <t>Pembayaran Shipment PO 24244 Inv.0440 PT.Kartika Eka Yudha Maritim</t>
  </si>
  <si>
    <t>BSK250628</t>
  </si>
  <si>
    <t>Material Lapangan (Thinner &amp; Majun) Reli Nurfaiz</t>
  </si>
  <si>
    <t>Makan &amp; Minum Reli Nurfaiz</t>
  </si>
  <si>
    <t>BSK250644</t>
  </si>
  <si>
    <t>Pembayaran PO 25090 Inv.038/INV-JMT/III/2025 CV.Jasmin Mitra Teknik</t>
  </si>
  <si>
    <t>Biaya Transfer CV.Jasmin Mitra Teknik</t>
  </si>
  <si>
    <t>BSM250075b</t>
  </si>
  <si>
    <t>Penerimaan dari Progress 46,24% Inv.207 PT.Algas Mitra Sejati</t>
  </si>
  <si>
    <t>Pembayaran Shipment P1 PO 24200 Inv.0161 PT.Kartika Eka Yudha Maritim</t>
  </si>
  <si>
    <t>PPN Pembayaran Shipment P1 PO 24200 Inv.0161 PT.Kartika Eka Yudha Maritim</t>
  </si>
  <si>
    <t>PPh 2% Pembayaran Shipment P1 PO 24200 Inv.0161 PT.Kartika Eka Yudha Maritim</t>
  </si>
  <si>
    <t>Pembayaran Shipment P2 PO 24200 Inv.0121 PT.Kartika Eka Yudha Maritim</t>
  </si>
  <si>
    <t>PPN Pembayaran Shipment P2 PO 24200 Inv.0121 PT.Kartika Eka Yudha Maritim</t>
  </si>
  <si>
    <t>PPh 2% Pembayaran Shipment P2 PO 24200 Inv.0121 PT.Kartika Eka Yudha Maritim</t>
  </si>
  <si>
    <t>Pembayaran Warehouse Cost PO 24200 Inv.0115 PT.Kartika Eka Yudha Maritim</t>
  </si>
  <si>
    <t>PPN Pembayaran Warehouse Cost PO 24200 Inv.0115 PT.Kartika Eka Yudha Maritim</t>
  </si>
  <si>
    <t>PPh 2% Pembayaran Warehouse Cost PO 24200 Inv.0115 PT.Kartika Eka Yudha Maritim</t>
  </si>
  <si>
    <t>Makan Lembur (Arfa &amp; Hisyam) Eko Waluyo</t>
  </si>
  <si>
    <t>BSK250812</t>
  </si>
  <si>
    <t xml:space="preserve">Pembayaran DP 50% PO 25146 Inv.SSE/INV/04-2025/0005 PT.Satria Solusi Engineering </t>
  </si>
  <si>
    <t xml:space="preserve">PPN Pembayaran DP 50% PO 25146 Inv.SSE/INV/04-2025/0005 (04002500110309014) PT.Satria Solusi Engineering </t>
  </si>
  <si>
    <t>Transfer Antar Bank PT.Satria Solusi Engineering</t>
  </si>
  <si>
    <t>Makan Lembur CL (Amry) Eko Waluyo</t>
  </si>
  <si>
    <t>BSK250859</t>
  </si>
  <si>
    <t>Transport GoRide, Hetty Simbolon</t>
  </si>
  <si>
    <t>Makan, Hetty Simbolon</t>
  </si>
  <si>
    <t>Transfer Antar Bank, Hetty Simbolon</t>
  </si>
  <si>
    <t>BSK250892</t>
  </si>
  <si>
    <t>Pembayaran Shipment PO 25049 Inv.JKTIR00858622, PT.Birotika Semesta</t>
  </si>
  <si>
    <t>PPN Pembayaran Shipment PO 25049 Inv.JKTIR00858622, PT.Birotika Semesta</t>
  </si>
  <si>
    <t>PPh 2% Pembayaran Shipment PO 25049 Inv.JKTIR00858622, PT.Birotika Semesta</t>
  </si>
  <si>
    <t>Transfer Antar Bank, PT.Birotika Semesta</t>
  </si>
  <si>
    <t>BSK250938</t>
  </si>
  <si>
    <t>Pembayaran PO 24424 Inv.030/INV-STM/2025, PT.Sagara Teknik Mulia</t>
  </si>
  <si>
    <t>PPN 11% Pembayaran PO 24424 Inv.030/INV-STM/2025, PT.Sagara Teknik Mulia</t>
  </si>
  <si>
    <t>PPh 2% Pembayaran PO 24424 Inv.030/INV-STM/2025, PT.Sagara Teknik Mulia</t>
  </si>
  <si>
    <t>Transfer Antar Bank, PT.Sagara Teknik Mulia</t>
  </si>
  <si>
    <t>Makan Lembur CL (Tirto,Agung,Faishol), Eko Waluyo</t>
  </si>
  <si>
    <t>BSK250991</t>
  </si>
  <si>
    <t>Pembayaran PO 25167 Inv.00059 CV.Dwi Filter</t>
  </si>
  <si>
    <t>PPN 04002500142474416 Pembayaran PO 25167 Inv.00059 CV.Dwi Filter</t>
  </si>
  <si>
    <t>Transfer Antar Bank CV.Dwi Filter</t>
  </si>
  <si>
    <t>Makan Lembur CL (Arfa,Amry,Rizal,Toro), Eko Waluyo</t>
  </si>
  <si>
    <t>BSK251034</t>
  </si>
  <si>
    <t>Pembayaran PO 25168 Inv.037 PT.Sagara Teknik Mulia</t>
  </si>
  <si>
    <t>PPN Pembayaran PO 25168 Inv.037 (04002500145996093) PT.Sagara Teknik Mulia</t>
  </si>
  <si>
    <t>PPh 2% Pembayaran PO 25168 Inv.037 PT.Sagara Teknik Mulia</t>
  </si>
  <si>
    <t>Biaya Transfer PT.Sagara Teknik Mulia</t>
  </si>
  <si>
    <t>BSM250098b</t>
  </si>
  <si>
    <t>Penerimaan Dari Inv.207/2024 PT.Algas Mitra Sejati</t>
  </si>
  <si>
    <t>BSK251160</t>
  </si>
  <si>
    <t>Pembayaran Pelunasan 50% PO 25146 Inv.SSE/INV/06-2025/0007, PT.Satria Solusi Engineering</t>
  </si>
  <si>
    <t>PPN Pembayaran Pelunasan 50% PO 25146 Inv.SSE/INV/06-2025/0007 (04002500161399641), PT.Satria Solusi Engineering</t>
  </si>
  <si>
    <t>Transfer Antar Bank, PT.Satria Solusi Engineering</t>
  </si>
  <si>
    <t>BSK251203</t>
  </si>
  <si>
    <t>Pembayaran PO 25208 Inv.DF/INV/25/06/00100, Dwi Filter</t>
  </si>
  <si>
    <t>PPN Pembayaran PO 25208 Inv.DF/INV/25/06/00100 (04002500182832694), Dwi Filter</t>
  </si>
  <si>
    <t>Transfer Antar Bank, Dwi Filter</t>
  </si>
  <si>
    <t>BSM250105g</t>
  </si>
  <si>
    <t>Penerimaan Pelunasan Progress 46,240% Dari Inv.207/24 PT.Algas Mitra Sejati</t>
  </si>
  <si>
    <t xml:space="preserve">BSM250109a </t>
  </si>
  <si>
    <t>Penerimaan Pembayaran Cicilan Inv. 116, PT. Algas Mitra Sejati</t>
  </si>
  <si>
    <t>Lalamove Kirim Barang Dari Dwi Filter Ke KSM, Shavira Akmalia (Yuli Irawati)</t>
  </si>
  <si>
    <t>BSK251408</t>
  </si>
  <si>
    <t>Pembayaran PO 25160 Inv. 090625-Reff 2025/KSM-PO/V/25160, Dzaki Saniyyah Nurman (Sami Jaya Instrument)</t>
  </si>
  <si>
    <t xml:space="preserve">BSK251409 </t>
  </si>
  <si>
    <t>Pembayaran PO 25165 Inv. 100625-Reff PO 2025/KSM-PO/V/25165, Dzaki Saniyyah Nurman (Sami Jaya Instrument)</t>
  </si>
  <si>
    <t>BSK251507</t>
  </si>
  <si>
    <t xml:space="preserve">Pembayaran PO 25217 Inv. 039/INV-PSI/VII/25, PT Patra Solusi Instrumentasi </t>
  </si>
  <si>
    <t xml:space="preserve">04002500227290373 - Patra Solusi Instrumentasi, PT. Patra Solusi Instrumentasi </t>
  </si>
  <si>
    <t>Transfer Antar Bank, PT. Patra Solusi Instrumentasi</t>
  </si>
  <si>
    <t>BSK251584</t>
  </si>
  <si>
    <t xml:space="preserve">Pembayaran PO 25179 Inv. 1360/BIS/MI/INV/VI/25, PT. Medialab Indonesia </t>
  </si>
  <si>
    <t xml:space="preserve">04002500181742603 - PT. Medialab Indonesia </t>
  </si>
  <si>
    <t xml:space="preserve">PPh 2% PO 25179 Inv. 1360/BIS/MI/INV/VI/25, PT. Medialab Indonesia </t>
  </si>
  <si>
    <t xml:space="preserve">Biaya Transfer, PT. Medialab Indonesia </t>
  </si>
  <si>
    <t>BSK251634</t>
  </si>
  <si>
    <t xml:space="preserve">Transport Indrive, Mardhani Cahyanto </t>
  </si>
  <si>
    <t xml:space="preserve">Makan dan Minum (Mardhani, PGASOL, PGN), Mardhani Cahyanto </t>
  </si>
  <si>
    <t>BSM250127a</t>
  </si>
  <si>
    <t xml:space="preserve">Pengiriman JNE (Dokumen), Adinda Naufianti </t>
  </si>
  <si>
    <t>Transport GrabCar a.n Faisal Ardi, Shavira Akmalia Putri</t>
  </si>
  <si>
    <t xml:space="preserve">Pembelian Pipa Gas 1/2" x 1 M (RIFENG) - PEX Multilayer Yellow C1216 @500 M Inv. 100 (F), CV Alam Jaya </t>
  </si>
  <si>
    <t xml:space="preserve">Pembelian Pipeline Combustible Gas Leak Detector Free Setting Of Alarm Points @15 Unit Inv. 100 (F), CV. Alam Jaya </t>
  </si>
  <si>
    <t>Pembelian Gas Detector 4 In 1 O2 Co H2s @30 Unit Inv. 100 (F), CV. Alam Jaya</t>
  </si>
  <si>
    <t>BSM250120a</t>
  </si>
  <si>
    <t>Pembayaran PO 25238 Inv. HI250728 58 PT Eforel Citra Utama, Shavira Akmalia</t>
  </si>
  <si>
    <t>04002500224254223 - PT Eforel Citra Utama, Shavira Akmalia</t>
  </si>
  <si>
    <t>BSK251443</t>
  </si>
  <si>
    <t>Pembayaran Shipment PO 25034 Inv.P1/2025/06/0146, PT.Kartika Eka Yudha Maritim</t>
  </si>
  <si>
    <t xml:space="preserve">04002500169749007 - Kartika Ekayudha Maritim, PT.Kartika Eka Yudha Maritim </t>
  </si>
  <si>
    <t xml:space="preserve">PPh 2% Pembayaran Shipment PO 25034 Inv.P1/2025/06/0146, PT Kartika Eka Yudha Maritim </t>
  </si>
  <si>
    <t xml:space="preserve">Pembayaran Shipment PO 25034 Inv.P2/2025/06/0119, PT.Kartika Eka Yudha Maritim </t>
  </si>
  <si>
    <t xml:space="preserve">05002500169749008 - Kartika Ekayudha Maritim, PT.Kartika Eka Yudha Maritim </t>
  </si>
  <si>
    <t xml:space="preserve">PPh 2% Pembayaran Shipment PO 25034 Inv.P2/2025/06/0119, PT.Kartika Eka Yudha Maritim </t>
  </si>
  <si>
    <t xml:space="preserve">Pembayaran Warehouse Cost PO 25034 Inv.NR/2025/06/0109, PT.Kartika Eka Yudha Maritim </t>
  </si>
  <si>
    <t xml:space="preserve">040.001-25.85033812 - Kartika Ekayudha Maritim, PT.Kartika Eka Yudha Maritim </t>
  </si>
  <si>
    <t xml:space="preserve">PPh 2% Pembayaran Warehouse Cost PO 25034 Inv.NR/2025/06/0109, PT.Kartika Eka Yudha Maritim </t>
  </si>
  <si>
    <t>BSK251449</t>
  </si>
  <si>
    <t xml:space="preserve">Pembayaran DP PO 25231 Inv.INC/0122/ARY/PTA/VII/25, PT.Perta Mahaka Indonesia </t>
  </si>
  <si>
    <t xml:space="preserve">PPN 11% Pembayaran DP PO 25231 Inv.INC/0122/ARY/PTA/VII/25, PT.Perta Mahaka Indonesia </t>
  </si>
  <si>
    <t xml:space="preserve">Biaya Transfer, PT.Perta Mahaka Indonesia </t>
  </si>
  <si>
    <t>BSM250122c</t>
  </si>
  <si>
    <t>Pengembalian Lebih Transfer Pelunasan 70% PO 25144 Inv. 014/PI/Q049/SDU/VII/25, PT. Surya Dwi Utama (V. BSK251436)</t>
  </si>
  <si>
    <t>BSK251508</t>
  </si>
  <si>
    <t xml:space="preserve">Pembayaran DP 35% PO 25230 Inv. 0410725, PT. Nurman Indoban Sentosa </t>
  </si>
  <si>
    <t xml:space="preserve">04002500224457485 - Nurman Indoban Sentosa, PT. Nurman Indoban Sentosa </t>
  </si>
  <si>
    <t xml:space="preserve">PPh 2,65% Pembayaran DP 35% PO 25230 Inv. 0410725, PT. Nurman Indoban Sentosa </t>
  </si>
  <si>
    <t xml:space="preserve">Transfer Antar Bank, PT. Nurman Indoban Sentosa </t>
  </si>
  <si>
    <t>BSK251549</t>
  </si>
  <si>
    <t xml:space="preserve">Pembayaran PO 25131 Inv. 025/KIS-INV/VII/2025, PT. Karya Instrumindo Simpati </t>
  </si>
  <si>
    <t xml:space="preserve">04002500198887765 - Karya Instrumindo Simpati, PT. Karya Instrumindo Simpati </t>
  </si>
  <si>
    <t xml:space="preserve">Biaya Transfer, PT. Karya Instrumindo Simpati </t>
  </si>
  <si>
    <t>BSK251617</t>
  </si>
  <si>
    <t xml:space="preserve">Pembayaran Pelunasan PO 25230 Inv. 0490825, PT. Nurman Indoban Sentosa </t>
  </si>
  <si>
    <t xml:space="preserve">04002500253731043 - Nurman Indoban Sentosa, PT. Nurman Indoban Sentosa </t>
  </si>
  <si>
    <t xml:space="preserve">PPh 2,65% Pembayaran Pelunasan PO 25230 Inv. 0490825, PT. Nurman Indoban Sentosa </t>
  </si>
  <si>
    <t xml:space="preserve">Biaya Transfer, PT. Nurman Indoban Sentosa </t>
  </si>
  <si>
    <t>BSK251629</t>
  </si>
  <si>
    <t xml:space="preserve">EX UMK Fajar Andik </t>
  </si>
  <si>
    <t xml:space="preserve">Transport Grab, Fajar Andik </t>
  </si>
  <si>
    <t xml:space="preserve">Transport Flight Bagasi, Fajar Andik </t>
  </si>
  <si>
    <t xml:space="preserve">Pulsa Paket Roaming, Fajar Andik </t>
  </si>
  <si>
    <t xml:space="preserve">Makan dan Minum, Fajar Andik </t>
  </si>
  <si>
    <t>BSK251477</t>
  </si>
  <si>
    <t xml:space="preserve">Transport Gojek, Mustafidurrahman </t>
  </si>
  <si>
    <t xml:space="preserve">Makan Lembur SEP (Dani), Eko Waluyo </t>
  </si>
  <si>
    <t>Makan dan Minum a.n Fajar Andik, Salisah</t>
  </si>
  <si>
    <t>Biaya Transfer,Salisah</t>
  </si>
  <si>
    <t>Transport Toll a.n Fajar Andik,Salisah</t>
  </si>
  <si>
    <t>BSM250129g</t>
  </si>
  <si>
    <t xml:space="preserve">Makan a.n Fajar Andik Bersama Tim SEP, Adinda Naufianti </t>
  </si>
  <si>
    <t>BSM250133a</t>
  </si>
  <si>
    <t>Penerimaan Pembayaran Term II 45% Inv. 153/25, PT. Surya Energi Parahita</t>
  </si>
  <si>
    <t>PPN 11% Penerimaan Pembayaran Term II 45% Inv. 153/25, PT. Surya Energi Parahita</t>
  </si>
  <si>
    <t xml:space="preserve">Transport Toll, Fajar Andik </t>
  </si>
  <si>
    <t xml:space="preserve">Transport BBM, Fajar Andik </t>
  </si>
  <si>
    <t xml:space="preserve">Sparepart (Ban Tubless), Fajar Andik </t>
  </si>
  <si>
    <t xml:space="preserve">Material Lapangan (U Bolt), Fajar Andik </t>
  </si>
  <si>
    <t xml:space="preserve">Makan dan Minum (Muliaglass), Fajar Andik </t>
  </si>
  <si>
    <t>BSK251450</t>
  </si>
  <si>
    <t>Pembelian Isi Nitrogen @6 Tabung Inv.KSM/1173/VII/2025, CV.Ica Gas</t>
  </si>
  <si>
    <t xml:space="preserve">Biaya Transfer, CV.Ica Gas </t>
  </si>
  <si>
    <t>Lalamove Material Ke PT. Nurman, Adinda Naufianti</t>
  </si>
  <si>
    <t xml:space="preserve">Transport TMC 8 Ton dari Cikarang - Karawang MRS G250 PT. SEP, Fajar Andik </t>
  </si>
  <si>
    <t xml:space="preserve">Transport Crane Unloading MRS G250 PT. SEP, Fajar Andik </t>
  </si>
  <si>
    <t>BSM250129h</t>
  </si>
  <si>
    <t>Iuran Keamanan Gudang Surya Cipta, Moura</t>
  </si>
  <si>
    <t>UMK Fajar Andik, Moura</t>
  </si>
  <si>
    <t>BSM250133b</t>
  </si>
  <si>
    <t>Penerimaan Pembayaran Term III 20% Inv. 130/25, PT. Surya Energi Parahita</t>
  </si>
  <si>
    <t>PPN 11% Penerimaan Pembayaran Term III 20% Inv. 130/25, PT. Surya Energi Parahita</t>
  </si>
  <si>
    <t xml:space="preserve">Makan Lembur Pgas Klender (Arfa, Bayu, Amry, Dani), Eko Waluyo </t>
  </si>
  <si>
    <t>BSK251500</t>
  </si>
  <si>
    <t>Material Lapangan (Kipas Blower), Rizqi Aulia</t>
  </si>
  <si>
    <t>BSK251508m</t>
  </si>
  <si>
    <t>Pembayaran Opname Ke I Pengadaan Kalibrator Turbin Meter dan Rotary Piston di Gudang PGN Klender Inv. 1601, Yopi Yusup</t>
  </si>
  <si>
    <t>PPh 4% Pembayaran Opname Ke I Pengadaan Kalibrator Turbin Meter dan Rotary Piston di Gudang PGN Klender Inv. 1601, Yopi Yusup</t>
  </si>
  <si>
    <t>Retensi 5% Pembayaran Opname Ke I Pengadaan Kalibrator Turbin Meter dan Rotary Piston di Gudang PGN Klender Inv. 1601, Yopi Yusup</t>
  </si>
  <si>
    <t>EX UMK Yopi Yusup (Pengambilan DP 10%), Yopi Yusup</t>
  </si>
  <si>
    <t>BSK251524</t>
  </si>
  <si>
    <t>EX UMK M Nur Slamet, M Nur Slamet</t>
  </si>
  <si>
    <t>Transport Toll, M Nur Slamet</t>
  </si>
  <si>
    <t>Transport BBM, M Nur Slamet</t>
  </si>
  <si>
    <t>Makan dan Minum (Bella, Dio, Nur Slamet, PGN), M Nur Slamet</t>
  </si>
  <si>
    <t xml:space="preserve">HSE Reward Pengisi Materi HSE Demo Room, M Nur Slamet </t>
  </si>
  <si>
    <t>ATK (Print Sticker), M Nur Slamet</t>
  </si>
  <si>
    <t>Material Lapangan (Pipa, Lem, Sock, Mata Gergaji, Lampu, Steker, Kabel, Fitting, Paku, Terpal, Gantungan, Fisher, Tambang, Lakban Kertas), M Nur Slamet</t>
  </si>
  <si>
    <t>BSK251531</t>
  </si>
  <si>
    <t>BSK251534</t>
  </si>
  <si>
    <t xml:space="preserve">Makan Lembur PGAS Klender (Amry, Arfa), Eko Waluyo </t>
  </si>
  <si>
    <t>Makan a.n Dio Dengan Tim PMO PGN Klender, Adinda Naufianti</t>
  </si>
  <si>
    <t>UMK Fadjar Tri Ananda (KSM25P060), Adinda Naufianti</t>
  </si>
  <si>
    <t xml:space="preserve">Pembayaran Uji Kuat Tekan Kubus K300 Inv. 25, PT. Bintang Abestaton Mahesa, Adinda Naufianti </t>
  </si>
  <si>
    <t xml:space="preserve">04002500247046354 - PT. Bintang Abestaton Mahesa, Adinda Naufianti </t>
  </si>
  <si>
    <t xml:space="preserve">PPh 2% Uji Kuat Tekan Kubus K300 Inv. 25, PT. Bintang Abestaton Mahesa, Adinda Naufianti </t>
  </si>
  <si>
    <t>BSK251571</t>
  </si>
  <si>
    <t xml:space="preserve">Pembayaran Opname Ke II Pengadaan Kalibrator Turbin Meter dan Rotary Piston di Gudang PGN Klender Inv. 1601, Yopi Yusup </t>
  </si>
  <si>
    <t xml:space="preserve">PPh 4% Pembayaran Opname Ke II Pengadaan Kalibrator Turbin Meter dan Rotary Piston di Gudang PGN Klender Inv. 1601, Yopi Yusup </t>
  </si>
  <si>
    <t xml:space="preserve">Retensi 5% Pembayaran Opname Ke II Pengadaan Kalibrator Turbin Meter dan Rotary Piston di Gudang PGN Klender Inv. 1601, Yopi Yusup </t>
  </si>
  <si>
    <t xml:space="preserve">EX UMK Yopi Yusup (Pengembalian DP 10%), Yopi Yusup </t>
  </si>
  <si>
    <t xml:space="preserve">Biaya Transfer, Yopi Yusup </t>
  </si>
  <si>
    <t>BSM250130e</t>
  </si>
  <si>
    <t xml:space="preserve">Material (Sarung Tangan), Adinda Naufianti </t>
  </si>
  <si>
    <t xml:space="preserve">Cetak Banner HSE, Salisah Hilmiah M </t>
  </si>
  <si>
    <t xml:space="preserve">Makan Siang Dio dengan PMO, Salisah Hilmiah M </t>
  </si>
  <si>
    <t xml:space="preserve">Makan Lembur PGASOL (Arfa), Eko Waluyo </t>
  </si>
  <si>
    <t>BSK251593</t>
  </si>
  <si>
    <t xml:space="preserve">Transport BBM, M Nur Slamet </t>
  </si>
  <si>
    <t xml:space="preserve">Perlengkapan (Sarung Tangan Kain), M Nur Slamet </t>
  </si>
  <si>
    <t xml:space="preserve">Tumbler u/HSE Reward, M Nur Slamet </t>
  </si>
  <si>
    <t xml:space="preserve">Makan dan Minum (Slamet, PMO, CSMS), M Nur Slamet </t>
  </si>
  <si>
    <t xml:space="preserve">Gosend Banner Ke Workshop PGN, Rizqi Aulia </t>
  </si>
  <si>
    <t xml:space="preserve">Makan a.n Dio dengan Tim PGAS Klender, Shavira Akmalia </t>
  </si>
  <si>
    <t xml:space="preserve">Konsumsi Snack Refreshment Training Klender, Adinda Naufianti </t>
  </si>
  <si>
    <t xml:space="preserve">Makan dan Minum (Dion dan PMO), Moura  </t>
  </si>
  <si>
    <t>Material (Sarung Tangan)</t>
  </si>
  <si>
    <t>Transport Toll a.n Dio</t>
  </si>
  <si>
    <t>Transport BBM a.n Dio</t>
  </si>
  <si>
    <t>BSK251638</t>
  </si>
  <si>
    <t xml:space="preserve">Transport Parkir, Dio Nesta </t>
  </si>
  <si>
    <t xml:space="preserve">Perlengkapan (Sarung Tangan Kain), Dio Nesta </t>
  </si>
  <si>
    <t>BSK251646</t>
  </si>
  <si>
    <t xml:space="preserve">Pembayaran Opname Ke III Pengadaan Kalibrator Turbin Meter dan Rotary Piston di Gudang PGN Klender Inv. 1601, Yopi Yusup </t>
  </si>
  <si>
    <t xml:space="preserve">PPh 4% Pembayaran Opname Ke III Pengadaan Kalibrator Turbin Meter dan Rotary Piston di Gudang PGN Klender Inv. 1601, Yopi Yusup </t>
  </si>
  <si>
    <t xml:space="preserve">Retensi 5% Pembayaran Opname Ke III Pengadaan Kalibrator Turbin Meter dan Rotary Piston di Gudang PGN Klender Inv. 1601, Yopi Yusup </t>
  </si>
  <si>
    <t>BSK251605</t>
  </si>
  <si>
    <t>BSK251622</t>
  </si>
  <si>
    <t>KK250208a</t>
  </si>
  <si>
    <t>Transport BBM, Yuli Irawati</t>
  </si>
  <si>
    <t>Transport Toll, Yuli Irawati</t>
  </si>
  <si>
    <t>Hotel, Yuli Irawati</t>
  </si>
  <si>
    <t>Makan, Yuli Irawati</t>
  </si>
  <si>
    <t>Peralatan (Sepatu Safety), Yuli Irawati</t>
  </si>
  <si>
    <t>Sparepart Kendaraan (Rem, Ban, Balancing, Spooring), Yuli Irawati</t>
  </si>
  <si>
    <t>BSM250128a</t>
  </si>
  <si>
    <t>ATK (Tinta Printer) Jargas Sleman, Moura</t>
  </si>
  <si>
    <t>Transport Unloading Material Jargas Sleman, Moura</t>
  </si>
  <si>
    <t>Hotel a.n Sigit Jargas Sleman, Moura</t>
  </si>
  <si>
    <t xml:space="preserve">Makan dan Minum a.n Sigit Jargas Sleman, Moura </t>
  </si>
  <si>
    <t xml:space="preserve">BSM250128b </t>
  </si>
  <si>
    <t>Transport Toll a.n Razak, Adinda Naufianti</t>
  </si>
  <si>
    <t xml:space="preserve">Transport BBM a.n Razak, Adinda Naufianti </t>
  </si>
  <si>
    <t xml:space="preserve">Hotel a.n Sigit Praptowo, Adinda Naufianti </t>
  </si>
  <si>
    <t xml:space="preserve">Makan a.n Sigit Praptowo, Adinda Naufianti </t>
  </si>
  <si>
    <t xml:space="preserve">Transport Unloading Material Pipa dan Fitting Jargas Sleman, Adinda Naufianti </t>
  </si>
  <si>
    <t xml:space="preserve">Fotocopy (Laminating), Adinda Naufianti </t>
  </si>
  <si>
    <t>Makan a.n Tri Priyanto, Adinda Naufianti</t>
  </si>
  <si>
    <t xml:space="preserve">Transport BBM a.n Tri Priyanto, Adinda Naufianti </t>
  </si>
  <si>
    <t xml:space="preserve">ATK (Bantex, Pulpen, Glass Clear, Lem, Mouse Pad, Mouse, Box File), Adinda Naufianti </t>
  </si>
  <si>
    <t>Pembayaran Sewa Mobil Selama 3 Hari di Sleman a.n Razak, Adi Putra, Adinda Naufianti</t>
  </si>
  <si>
    <t xml:space="preserve">PPh 2% Sewa Mobil Selama 3 Hari di Sleman a.n Razak, Adi Putra, Adinda Naufianti </t>
  </si>
  <si>
    <t>Perlengkapan (Stopkontak), Adinda Naufianti</t>
  </si>
  <si>
    <t>Material (Kikir) Jargas Sleman, Adinda Naufianti</t>
  </si>
  <si>
    <t>Makan Kantor (Gula dan Kopi)</t>
  </si>
  <si>
    <t xml:space="preserve">BSK251517 </t>
  </si>
  <si>
    <t>Makan dan Minum Jargas Sleman, Sigit Praptowo</t>
  </si>
  <si>
    <t>BSK251526</t>
  </si>
  <si>
    <t xml:space="preserve">Transport Gojek, Alifia Nurul A </t>
  </si>
  <si>
    <t>Biaya Transfer, Alifia Nurul A</t>
  </si>
  <si>
    <t>BSK251528</t>
  </si>
  <si>
    <t>Transport Grab, Diva Arnisa</t>
  </si>
  <si>
    <t xml:space="preserve">Biaya Transfer, Diva Arnisa </t>
  </si>
  <si>
    <t xml:space="preserve">Makan Unloading Barang Jargas Sleman, Eko Waluyo </t>
  </si>
  <si>
    <t xml:space="preserve">Makan Lembur Jargas Sleman (Isna, Hetty, Faishol, Agung, Anjani, Rudi H, Arfa, Nabila), Eko Waluyo </t>
  </si>
  <si>
    <t>BSM250129</t>
  </si>
  <si>
    <t xml:space="preserve">Laminating Jargas Sleman,  Shavira Akmalia </t>
  </si>
  <si>
    <t xml:space="preserve">Material (Sketmat dan Kawat Las) Jargas Sleman,  Shavira Akmalia </t>
  </si>
  <si>
    <t xml:space="preserve">Sparepart Kendaraan (Oli Motor) Jargas Sleman,  Shavira Akmalia </t>
  </si>
  <si>
    <t xml:space="preserve">Makan (Air Galon dan Gula) Jargas Sleman,  Shavira Akmalia </t>
  </si>
  <si>
    <t xml:space="preserve">Transport BBM Jargas Sleman, Shavira Akmalia </t>
  </si>
  <si>
    <t xml:space="preserve">Material (Kaso @ 65 Btg) Jargas Sleman, Shavira Akmalia </t>
  </si>
  <si>
    <t xml:space="preserve">Makan @ 25 Org Jargas Sleman, Shavira Akmalia </t>
  </si>
  <si>
    <t xml:space="preserve">Transport Gocar ke PGN Jogja Jargas Sleman, Shavira Akmalia </t>
  </si>
  <si>
    <t xml:space="preserve">Peralatan (Pisau, Piring, Gembok dan Kabel) Jargas Sleman, Shavira Akmalia </t>
  </si>
  <si>
    <t xml:space="preserve">Pengiriman Barang ke KSM, Shavira Akmalia </t>
  </si>
  <si>
    <t xml:space="preserve">Transport Berly Jargas Sleman, Shavira Akmalia </t>
  </si>
  <si>
    <t xml:space="preserve">Perlengkapan (Stiker) Jargas Sleman, Shavira Akmalia </t>
  </si>
  <si>
    <t>BSM250129a</t>
  </si>
  <si>
    <t xml:space="preserve">UMK a.n Rafi Ahmad, Rizqi Aulia </t>
  </si>
  <si>
    <t xml:space="preserve">Transport Team PGN Klender Pengambilan Material Jargas Sleman, Rizqi Aulia </t>
  </si>
  <si>
    <t xml:space="preserve">ATK (Print) Jargas Sleman, Rizqi Aulia </t>
  </si>
  <si>
    <t>Pulsa, Rizqi Aulia</t>
  </si>
  <si>
    <t xml:space="preserve">Pengiriman Barang Mojokerto - Jogja Jargas Sleman, Rizqi Aulia </t>
  </si>
  <si>
    <t>PPh 2,5% Pengiriman Barang Mojokerto - Jogja Jargas Sleman, Rizqi Aulia</t>
  </si>
  <si>
    <t>Transport BBM a.n Razak, Rizqi Aulia</t>
  </si>
  <si>
    <t xml:space="preserve">Transport BBM a.n Edi, Rizqi Aulia </t>
  </si>
  <si>
    <t xml:space="preserve">Peralatan (Sabun Pel, Stella, Sabun) Jargas Sleman, Rizqi Aulia  </t>
  </si>
  <si>
    <t>Makan dan Minum Jargas Sleman, Rizqi Aulia</t>
  </si>
  <si>
    <t>BSK251547</t>
  </si>
  <si>
    <t xml:space="preserve">Pembayaran Pengiriman Barang Material ke Sleman Inv 030/INV/AC/VIII/2025, Amirrul Sidiq </t>
  </si>
  <si>
    <t>BSK251548</t>
  </si>
  <si>
    <t>UMK a.n Sugiharto, Mohammad Razak</t>
  </si>
  <si>
    <t xml:space="preserve">Biaya Transfer, Mohammad Razak </t>
  </si>
  <si>
    <t xml:space="preserve">Transport Unloading Pipa PE, Kompor, Regulator Jargas Sleman, Adinda Naufianti </t>
  </si>
  <si>
    <t xml:space="preserve">Perlengkapan (Kipas Angin, Gas LPG @3kg dan Air Galon) Untuk Mess Sleman, Adinda Naufianti </t>
  </si>
  <si>
    <t xml:space="preserve">Transport BBM a.n Edi Kurniawan, Adinda Naufianti </t>
  </si>
  <si>
    <t>BSK251556</t>
  </si>
  <si>
    <t xml:space="preserve">Transport Toll, Rudi Hartono </t>
  </si>
  <si>
    <t xml:space="preserve">Transport BBM, Rudi Hartono </t>
  </si>
  <si>
    <t xml:space="preserve">Makan dan Minum (Rudi, Hetty, Ditmet), Rudi Hartono </t>
  </si>
  <si>
    <t xml:space="preserve">Transfer Antar Bank, Rudi Hartono </t>
  </si>
  <si>
    <t>BSK251560</t>
  </si>
  <si>
    <t>EX UMK a.n Fajar Tri Ananda, Fajar Tri Ananda</t>
  </si>
  <si>
    <t xml:space="preserve">Transport Toll, Fajar Tri Ananda </t>
  </si>
  <si>
    <t xml:space="preserve">Transport Parkir, Fajar Tri Ananda </t>
  </si>
  <si>
    <t>Transport BBM, Fajar Tri Ananda</t>
  </si>
  <si>
    <t xml:space="preserve">Makan dan Minum, Fajar Tri Ananda </t>
  </si>
  <si>
    <t xml:space="preserve">Cuci Mobil, Fajar Tri Ananda </t>
  </si>
  <si>
    <t>BSK251561</t>
  </si>
  <si>
    <t>Transport Gocar, Alifia Nurul A</t>
  </si>
  <si>
    <t xml:space="preserve">Makan Lembur Jargas Sleman (Faishol, Bayu, Rudi H, Isna, Hetti, Amry), Eko Waluyo </t>
  </si>
  <si>
    <t>BSK251566</t>
  </si>
  <si>
    <t>Pembayaran BPJS Ketenagakerjaan Proyek Pembangunan Jargas Gaskita di Kab. Sleman Periode Agustus 2025, BPJS Ketenagakerjaan PU</t>
  </si>
  <si>
    <t xml:space="preserve">Peralatan (Kasur, Terpal), Jargas Sleman, Moura </t>
  </si>
  <si>
    <t>BSM250129i</t>
  </si>
  <si>
    <t>Sparepart Non OPS (Pipa AC, Kabel,Bracket) Jargas Sleman, Salisah</t>
  </si>
  <si>
    <t>Transport Gocar a.n Diva Jargas Sleman, Salisah</t>
  </si>
  <si>
    <t xml:space="preserve">Peralatan (Kanebo, Sapu, Pel) Jargas Sleman, Salisah </t>
  </si>
  <si>
    <t xml:space="preserve">Transport BBM a.n Fondra, Salisah  </t>
  </si>
  <si>
    <t>Transport BBM a.n Edi, Salisah</t>
  </si>
  <si>
    <t>Makan dan Minum (Kopi Bubuk dan Aqua), Salisah</t>
  </si>
  <si>
    <t>Transport Unloading Pipa Jargas Sleman, Salisah Hilmiah M</t>
  </si>
  <si>
    <t>BBM Jargas Sleman, Salisah Hilmiah M</t>
  </si>
  <si>
    <t>Makan Jargas Sleman, Salisah Hilmiah M</t>
  </si>
  <si>
    <t>Transport Mustofa Jargas Sleman, Salisah Hilmiah M</t>
  </si>
  <si>
    <t>Sparepart Motor Sleman, Salisah Hilmiah M</t>
  </si>
  <si>
    <t>Transport Berly Jargas Sleman, Salisah Hilmiah M</t>
  </si>
  <si>
    <t>Transport BBM Jargas Sleman, Shavira Akmalia Putri</t>
  </si>
  <si>
    <t>Makan (Air Galon) Jargas Sleman, Shavira Akmalia Putri</t>
  </si>
  <si>
    <t>Material (Pipa PE, Fitting Elbow, Valve Kuningan) Jargas Sleman, Shavira Akmalia Putri</t>
  </si>
  <si>
    <t>Transport BBM Jargas Sleman</t>
  </si>
  <si>
    <t>UMK Mandor Sugiharto Jargas Sleman</t>
  </si>
  <si>
    <t>Biaya Kesehatan a.n Panji Jargas Sleman</t>
  </si>
  <si>
    <t>Sosialisasi dan Koordinasi Kepala Dukuh Jargas Sleman</t>
  </si>
  <si>
    <t>BSK251570</t>
  </si>
  <si>
    <t xml:space="preserve">Pembayaran DP 10% PO 25257 Inv. 25004496/PPP/VIII/2025, PT. Padma Panji Pratama </t>
  </si>
  <si>
    <t xml:space="preserve">PPN 11% Pembayaran DP 10% PO 25257 Inv. 25004496/PPP/VIII/2025, PT. Padma Panji Pratama </t>
  </si>
  <si>
    <t>Biaya Transfer, PT. Padma Panji Pratama</t>
  </si>
  <si>
    <t>BSK251581f</t>
  </si>
  <si>
    <t xml:space="preserve">UMK a.n Sugiharto (Sleman), Sugiharto </t>
  </si>
  <si>
    <t xml:space="preserve">Biaya Transfer, Sugiharto </t>
  </si>
  <si>
    <t xml:space="preserve">Material (Kayu Kaso) Jargas Sleman, Adinda Naufianti </t>
  </si>
  <si>
    <t xml:space="preserve">Sparepart Motor Jargas Sleman (Ganti Oli dan Selang Bensin), Adinda Naufianti </t>
  </si>
  <si>
    <t xml:space="preserve">ATK (Kertas HVS @5rim) Jargas Sleman, Adinda Naufianti </t>
  </si>
  <si>
    <t xml:space="preserve">Transport Gocar a.n Rendra, Adinda Naufianti </t>
  </si>
  <si>
    <t xml:space="preserve">UMK Mandor Sugiharto Jargas Sleman (Kasbon), Adinda Naufianti </t>
  </si>
  <si>
    <t xml:space="preserve">Pembayaran Koordinasi Padukuhan Mrican dengan Kepala Dukuh dan 3 RW Jargas Sleman, Adinda Naufianti </t>
  </si>
  <si>
    <t xml:space="preserve">Konsumsi Koordinasi Lapangan Jargas Sleman, Adinda Naufianti </t>
  </si>
  <si>
    <t>BSM250130f</t>
  </si>
  <si>
    <t xml:space="preserve">Grabcar &amp; ATK Sleman, Rizqi Aulia </t>
  </si>
  <si>
    <t xml:space="preserve">Transport Bus a.n Mustofa Jargas Sleman, Rizqi Aulia </t>
  </si>
  <si>
    <t>Material Lapangan (Triplek) Jargas Sleman, Rizqi Aulia</t>
  </si>
  <si>
    <t>Perlengkapan (Rompi dan P3K) Jargas Sleman, Rizqi Aulia</t>
  </si>
  <si>
    <t>Perlengkapan Jargas Sleman, Rizqi Aulia</t>
  </si>
  <si>
    <t>Peralatan (Kursi) Jargas Sleman, Rizqi Aulia</t>
  </si>
  <si>
    <t>ATK Jargas Sleman, Rizqi Aulia</t>
  </si>
  <si>
    <t xml:space="preserve">Peralatan HSE (Sepatu Safety dan Gantungan) Jargas Sleman, Moura </t>
  </si>
  <si>
    <t xml:space="preserve">Pengiriman Material Jargas Sleman, Moura </t>
  </si>
  <si>
    <t>Pengiriman Dokumen Jargas Sleman, Moura</t>
  </si>
  <si>
    <t xml:space="preserve">Sparepart Non OPS (Oli Motor), Moura </t>
  </si>
  <si>
    <t xml:space="preserve">Makan dan Minum (Kopi Bubuk) Jargas Sleman, Moura </t>
  </si>
  <si>
    <t xml:space="preserve">Peralatan (Stop Kontak) Jargas Sleman, Moura </t>
  </si>
  <si>
    <t xml:space="preserve">Material Lapangan Jargas Sleman, Moura </t>
  </si>
  <si>
    <t xml:space="preserve">Makan Koordinasi Jargas Sleman, Moura </t>
  </si>
  <si>
    <t xml:space="preserve">ATK (Print) Jargas Sleman, Moura </t>
  </si>
  <si>
    <t xml:space="preserve">Keperluan Pantry Sleman (Aqua), Salisah Hilmiah M </t>
  </si>
  <si>
    <t>Unloading MGRT Sleman, Salisah Hilmiah M</t>
  </si>
  <si>
    <t>Sewa Lahan Jargas Sleman, Salisah Hilmiah M</t>
  </si>
  <si>
    <t xml:space="preserve">PPh 10% Sewa Lahan Jargas Sleman, Salisah Hilmiah M </t>
  </si>
  <si>
    <t xml:space="preserve">UMK Rudi Hartono, Salisah Hilmiah M </t>
  </si>
  <si>
    <t xml:space="preserve">BBM dan Keperluan Pantry Sleman, Salisah Hilmiah M </t>
  </si>
  <si>
    <t xml:space="preserve">Pembelian Pulpen Jargas Sleman, Salisah Hilmiah M </t>
  </si>
  <si>
    <t xml:space="preserve">Keranjang &amp; Rak Besi Jargas Sleman, Salisah Hilmiah M </t>
  </si>
  <si>
    <t xml:space="preserve">ATK Sleman,Salisah Hilmiah M </t>
  </si>
  <si>
    <t xml:space="preserve">Transport MGRT G25 Sleman, Salisah Hilmiah M </t>
  </si>
  <si>
    <t xml:space="preserve">Makan Lembur Jargas Sleman (Faishol, Amry), Eko Waluyo </t>
  </si>
  <si>
    <t>BSK251589</t>
  </si>
  <si>
    <t xml:space="preserve">Makan dan Minum, Rudi Hartono </t>
  </si>
  <si>
    <t xml:space="preserve">Material (Paku, Elbow, Double Nipple, Reducer, Equal Tee, Concentric, Socket, Ball Valve) Jargas Sleman, Rizqi Aulia </t>
  </si>
  <si>
    <t xml:space="preserve">ATK (Bantex @12pcs), Rizqi Aulia </t>
  </si>
  <si>
    <t xml:space="preserve">Transport BBM a.n Tri Priyanto, Rizqi Aulia </t>
  </si>
  <si>
    <t xml:space="preserve">Konsumsi Meeting Jargas Sleman, Rizqi Aulia </t>
  </si>
  <si>
    <t xml:space="preserve">Perlengkapan (Terpal), Rizqi Aulia </t>
  </si>
  <si>
    <t xml:space="preserve">Transport BBM a.n Panji Aryo, Rizqi Aulia </t>
  </si>
  <si>
    <t xml:space="preserve">Lalamove Material Dari PT Tawindo Ke KSM, Rizqi Aulia </t>
  </si>
  <si>
    <t xml:space="preserve">Transport BBM a.n Razak, Rizqi Aulia </t>
  </si>
  <si>
    <t xml:space="preserve">Makan Kantor (Gula Pasir), Rizqi Aulia </t>
  </si>
  <si>
    <t xml:space="preserve">Listrik Dirkit Jargas Sleman, Moura </t>
  </si>
  <si>
    <t xml:space="preserve">Makan Meeting Jargas Sleman, Moura </t>
  </si>
  <si>
    <t xml:space="preserve">Peralatan (Rompi dan Helm Safety) Jargas Sleman, Moura </t>
  </si>
  <si>
    <t xml:space="preserve">Transport Unloading Material Jargas Sleman, Moura </t>
  </si>
  <si>
    <t xml:space="preserve">ATK (Material) Jargas Sleman, Moura </t>
  </si>
  <si>
    <t xml:space="preserve">Makan dan Minum (Kopi Bubuk Dirkit) Jargas Sleman, Moura </t>
  </si>
  <si>
    <t xml:space="preserve">ATK (Print Banner) Jargas Sleman, Moura </t>
  </si>
  <si>
    <t xml:space="preserve">Material (Coupler, Tapping, Pipa, Ball Valve dan V-Ring) Jargas Sleman, Shavira Akmalia </t>
  </si>
  <si>
    <t xml:space="preserve">Transport BBM a.n Ahmad Nailal Jargas Sleman, Shavira Akmalia </t>
  </si>
  <si>
    <t xml:space="preserve">Transport GoCar (Meeting ke Kantor CGP) Razak Jargas Sleman, Shavira Akmalia </t>
  </si>
  <si>
    <t xml:space="preserve">Makan (WMT) Jargas Sleman, Shavira Akmalia </t>
  </si>
  <si>
    <t xml:space="preserve">Pengiriman Barang ke Jargas Sleman, Shavira Akmalia </t>
  </si>
  <si>
    <t xml:space="preserve">Pembayaran Sewa Kendaraan Selama 2 Hari Jargas Sleman, Shavira Akmalia </t>
  </si>
  <si>
    <t xml:space="preserve">PPh 2% Pembayaran Sewa Kendaraan Selama 2 Hari Jargas Sleman, Shavira Akmalia </t>
  </si>
  <si>
    <t xml:space="preserve">Perlengkapan (Air Galon dan Kamper) Jargas Sleman, Shavira Akmalia </t>
  </si>
  <si>
    <t xml:space="preserve">Perlengkapan (Keranjang Sampah, Keset, Sapu, Sikat Toilet, Plastik Sampah) Jargas Sleman,  Shavira Akmalia </t>
  </si>
  <si>
    <t xml:space="preserve">Material (Temperature Gauge 4" @2pcs &amp; Pressure Gauge 4" @2pcs), Adinda Naufianti </t>
  </si>
  <si>
    <t xml:space="preserve">Transport BBM a.n Mustofa, Eko dan Fondra, Adinda Naufianti </t>
  </si>
  <si>
    <t xml:space="preserve">Transport BBM a.n Berly, Adinda Naufianti </t>
  </si>
  <si>
    <t xml:space="preserve">Makan a.n Diva Arnisa dengan Pak Edy Nurhamid Amin (Meeting Koordinasi), Adinda Naufianti </t>
  </si>
  <si>
    <t xml:space="preserve">Transport Grabcar a.n Razak, Adinda Naufianti </t>
  </si>
  <si>
    <t xml:space="preserve">Sparepart Motor Jargas Sleman (Aki), Adinda Naufianti </t>
  </si>
  <si>
    <t>BSK251615</t>
  </si>
  <si>
    <t xml:space="preserve">Pembayaran PO 25247 Inv. 149/CSB/VIII/25, PT. Cipta Sukses Bersama </t>
  </si>
  <si>
    <t xml:space="preserve">04002500240873057 - Cipta Sukses Bersama, PT. Cipta Sukses Bersama </t>
  </si>
  <si>
    <t xml:space="preserve">Biaya Transfer, PT. Cipta Sukses Bersama </t>
  </si>
  <si>
    <t xml:space="preserve">Konsumsi Sosialisasi Jargas Sleman, Moura  </t>
  </si>
  <si>
    <t xml:space="preserve">Transport BBM CSMS Jargas Sleman , Moura  </t>
  </si>
  <si>
    <t xml:space="preserve">Konsumsi CSMS Jargas Sleman, Moura  </t>
  </si>
  <si>
    <t xml:space="preserve">ATK (Print Sticker) Jargas Sleman, Moura  </t>
  </si>
  <si>
    <t xml:space="preserve">Makan dan Minum (Meeting HSE CGP) Jargas Sleman, Moura  </t>
  </si>
  <si>
    <t xml:space="preserve">JNE Jargas Sleman, Moura  </t>
  </si>
  <si>
    <t xml:space="preserve">Makan dan Minum (Air Galon) Jargas Sleman, Moura  </t>
  </si>
  <si>
    <t xml:space="preserve">Transport BBM a.n Fondra Jargas Sleman, Moura   </t>
  </si>
  <si>
    <t>Transportasi Sosialisasi Padukuhan Manggung dan RW sekitarnya Jargas Sleman</t>
  </si>
  <si>
    <t>Transport Unloading Pipa 63 Jargas Semarang</t>
  </si>
  <si>
    <t>ATK (Buku)</t>
  </si>
  <si>
    <t>Pembayaran Pengiriman Barang Dari PGN Mojokerto Ke Sleman, Amirrul Sidiq</t>
  </si>
  <si>
    <t>PPh 2% Pengiriman Barang Dari PGN Mojokerto Ke Sleman, Amirrul Sidiq</t>
  </si>
  <si>
    <t>Konsumsi Acara Pembuatan HSE Pass Bersama CGP Pusat dan Sleman</t>
  </si>
  <si>
    <t>Konsumsi Demo Room Bersama HSE Pusat dan CGP Jargas Sleman</t>
  </si>
  <si>
    <t>Makan Kantor (Gula, Kopi, Aqua Galon) Jargas Sleman</t>
  </si>
  <si>
    <t>Transport BBM a.n Fondra</t>
  </si>
  <si>
    <t>BSK251625</t>
  </si>
  <si>
    <t xml:space="preserve">Makan Lembur TGI Seberida (Arfa, Amry, Bayu), Eko Waluyo </t>
  </si>
  <si>
    <t>BSK251626</t>
  </si>
  <si>
    <t xml:space="preserve">Transport Gocar, Ahmad Purwanto </t>
  </si>
  <si>
    <t>BSK251636</t>
  </si>
  <si>
    <t>Transport Toll, Sigit Praptowo</t>
  </si>
  <si>
    <t>Transport Parkir, Sigit Praptowo</t>
  </si>
  <si>
    <t>BSK251642</t>
  </si>
  <si>
    <t>Transport Gojek, Alifia Nurul A</t>
  </si>
  <si>
    <t>Transport BBM, Alifia Nurul A</t>
  </si>
  <si>
    <t>BSK251645</t>
  </si>
  <si>
    <t xml:space="preserve">Pembayaran PO 25269 Inv. 17.0194/VIII/2025/PTKSM/WGI, PT. Weba Gas Indonesia </t>
  </si>
  <si>
    <t xml:space="preserve">PPN 11% Pembayaran PO 25269 Inv. 17.0194/VIII/2025/PTKSM/WGI, PT. Weba Gas Indonesia </t>
  </si>
  <si>
    <t xml:space="preserve">Delivery Cost PO 25269 Inv. 17.0194/VIII/2025/PTKSM/WGI, PT. Weba Gas Indonesia </t>
  </si>
  <si>
    <t xml:space="preserve">Biaya Transfer, PT. Weba Gas Indonesia </t>
  </si>
  <si>
    <t>BSK251647</t>
  </si>
  <si>
    <t xml:space="preserve">Pembayaran Opname Ke I Pekerjaan Galian dan Instalasi SK / SR Sleman Inv. 001, Sugiharto </t>
  </si>
  <si>
    <t xml:space="preserve">PPh 4% Pembayaran Opname Ke I Pekerjaan Galian dan Instalasi SK / SR Sleman Inv. 001, Sugiharto </t>
  </si>
  <si>
    <t xml:space="preserve">Retensi 5% Pembayaran Opname Ke I Pekerjaan Galian dan Instalasi SK / SR Sleman Inv. 001, Sugiharto </t>
  </si>
  <si>
    <t xml:space="preserve">EX UMK Sugiharto (Kasbon), Sugiharto </t>
  </si>
  <si>
    <t>BSM250144</t>
  </si>
  <si>
    <t xml:space="preserve">Telfon Sheet ptfe Lembaran 3 Mm 20x20 cm, Salisah Hilmiah M </t>
  </si>
  <si>
    <t xml:space="preserve">Makan Slamet dengan ITDC dan NES, Salisah Hilmiah M </t>
  </si>
  <si>
    <t>BSM250146</t>
  </si>
  <si>
    <t xml:space="preserve">Material (Lem Threebond @ 4 Pcs) Jargas Bali, Shavira Akmalia </t>
  </si>
  <si>
    <t xml:space="preserve">Material (Seal Tape, Sock) Jargas Bali, Shavira Akmalia </t>
  </si>
  <si>
    <t>BSM250148</t>
  </si>
  <si>
    <t xml:space="preserve">Pembayaran Sewa Mobil Xpander @ 15 Hari Jargas Bali, Danarta Bali Trans, Shavira Akmalia </t>
  </si>
  <si>
    <t xml:space="preserve">PPh 2% Pembayaran Sewa Mobil Xpander @ 15 Hari Jargas Bali, Danarta Bali Trans, Shavira Akmalia </t>
  </si>
  <si>
    <t>Material (Ball Valve, Bushing dan Y-Strainer) Jargas Bali, Shavira Akmalia</t>
  </si>
  <si>
    <t xml:space="preserve">Makan dengan Tim NES dan ITDC Jargas Bali, Shavira Akmalia </t>
  </si>
  <si>
    <t>BSM250149</t>
  </si>
  <si>
    <t xml:space="preserve">Material Lapangan (Lem, Pipa, Senter, Seal Tape, Kunci Inggris, Palu Konde), Moura  </t>
  </si>
  <si>
    <t xml:space="preserve">Makan dan Minum (Overtime Pekerja), Moura  </t>
  </si>
  <si>
    <t>BSM250150</t>
  </si>
  <si>
    <t>Pembelian Asbestos Bali Tokopedia, Rizqi Aulia</t>
  </si>
  <si>
    <t>Transport Azyana di Bali, Rizqi Aulia</t>
  </si>
  <si>
    <t>BSK251679</t>
  </si>
  <si>
    <t>Pembelian Pipa Galvaniz 1/2 Inch @20 Unit Inv. 87, CV Angkasa Gas (F)</t>
  </si>
  <si>
    <t>Pembelian Pipa Galvaniz 3/4 Inch @20 Unit Inv. 87, CV Angkasa Gas (F)</t>
  </si>
  <si>
    <t>Pembelian Elbow 2 Inch @80 Unit Inv. 87, CV Angkasa Gas (F)</t>
  </si>
  <si>
    <t>BSM250151</t>
  </si>
  <si>
    <t>Makan a.n Amry, Adit (KSM), Reo (Laras), Putra (Nes), Taufik (Laras), &amp; Ardi (Laras)</t>
  </si>
  <si>
    <t>BSM250152</t>
  </si>
  <si>
    <t>Material (Paving Block, Odorant 1 Liter, Semen) Jargas Bali</t>
  </si>
  <si>
    <t>Transport Gocar a.n Slamet</t>
  </si>
  <si>
    <t>BSM250153</t>
  </si>
  <si>
    <t>Penginapan Amry @ 16 (30/08/25 s.d 15/09/25), slamet dan adit@ @ 14 (01/09/25 s.d 15/09/25)</t>
  </si>
  <si>
    <t>Material Paving Bali</t>
  </si>
  <si>
    <t>Pengambilan Material di Bandara Bali</t>
  </si>
  <si>
    <t>Tiket Pesawat Slamet 06 Sep 2025</t>
  </si>
  <si>
    <t>BSM250154</t>
  </si>
  <si>
    <t xml:space="preserve">Pembelian Alat (Hot Gun NRT Pro) Jargas Bali, Salisah Hilmiah M </t>
  </si>
  <si>
    <t xml:space="preserve">BSK251703 </t>
  </si>
  <si>
    <t xml:space="preserve">Transport Grab, Faisal Ardi </t>
  </si>
  <si>
    <t xml:space="preserve">Transport BBM, Faisal Ardi </t>
  </si>
  <si>
    <t xml:space="preserve">Makan dan Minum (NES dan Air Dus), Faisal Ardi </t>
  </si>
  <si>
    <t xml:space="preserve">Material Lapangan (Minyak Pelumas dan Kabel), Faisal Ardi </t>
  </si>
  <si>
    <t>BSM250157</t>
  </si>
  <si>
    <t>Penerimaan atas Pengembalian Pembelian Teflon Sheet PTFE Bali, Salisah Hilmiah\</t>
  </si>
  <si>
    <t>BSM250158</t>
  </si>
  <si>
    <t>Material (Pasir) Jargas Bali</t>
  </si>
  <si>
    <t>Material (Pipa Galvanis) Jargas Bali</t>
  </si>
  <si>
    <t>Transport Pekerja Jargas Bali @ 10 Orang</t>
  </si>
  <si>
    <t>BSM250160</t>
  </si>
  <si>
    <t xml:space="preserve">Material (Gasket Teflon) Jargas Bali, Moura </t>
  </si>
  <si>
    <t>BSM250163</t>
  </si>
  <si>
    <t>Material (Lem, Ball Valve 1", Seal Tape, Cutting Plat &amp; Pipa Galvanis 2") Jargas Bali</t>
  </si>
  <si>
    <t>BSK251749</t>
  </si>
  <si>
    <t>Transport BBM, M. Nur Slamet</t>
  </si>
  <si>
    <t>Transport Toll, M. Nur Slamet</t>
  </si>
  <si>
    <t>Transport Parkir, M. Nur Slamet</t>
  </si>
  <si>
    <t xml:space="preserve">Material Lapangan (Sunlight terthe bassstT, Soal Tape &amp; Threeband), M nur Slamet </t>
  </si>
  <si>
    <t>Laundry, M. Nur Slamet</t>
  </si>
  <si>
    <t xml:space="preserve">Obat-Obatan (Procold, Redoxone), M. Nur Slamet </t>
  </si>
  <si>
    <t xml:space="preserve">Makan dan Malam CGP, M. Nur Slamet </t>
  </si>
  <si>
    <t>BSM250166a</t>
  </si>
  <si>
    <t xml:space="preserve">Transport Pesawat a.n Amry Fajar, Faisal Ardi, Azyana dan Nur Slamet, BSI Hasanah Card </t>
  </si>
  <si>
    <t>BSM250167</t>
  </si>
  <si>
    <t>Material (Pipa, Elbow, Lem Pipa dan Seal Tape), Shavira Akmalia</t>
  </si>
  <si>
    <t>Material (Baut, Ring dan Mata Bor) Jargas Bali, Shavira Akmalia</t>
  </si>
  <si>
    <t>Perlengkapan (Stiker Sample Markerpost) Jargas Bali, Shavira Akmalia</t>
  </si>
  <si>
    <t>Gosend (Kirim Stiker Sample Markerpost) Jargas Bali, Shavira Akmalia</t>
  </si>
  <si>
    <t>BSM250168</t>
  </si>
  <si>
    <t xml:space="preserve">Transport Welder reposisi pipa steel Jargas Bali, Salisah Hilmiah M </t>
  </si>
  <si>
    <t>Biaya Transfer, Salisah Hilmiah M</t>
  </si>
  <si>
    <t>BSM250169</t>
  </si>
  <si>
    <t xml:space="preserve">Pembayaran Penginapan Selama 1 Bulan Untuk Rudi &amp; Tim 6 Orang, Adinda Naufianti </t>
  </si>
  <si>
    <t>Biaya Transfer, Adinda Naufianti</t>
  </si>
  <si>
    <t>BSM250172</t>
  </si>
  <si>
    <t>Material (Male Conn dan Tee Galvanis) Jargas Bali</t>
  </si>
  <si>
    <t>BSM250173</t>
  </si>
  <si>
    <t xml:space="preserve">Transport BBM Jargas Bali, Moura </t>
  </si>
  <si>
    <t xml:space="preserve">Transport Penyebrangan Kapal Jargas Bali a.n Azyana, Rudi, Fajar, Dinda Aji, dan Arief, Moura </t>
  </si>
  <si>
    <t>BSM250174</t>
  </si>
  <si>
    <t>Pembelian Sprayer Snoop, Rizqi Aulia</t>
  </si>
  <si>
    <t>Biaya Parkir, Rizqi Aulia</t>
  </si>
  <si>
    <t>BSM250177</t>
  </si>
  <si>
    <t>Material (Sealtape) Jargas Bali</t>
  </si>
  <si>
    <t>Material (Isi Nitrogen @7 Tabung) Jargas Bali</t>
  </si>
  <si>
    <t>Perlengkapan (Sticker Jalur Pipa Gas) Jargas Bali</t>
  </si>
  <si>
    <t>Pembayaran Kalibrasi Gas Detector Max XTII MA224-027484 Inv. 393.25 PT. Buana Pandu Cahaya</t>
  </si>
  <si>
    <t>04002500294076044 - PT Buana Pandu Cahaya</t>
  </si>
  <si>
    <t>PPh 2% Kalibrasi Gas Detector Max XTII MA224-027484 Inv. 393.25 PT. Buana Pandu Cahaya</t>
  </si>
  <si>
    <t>Pembelian Token Listrik Mess Jargas Bali</t>
  </si>
  <si>
    <t xml:space="preserve">BSM250181 </t>
  </si>
  <si>
    <t xml:space="preserve">Material Bali (Bearing), Salisah Hilmiah M </t>
  </si>
  <si>
    <t xml:space="preserve">Makan ITDC Bali, Salisah Hilmiah M </t>
  </si>
  <si>
    <t xml:space="preserve">Kargo Injourney Aviation Service Material Pengiriman Bali, Salisah Hilmiah M </t>
  </si>
  <si>
    <t xml:space="preserve">Gobox Angkut Nitrogen Bali, Salisah Hilmiah M </t>
  </si>
  <si>
    <t>BSK251784</t>
  </si>
  <si>
    <t xml:space="preserve">Transport PP Rumah - Bandara, Azyana Febri R </t>
  </si>
  <si>
    <t xml:space="preserve">Hotel a.n Azyana @8 Hari, Azyana Febri R </t>
  </si>
  <si>
    <t>BSK251786</t>
  </si>
  <si>
    <t xml:space="preserve">Transport Parkir, Amry Fajar </t>
  </si>
  <si>
    <t xml:space="preserve">Laundry, Amry Fajar </t>
  </si>
  <si>
    <t>BSK251794</t>
  </si>
  <si>
    <t>Material Lapangan (Lem), Eko Waluyo</t>
  </si>
  <si>
    <t>BSM250185</t>
  </si>
  <si>
    <t>Laundry Jargas Bali, Moura</t>
  </si>
  <si>
    <t>Transport BBM Jargas Bali, Moura</t>
  </si>
  <si>
    <t>Material (Baut dan Pisau) Jargas Bali, Moura</t>
  </si>
  <si>
    <t>Material (Alat Kompressor) Jargas Bali, Moura</t>
  </si>
  <si>
    <t>Pekerjaan Tambahan Pembuatan Patok Gas dan Pemasangan, Moura</t>
  </si>
  <si>
    <t>PPh 2,5% Pekerjaan Tambahan Pembuatan Patok Gas dan Pemasangan, Moura</t>
  </si>
  <si>
    <t>BSM250186</t>
  </si>
  <si>
    <t>Pembelian Material Bali (Selang, Sarung Tangan, Kikir, Lem), Salisah Hilmiah M</t>
  </si>
  <si>
    <t>Nitrogen Bali @4, Salisah Hilmiah M</t>
  </si>
  <si>
    <t>BSM250187</t>
  </si>
  <si>
    <t>Pengiriman Tabung Jargas Bali</t>
  </si>
  <si>
    <t>Lalamove (Pengiriman MGRT) Jargas Bali</t>
  </si>
  <si>
    <t>Transport a.n Iqbal, Aziz, Wardoyo, Romli dan Abdul @ 8 Hari Jargas Bali</t>
  </si>
  <si>
    <t>BSM250187c</t>
  </si>
  <si>
    <t xml:space="preserve">Material (Ball Valve, Double Neple, Tee) Jargas Bali, Rizqi Auliya Moura </t>
  </si>
  <si>
    <t xml:space="preserve">Biaya Transfer, Rizqi Auliya Moura </t>
  </si>
  <si>
    <t xml:space="preserve">Material (Wiigloss, Thinner, Kuas) Jargas Bali, Rizqi Auliya Moura  </t>
  </si>
  <si>
    <t xml:space="preserve">Listrik Kontrakan Jargas Bali, Rizqi Auliya Moura </t>
  </si>
  <si>
    <t xml:space="preserve">Biaya Transfer, Rizqi Auliya Moura  </t>
  </si>
  <si>
    <t xml:space="preserve">Pelunasan Pembuatan Patok Gas dan Pemasangan, Rizqi Auliya Moura  </t>
  </si>
  <si>
    <t xml:space="preserve">PPh 2,5% Pelunasan Pembuatan Patok Gas dan Pemasangan, Rizqi Auliya Moura  </t>
  </si>
  <si>
    <t>BSM250187j</t>
  </si>
  <si>
    <t>Sewa Motor Rudi Bali 19/09/25-19/10/25, Salisah Hilmiah</t>
  </si>
  <si>
    <t>PPh 2% Sewa Motor Rudi Bali 19/09/25-19/10/25, Salisah Hilmiah</t>
  </si>
  <si>
    <t>Biaya Transfer, Salisah Hilmiah</t>
  </si>
  <si>
    <t>Token Listrik Bali, Salisah Hilmiah</t>
  </si>
  <si>
    <t>BSM250187k</t>
  </si>
  <si>
    <t>Laundry Rudi Hartono, Salisah Hilmiah</t>
  </si>
  <si>
    <t>Peralatan &amp; Perlengkapan Makan Rudi Hartono, Salisah Hilmiah</t>
  </si>
  <si>
    <t>Transport Rudi Hartono (BBM&amp;Toll), Salisah Hilmiah</t>
  </si>
  <si>
    <t>Pembelian Material Jargas Bali (Anglas,Bubut), Salisah Hilmiah</t>
  </si>
  <si>
    <t>Print Dokumen Jargas Bali, Salisah Hilmiah</t>
  </si>
  <si>
    <t>Makan ITDC NES Jargas Bali, Salisah Hilmiah</t>
  </si>
  <si>
    <t>BSM250189</t>
  </si>
  <si>
    <t>Print Warna Jargas Bali, Shavira Akmalia</t>
  </si>
  <si>
    <t>Material (Nameplate 50mm x 20mm @ 25 Pcs &amp; Nameplate 95mm x 95mm @ 2 Pcs) Jargas Bali, Shavira Akmalia</t>
  </si>
  <si>
    <t>Makan Dengan ITDC (Finish Gas In Pipa 90 Jargas Bali), Shavira Akmalia</t>
  </si>
  <si>
    <t>BSK251653</t>
  </si>
  <si>
    <t xml:space="preserve">Hotel a.n Edy Nurhamid Amin, BSI Hasanah Card </t>
  </si>
  <si>
    <t xml:space="preserve">Makan a.n Edy Nurhamid Amin, BSI Hasanah Card </t>
  </si>
  <si>
    <t xml:space="preserve">Entertain a.n Edy Nurhamid Amin, BSI Hasanah Card </t>
  </si>
  <si>
    <t xml:space="preserve">Transport Cable Car a.n Edy Nurhamid Amin, BSI Hasanah Card </t>
  </si>
  <si>
    <t xml:space="preserve">Transport Kereta a.n Vera Fithria, Fentarie Gumilang, Edy Nurhamid Amin, Azia Rafifah, Sela Rahmalia, Muhamad Rinto, Hadiah Trinoviyanti, BSI Hasanah Card </t>
  </si>
  <si>
    <t xml:space="preserve">Entertain (Tiket Wisata dan Souvenir) a.n Edy Nurhamid Amin, BSI Hasanah Card </t>
  </si>
  <si>
    <t xml:space="preserve">Makan a.n Edy Nurhamid Amin, BSI Hasanah Card  </t>
  </si>
  <si>
    <t>BSK251763</t>
  </si>
  <si>
    <t>BSK251773</t>
  </si>
  <si>
    <t xml:space="preserve">Pembayaran PO 25172 Inv. 036/KS-INV/IX/2025, PT. Kian Santang </t>
  </si>
  <si>
    <t xml:space="preserve">04002500277509362 - Kian Santang, PT. Kian Santang </t>
  </si>
  <si>
    <t xml:space="preserve">PPh 2% Pembayaran PO 25172 Inv. 036/KS-INV/IX/2025, PT. Kian Santang </t>
  </si>
  <si>
    <t xml:space="preserve">Transfer Antar Bank, PT. Kian Santang </t>
  </si>
  <si>
    <t>BSK251568d</t>
  </si>
  <si>
    <t xml:space="preserve">Bagi Hasil Musyarakah </t>
  </si>
  <si>
    <t xml:space="preserve">JNE Dokumen, Moura </t>
  </si>
  <si>
    <t>BSK251762</t>
  </si>
  <si>
    <t xml:space="preserve">Bagi Hasil Musyarakah, BSI </t>
  </si>
  <si>
    <t>BSM250184</t>
  </si>
  <si>
    <t>Penerimaan Pengembalian atas Lebih Bayar PPN Pembayaran DP 30% Inv.02/INV/AJP/III/2025 (V. BSK250609)</t>
  </si>
  <si>
    <t>BSK251797</t>
  </si>
  <si>
    <t>Makan dan Minum (BIG), Rudi Hartono</t>
  </si>
  <si>
    <t xml:space="preserve">Biaya Transfer, Rudi Hartono </t>
  </si>
  <si>
    <t>BSK251729</t>
  </si>
  <si>
    <t xml:space="preserve">Pembayaran PO 25231 Inv. INQ/0122/ARY/PTA/VII/25, PT. Perta Mahaka Indonesia </t>
  </si>
  <si>
    <t xml:space="preserve">PPN 11% Pembayaran PO 25231 Inv. INQ/0122/ARY/PTA/VII/25, PT. Perta Mahaka Indonesia </t>
  </si>
  <si>
    <t xml:space="preserve">Biaya Transfer, PT. Perta Mahaka Indonesia </t>
  </si>
  <si>
    <t>Gosend Material SEP</t>
  </si>
  <si>
    <t>KSM25P166</t>
  </si>
  <si>
    <t xml:space="preserve">Makan Agung, Tamu, Faisal Ardi, Fahri, Nada, Bella, Kegiatan fat, Salisah Hilmiah M </t>
  </si>
  <si>
    <t xml:space="preserve">Transport FAT MGO, Salisah Hilmiah M </t>
  </si>
  <si>
    <t xml:space="preserve">Material Lapangan (Cat dan Kuas), Eko Waluyo </t>
  </si>
  <si>
    <t>Makan Lembur SEP (Rizal), Eko Waluyo</t>
  </si>
  <si>
    <t>Lalamove Kirim Barang Ke Nurman, Rizqi Aulia</t>
  </si>
  <si>
    <t xml:space="preserve">Material (Cay dan Spray), Moura </t>
  </si>
  <si>
    <t>BSK251767</t>
  </si>
  <si>
    <t xml:space="preserve">Pembayaran Term I Perbaikan PCV Fuel Compressor Pondok Tengah - Distrik Jakarta, Saryanto </t>
  </si>
  <si>
    <t xml:space="preserve">PPh 2,5% Pembayaran Term I Perbaikan PCV Fuel Compressor Pondok Tengah - Distrik Jakarta, Saryanto </t>
  </si>
  <si>
    <t xml:space="preserve">Biaya Transfer, Saryanto </t>
  </si>
  <si>
    <t>BSK251688</t>
  </si>
  <si>
    <t xml:space="preserve">Transport Toll, Fajar Andik C </t>
  </si>
  <si>
    <t>Minum (SEP), Fajar Andik C</t>
  </si>
  <si>
    <t xml:space="preserve">Sparepart (Cuci Mobil), Fajar Andik C </t>
  </si>
  <si>
    <t>Makan dengan SEP, Rizqi Aulia</t>
  </si>
  <si>
    <t>BK250128</t>
  </si>
  <si>
    <t>Pembayaran DP 70% PO 25203 Inv. 1410648 EUR 76.790 @19.045, EP Ehrler Pruftechnik Engineering GmbH</t>
  </si>
  <si>
    <t>Biaya Transfer Pembayaran DP 70% PO 25203 Inv. 1410648 EUR 76.790 @19.045, EP Ehrler Pruftechnik Engineering GmbH</t>
  </si>
  <si>
    <t>BK250130</t>
  </si>
  <si>
    <t>Pembayaran DP 70% PO 25244 Inv. EPE13823.002 EUR 9.800 @19.175, EP Ehrler Pruftechnik Engineering GmbH</t>
  </si>
  <si>
    <t>Biaya Transfer Pembayaran DP 70% PO 25244 Inv. EPE13823.002 EUR 9.800 @19.175, EP Ehrler Pruftechnik Engineering GmbH</t>
  </si>
  <si>
    <t>BSK251664</t>
  </si>
  <si>
    <t xml:space="preserve">Pembayaran DP 50% Pembelian AC LG @3 Unit, Pipa, dan Kabel, PT. Pesona Mitratama </t>
  </si>
  <si>
    <t xml:space="preserve">Transfer Antar Bank, PT. Pesona Mitratama </t>
  </si>
  <si>
    <t>Makan PGN Klender, Rizqi Aulia</t>
  </si>
  <si>
    <t>Perlengkapan (Banner)</t>
  </si>
  <si>
    <t>Makan a.n Dio Bersama PGAS dan PMO</t>
  </si>
  <si>
    <t>BSK251684</t>
  </si>
  <si>
    <t>Pembayaran Opname Ke IV Pengadaan Kalibrator Turbin Meter dan Rotary Piston di Gudang PGN Klender Inv. 1601, Yopi Yusup</t>
  </si>
  <si>
    <t>PPh 4% Pembayaran Opname Ke IV Pengadaan Kalibrator Turbin Meter dan Rotary Piston di Gudang PGN Klender Inv. 1601, Yopi Yusup</t>
  </si>
  <si>
    <t>Retensi 5% Pembayaran Opname Ke IV Pengadaan Kalibrator Turbin Meter dan Rotary Piston di Gudang PGN Klender Inv. 1601, Yopi Yusup</t>
  </si>
  <si>
    <t>Pengembalian DP, Yopi Yusup</t>
  </si>
  <si>
    <t>BSK251696</t>
  </si>
  <si>
    <t>Transport BBM, Bayu Noor</t>
  </si>
  <si>
    <t xml:space="preserve">Transport Toll, Bayu Noor </t>
  </si>
  <si>
    <t xml:space="preserve">Transport Toll a.n Dio, Moura </t>
  </si>
  <si>
    <t xml:space="preserve">Transport BBM a.n Dio, Moura </t>
  </si>
  <si>
    <t>Makan a.n Dio Bersama PGAS</t>
  </si>
  <si>
    <t>BSK251745</t>
  </si>
  <si>
    <t>BSK251752</t>
  </si>
  <si>
    <t xml:space="preserve">Pembayaran DP 50% PO 25295 Inv. 2025/SVT/PI-009-019, PT. Savont Varavi Indonesia </t>
  </si>
  <si>
    <t xml:space="preserve">PPN 11% Pembayaran DP 50% PO 25295 Inv. 2025/SVT/PI-009-019, PT. Savont Varavi Indonesia </t>
  </si>
  <si>
    <t>Biaya Transfer, PT. Savont Varavi Indonesia</t>
  </si>
  <si>
    <t>BSK251754</t>
  </si>
  <si>
    <t xml:space="preserve">Makan Lembur PGAS Klender (Arfa, Faishol), Eko Waluyo </t>
  </si>
  <si>
    <t xml:space="preserve">Pembelian Kabel Listrik, Salisah Hilmiah M  </t>
  </si>
  <si>
    <t xml:space="preserve">Makan dio dengan PMO dan PGN, Salisah Hilmiah M </t>
  </si>
  <si>
    <t>Makan a.n Dio dengan PMO Klender</t>
  </si>
  <si>
    <t>Pembelian PC Lenovo Ideacentre tower 5 @1ea dan Office Pro 1 ea, Rizqi Aulia</t>
  </si>
  <si>
    <t>BSK251770</t>
  </si>
  <si>
    <t xml:space="preserve">Pembayaran PO 25306 Inv. SGI-DPD/NO-PI-2658/16-09-2025, CV. Syariftama Global Indonesia </t>
  </si>
  <si>
    <t>Biaya Transfer, CV. Syariftama Global Indonesia</t>
  </si>
  <si>
    <t>Makan a.n Dio Bersama PMO PGN (Pak Rizal)</t>
  </si>
  <si>
    <t>BSK251791</t>
  </si>
  <si>
    <t xml:space="preserve">Transport Toll, Dio Nesta H </t>
  </si>
  <si>
    <t>Transport BBM, Dio Nesta H</t>
  </si>
  <si>
    <t xml:space="preserve">Sparepart Kendaraan (Isi Angin), Dio Nesta H </t>
  </si>
  <si>
    <t xml:space="preserve">Perlengkapan (Porcelin), Dio Nesta H </t>
  </si>
  <si>
    <t xml:space="preserve">Material Lapangan (Paku Beton), Dio Nesta H </t>
  </si>
  <si>
    <t xml:space="preserve">Makan dan Minum (Dio, Rizal, Hafiz, dan Femy), Dio Nesta H </t>
  </si>
  <si>
    <t>BSK251792</t>
  </si>
  <si>
    <t xml:space="preserve">Makan Lembur PGAS Klender (Arfa), Eko Waluyo </t>
  </si>
  <si>
    <t>Makan dan Minum (PGAS Elnusa dan Pertamina EP), Rudi Hartono</t>
  </si>
  <si>
    <t>BSK251798</t>
  </si>
  <si>
    <t>Pembayaran Opname Ke V Pengadaan Kalibrator Turbin Meter dan Rotary Piston di Gudang PGN Klender Inv. 1601,Yopi Yusup</t>
  </si>
  <si>
    <t>PPh 4% Pembayaran Opname Ke V Pengadaan Kalibrator Turbin Meter dan Rotary Piston di Gudang PGN Klender Inv. 1601,Yopi Yusup</t>
  </si>
  <si>
    <t>Retensi 5% Pembayaran Opname Ke V Pengadaan Kalibrator Turbin Meter dan Rotary Piston di Gudang PGN Klender Inv. 1601,Yopi Yusup</t>
  </si>
  <si>
    <t>(Pengembalian DP), Yopi Yusup</t>
  </si>
  <si>
    <t>BSK251800</t>
  </si>
  <si>
    <t>Pelunasan 50% Pembelian AC LG @3 Unit, Pipa, Ductape, Bobokan, Jasa Pasang dan Jasa Tarik Inv. 029/INV/PMI/IX/2025, PT. Pesona Mitratama</t>
  </si>
  <si>
    <t>PPh 2% Pelunasan 50% Pembelian AC LG @3 Unit, Pipa, Ductape, Bobokan, Jasa Pasang dan Jasa Tarik Inv. 029/INV/PMI/IX/2025, PT. Pesona Mitratama</t>
  </si>
  <si>
    <t>Lebih Bayar PPh 4% Pembayaran Tagihan Pekerjaan Komersil (PK) Sleman Mandor Sugih Inv. 003/25, PT. Pesona Mitratama</t>
  </si>
  <si>
    <t>Biaya Transfer, PT. Pesona Mitratama</t>
  </si>
  <si>
    <t xml:space="preserve">Lalamove Klender - Kantor KSM, Rizqi Auliya Moura </t>
  </si>
  <si>
    <t>BSK251825</t>
  </si>
  <si>
    <t>Pembayaran Opname Ke VI Pengadaan Kalibrator Turbin Meter Dan Rotary Piston Di Gudang PGN Klender Inv.1601, Yopi Yusuf</t>
  </si>
  <si>
    <t>PPh 4% Pembayaran Opname Ke VI Pengadaan Kalibrator Turbin Meter Dan Rotary Piston Di Gudang PGN Klender Inv.1601, Yopi Yusuf</t>
  </si>
  <si>
    <t>Retensi 5% Pembayaran Opname Ke VI Pengadaan Kalibrator Turbin Meter Dan Rotary Piston Di Gudang PGN Klender Inv.1601, Yopi Yusuf</t>
  </si>
  <si>
    <t>EX UMK a.n Yopi Yusuf (Pengembalian DP), Yopi Yusuf</t>
  </si>
  <si>
    <t>Biaya Transfer, Yopi Yusuf</t>
  </si>
  <si>
    <t>BSM250188</t>
  </si>
  <si>
    <t xml:space="preserve">Penerimaan Pengembalian Atas Lebih Bayar PPh 4% Pembayaran Tagihan Pekerjaan Komersil (PK) Sleman Inv.003/25 Mandor Sugih </t>
  </si>
  <si>
    <t>KSM25P076 &amp; KSM25P057</t>
  </si>
  <si>
    <t>JNE, Shavira Akmalia</t>
  </si>
  <si>
    <t xml:space="preserve">Transport Pesawat a.n Adip Trisnanto, Layyinatul, Reli dan Bayhaqy, BSI Hasanah Card </t>
  </si>
  <si>
    <t xml:space="preserve">Hotel a.n Reli Nurfaiz, BSI Hasanah Card </t>
  </si>
  <si>
    <t>BSM250187g</t>
  </si>
  <si>
    <t>Penerimaan Pembayaran 100% Inv. 195/25, PT. Transportasi Gas Indonesia</t>
  </si>
  <si>
    <t>PPN 11% Penerimaan Pembayaran 100% Inv. 195/25, PT. Transportasi Gas Indonesia</t>
  </si>
  <si>
    <t>PPh 2,65% Penerimaan Pembayaran 100% Inv. 195/25, PT. Transportasi Gas Indonesia</t>
  </si>
  <si>
    <t xml:space="preserve">Perlengkapan (Stella, Gas Portable, Spons, Panci, Keset dan Pisau Set) Jargas Sleman, Shavira Akmalia </t>
  </si>
  <si>
    <t xml:space="preserve">Transport Pipa 63 @ 150 Roll Jargas Sleman, Shavira Akmalia </t>
  </si>
  <si>
    <t xml:space="preserve">Pulsa a.n Fomdra (Jargas Sleman), Shavira Akmalia </t>
  </si>
  <si>
    <t xml:space="preserve">Makan Meeting Jargas Sleman, Shavira Akmalia </t>
  </si>
  <si>
    <t xml:space="preserve">Perlengkapan (Sendok Nasi, Teko, Plastik) Jargas Sleman, Shavira Akmalia </t>
  </si>
  <si>
    <t>BSM250147</t>
  </si>
  <si>
    <t xml:space="preserve">Sparepart Motor Sleman, Salisah Hilmiah M </t>
  </si>
  <si>
    <t xml:space="preserve">ATK Sleman (Laminating), Salisah Hilmiah M </t>
  </si>
  <si>
    <t xml:space="preserve">BBM &amp; Gojek Sleman, Salisah Hilmiah M </t>
  </si>
  <si>
    <t xml:space="preserve">Pengiriman Electrofusion Ke Banyuwangi (Jargas Bali), Shavira Akmalia </t>
  </si>
  <si>
    <t>Material (Pipa Duct) Jargas Sleman, Shavira Akmalia</t>
  </si>
  <si>
    <t xml:space="preserve">Perlengkapan (Minyak dan Kecap) Jargas Sleman, Shavira Akmalia </t>
  </si>
  <si>
    <t xml:space="preserve">ATK (Materai, HVS A4, Clip dan PP Pocket) Jargas Sleman, Shavira Akmalia </t>
  </si>
  <si>
    <t xml:space="preserve">Perlengkapan (Air Galon, Gula dan Kopi) Jargas Sleman, Shavira Akmalia </t>
  </si>
  <si>
    <t xml:space="preserve">Pembayaran Lagganan Zoho Forms Periode 25/07/25 - 24/08/25, BSI Hasanah Card </t>
  </si>
  <si>
    <t xml:space="preserve">04002500222749884 - PT Zoho Technologies Indonesia, BSI Hasanah Card </t>
  </si>
  <si>
    <t xml:space="preserve">Pembayaran Google Drive 100GB Project Jargas Sleman, BSI Hasanah Card </t>
  </si>
  <si>
    <t xml:space="preserve">Pembayaran Open AI API Project Jargas Sleman, BSI Hasanah Card </t>
  </si>
  <si>
    <t xml:space="preserve">Pembayaran Supabase - Pro Plan Project Jargas Sleman, BSI Hasanah Card </t>
  </si>
  <si>
    <t xml:space="preserve">Transport Kereta a.n Razak, Sigit, Fondra, Berly, Wahyu, Mustofa, Alifia, Diva, Rikha, Rendra, Cahyo, Ahmad Purwanto, BSI Hasanah Card </t>
  </si>
  <si>
    <t xml:space="preserve">Transport Pesawat a.n Sigit dan Razak, BSI Hasanah Card </t>
  </si>
  <si>
    <t xml:space="preserve">Hotel a.n Yuli Irawati, Fadjar Tri dan Sigit, BSI Hasanah Card </t>
  </si>
  <si>
    <t xml:space="preserve">Material Lapangan (Wiigloss, Thinner, Cat, Tangga, Pipa), Moura  </t>
  </si>
  <si>
    <t xml:space="preserve">JNE Pengiriman Gas Detector, Moura  </t>
  </si>
  <si>
    <t xml:space="preserve">Transport Unloading Pipa Jargas Sleman, Moura  </t>
  </si>
  <si>
    <t xml:space="preserve">Transport Kereta a.n Danang Jargas Sleman, Moura  </t>
  </si>
  <si>
    <t xml:space="preserve">Transport BBM Jargas Sleman, Moura  </t>
  </si>
  <si>
    <t xml:space="preserve">Peralatan (Banner, Keset, Baskom, Plastik, Kipas) Jargas Sleman, Moura  </t>
  </si>
  <si>
    <t>BSK251657</t>
  </si>
  <si>
    <t xml:space="preserve">Pembayaran DO 30% PO 25271 Inv. 031/INV-JMT/VIII/2025, CV. Jasmin Mitra Teknik </t>
  </si>
  <si>
    <t xml:space="preserve">PPh 2% Pembayaran DO 30% PO 25271 Inv. 031/INV-JMT/VIII/2025, CV. Jasmin Mitra Teknik </t>
  </si>
  <si>
    <t xml:space="preserve">Transfer Antar Bank, CV. Jasmin Mitra Teknik </t>
  </si>
  <si>
    <t>BSK251660</t>
  </si>
  <si>
    <t xml:space="preserve">Pembayaran Pengiriman Barang PG Ke Sleman Inv. INV-CFL0800006, PT. Catur Fatih Logistik </t>
  </si>
  <si>
    <t xml:space="preserve">05002500239033514 - Catur Fatih Logistik, PT. Catur Fatih Logistik </t>
  </si>
  <si>
    <t xml:space="preserve">PPh 2% Pembayaran Pengiriman Barang PG Ke Sleman Inv. INV-CFL0800006, PT. Catur Fatih Logistik </t>
  </si>
  <si>
    <t xml:space="preserve">Transfer Antar Bank, PT. Catur Fatih Logistik </t>
  </si>
  <si>
    <t>BSK251662</t>
  </si>
  <si>
    <t xml:space="preserve">Pembayaran PO 25236 Inv. 25007048/PPP/VIII/2025, PT. Padma Panji Pratama </t>
  </si>
  <si>
    <t xml:space="preserve">04002500256438504 - Padma Panji Pratama, PT. Padma Panji Pratama </t>
  </si>
  <si>
    <t xml:space="preserve">Transfer Antar Bank, PT. Padma Panji Pratama </t>
  </si>
  <si>
    <t>BSK251663</t>
  </si>
  <si>
    <t xml:space="preserve">Pembayaran Asuransi EAR No Inv. 000601/DN/08/08/25, Asuransi Asei </t>
  </si>
  <si>
    <t xml:space="preserve">Biaya Transfer, Asuransi Asei </t>
  </si>
  <si>
    <t>BSK251665</t>
  </si>
  <si>
    <t xml:space="preserve">Pembayaran Pengiriman Barang PGN Mojokerto - Dirkit Sleman Inv. 046/INV/AC/IX/2025, Amirrul Sidiq </t>
  </si>
  <si>
    <t xml:space="preserve">PPh 2,5% Pembayaran Pengiriman Barang PGN Mojokerto - Dirkit Sleman Inv. 046/INV/AC/IX/2025, Amirrul Sidiq </t>
  </si>
  <si>
    <t xml:space="preserve">Transfer Antar Bank, Amirrul Sidiq </t>
  </si>
  <si>
    <t>BSK251669</t>
  </si>
  <si>
    <t xml:space="preserve">UMK a.n Herman (Sleman), Herman </t>
  </si>
  <si>
    <t xml:space="preserve">Biaya Transfer, Herman </t>
  </si>
  <si>
    <t>BSK251670</t>
  </si>
  <si>
    <t>UMK a.n Sugiharto (Sleman), Sugiharto</t>
  </si>
  <si>
    <t>Biaya Transfer, Sugiharto (Sleman)</t>
  </si>
  <si>
    <t>BSK251672</t>
  </si>
  <si>
    <t xml:space="preserve">Pembayaran PO 25246 Inv. 340/INV/KSM/VIII/25, PT. Elektra Sinergi Indonesia </t>
  </si>
  <si>
    <t xml:space="preserve">04002500231507319 - Elektra Sinergi Indonesia, PT. Elektra Sinergi Indonesia </t>
  </si>
  <si>
    <t xml:space="preserve">Transfer Antar Bank, PT. Elektra Sinergi Indonesia </t>
  </si>
  <si>
    <t>Pembelian Lemari, Kasur, Kompor Sleman, Rizqi Aulia</t>
  </si>
  <si>
    <t>Makan Meeting Sleman, Rizqi Aulia</t>
  </si>
  <si>
    <t>Transport Pipa 63 Sleman, Rizqi Aulia</t>
  </si>
  <si>
    <t>Makan Sleman, Rizqi Aulia</t>
  </si>
  <si>
    <t>Ganti Ban Motor Sleman, Rizqi Aulia</t>
  </si>
  <si>
    <t>Material Sleman, Rizqi Aulia</t>
  </si>
  <si>
    <t>Perlengkapan Sleman, Rizqi Aulia</t>
  </si>
  <si>
    <t>BBM Sleman, Rizqi Aulia</t>
  </si>
  <si>
    <t>Listrik Sleman, Rizqi Aulia</t>
  </si>
  <si>
    <t>Transport BBM a.n Edi Kurniawan</t>
  </si>
  <si>
    <t>Makan Kantor (Aqua Galon) Jargas Sleman</t>
  </si>
  <si>
    <t>Transport Sosialisasi Padukuhan Kaliwaru Jargas Sleman</t>
  </si>
  <si>
    <t>Transport Unloading Pipa 63 Jargas Sleman</t>
  </si>
  <si>
    <t>Transport BBM a.n Mustofa</t>
  </si>
  <si>
    <t>Pulsa a.n Mustofa</t>
  </si>
  <si>
    <t>Sparepart Motor Jargas Sleman (Ban Tubeless)</t>
  </si>
  <si>
    <t>Perlengkapan (Banner) Jargas Sleman</t>
  </si>
  <si>
    <t>Material (Kaso) Jargas Sleman</t>
  </si>
  <si>
    <t>Konsumsi Meeting Jargas Sleman</t>
  </si>
  <si>
    <t>Unloading Beton Slip Jargas Sleman</t>
  </si>
  <si>
    <t>Pulsa a.n Razak</t>
  </si>
  <si>
    <t>Transport Gojek a.n Ahmad Purwanto</t>
  </si>
  <si>
    <t>Transport BBM a.n Razak</t>
  </si>
  <si>
    <t>transport rikha CGP Sleman</t>
  </si>
  <si>
    <t>Pembelian marker,awas pipa gas tekanan menengah 6" x 500m Jargas Sleman</t>
  </si>
  <si>
    <t>Makan Siang Jargas Sleman dengan Tim CGP &amp; SSR</t>
  </si>
  <si>
    <t>Internet Jargas Sleman</t>
  </si>
  <si>
    <t>Biaya Admin</t>
  </si>
  <si>
    <t>Pembelian Material (Dexcel) Sleman</t>
  </si>
  <si>
    <t>BBM Razak Sleman</t>
  </si>
  <si>
    <t>Terminal Colokan Listrik Sleman</t>
  </si>
  <si>
    <t>JNE Sleman</t>
  </si>
  <si>
    <t xml:space="preserve">Pulsa Berly </t>
  </si>
  <si>
    <t>Sticker Vinyl Sleman</t>
  </si>
  <si>
    <t>UMK Nawawi</t>
  </si>
  <si>
    <t>BBM Mustofa</t>
  </si>
  <si>
    <t>Sarung Tangan Sleman</t>
  </si>
  <si>
    <t xml:space="preserve">BBM Fondra Jargas Sleman, Salisah Hilmiah M </t>
  </si>
  <si>
    <t xml:space="preserve">BBM Motor Sleman, Salisah Hilmiah M </t>
  </si>
  <si>
    <t xml:space="preserve">Keperluan Pantry (Air Mineral dan Kopi), Salisah Hilmiah M </t>
  </si>
  <si>
    <t xml:space="preserve">Listrik Sleman, Salisah Hilmiah M </t>
  </si>
  <si>
    <t xml:space="preserve">JNE Sleman, Salisah Hilmiah M </t>
  </si>
  <si>
    <t>BSK251708</t>
  </si>
  <si>
    <t xml:space="preserve">Makan dan Minum (Rudi dan Ditmet), Rudi Hartono </t>
  </si>
  <si>
    <t xml:space="preserve">Sparepart Non OPS (Cuci Mobil dan Isi Angin), Rudi Hartono </t>
  </si>
  <si>
    <t>Pengiriman Electrofusion Ke Banyuwangi (Jargas Bali)</t>
  </si>
  <si>
    <t>Makan (Kopi, Gula dan Air Galon) Jargas Sleman</t>
  </si>
  <si>
    <t>Transport BBM a.n Panji Jargas Sleman</t>
  </si>
  <si>
    <t>Transport BBM a.n Mustofa Jargas Sleman</t>
  </si>
  <si>
    <t>Transport Inspeksi Material Jargas Sleman</t>
  </si>
  <si>
    <t xml:space="preserve">Material (Police Line) Jargas Sleman, Moura </t>
  </si>
  <si>
    <t xml:space="preserve">Pulsa a.n Danang Jargas Sleman, Moura </t>
  </si>
  <si>
    <t xml:space="preserve">Transport Maxim a.n Danang Jargas Sleman, Moura </t>
  </si>
  <si>
    <t xml:space="preserve">ATK (Tinta Printer, Kertas, Sheet Protector, Cutter, Gunting, Pulpen, Clip) Jargas Sleman, Moura </t>
  </si>
  <si>
    <t xml:space="preserve">Transport BBM Jargas Sleman, Moura </t>
  </si>
  <si>
    <t xml:space="preserve">Makan dan Minum (Air Galon) Jargas Sleman, Moura </t>
  </si>
  <si>
    <t xml:space="preserve">Perlengkapan (Sabun Cuci dan Sabun), Moura </t>
  </si>
  <si>
    <t xml:space="preserve">Transport Kereta a.n Purbo Jargas Sleman, Moura </t>
  </si>
  <si>
    <t>BSM250161</t>
  </si>
  <si>
    <t>Makan CGP, Rizqi Aulia</t>
  </si>
  <si>
    <t>BBM, Rizqi Aulia</t>
  </si>
  <si>
    <t>Perlengkapan Sleman (Sapu, Gembok dll), Rizqi Aulia</t>
  </si>
  <si>
    <t>Snack Meeting, Rizqi Aulia</t>
  </si>
  <si>
    <t>Kirim Barang ke Sleman, Rizqi Aulia</t>
  </si>
  <si>
    <t>Pembelian Beton slab &amp; marker tape, Rizqi Aulia</t>
  </si>
  <si>
    <t>Transport Koordinasi Pabinsa Daerah Pringwulung Jargas Sleman</t>
  </si>
  <si>
    <t>Pembayaran Iuran Sampah Lingkungan Untuk 2 Mess Jargas Sleman</t>
  </si>
  <si>
    <t>Fotocopy Jargas Sleman</t>
  </si>
  <si>
    <t>Transport BBM a.n Eko Yulianto</t>
  </si>
  <si>
    <t>Transport Gocar a.n Diva Arnisa</t>
  </si>
  <si>
    <t>Konsumsi Sosialisasi Aergas KSM (IT, Trace) - CGP Sleman (Siteco, Waspang, Trace)</t>
  </si>
  <si>
    <t>Transport Grabcar a.n Razak</t>
  </si>
  <si>
    <t>BSK251725</t>
  </si>
  <si>
    <t xml:space="preserve">Pembayaran PO 25267 Inv. VSO.25.08-03233, PT. Valvindo Megah </t>
  </si>
  <si>
    <t xml:space="preserve">PPN 11% Pembayaran PO 25267 Inv. VSO.25.08-03233, PT. Valvindo Megah </t>
  </si>
  <si>
    <t xml:space="preserve">Biaya Transfer, PT. Valvindo Megah </t>
  </si>
  <si>
    <t>BSK251727</t>
  </si>
  <si>
    <t>Pembayaran Pengiriman Barang Ke Sleman INV-CFL0800010, PT. Catur Fatih Logistik</t>
  </si>
  <si>
    <t xml:space="preserve">05002500241859080 - Catur Fatih Logistik, PT. Catur Fatih Logistik </t>
  </si>
  <si>
    <t>PPh 2% Pembayaran Pengiriman Barang Ke Sleman INV-CFL0800010, PT. Catur Fatih Logistik</t>
  </si>
  <si>
    <t xml:space="preserve">Biaya Transfer, PT. Catur Fatih Logistik </t>
  </si>
  <si>
    <t>BSK251731</t>
  </si>
  <si>
    <t xml:space="preserve">Pembayaran PO 25273 Inv. 201-INV-PPN-IX-2025, PT. Bhirawa Metal Mandiri </t>
  </si>
  <si>
    <t>04002500269751644 - Bhirawa Metal Mandiri, PT. Bhirawa Metal Mandiri</t>
  </si>
  <si>
    <t xml:space="preserve">Biaya Transfer, PT. Bhirawa Metal Mandiri </t>
  </si>
  <si>
    <t>BSK251732</t>
  </si>
  <si>
    <t xml:space="preserve">Pembayaran PO 25236 Inv. 25007286/PPP/VIII/2025, PT. Padma Panji Pratama </t>
  </si>
  <si>
    <t xml:space="preserve">04002500260673275 - Padma Panji Pratama, PT. Padma Panji Pratama </t>
  </si>
  <si>
    <t xml:space="preserve">Biaya Transfer, PT. Padma Panji Pratama </t>
  </si>
  <si>
    <t>BSK251733</t>
  </si>
  <si>
    <t xml:space="preserve">Pembayaran PO 25248 Inv. 060/MSI/VIII/25M, PT. Mayo Star Indonesia </t>
  </si>
  <si>
    <t xml:space="preserve">04002500250959060 - Mayo Star Indonesia, PT. Mayo Star Indonesia </t>
  </si>
  <si>
    <t xml:space="preserve">Biaya Transfer, PT. Mayo Star Indonesia </t>
  </si>
  <si>
    <t xml:space="preserve">BSK251734 </t>
  </si>
  <si>
    <t>Pembayaran Opname Ke I Pekerjaan Galian dan Instalasi SK / SR Sleman Inv. 001/25, Sugiharto (Sleman)</t>
  </si>
  <si>
    <t>EX UMK Sugiharto (Kasbon), Sugiharto (Sleman)</t>
  </si>
  <si>
    <t>PPh 4% Pembayaran Opname Ke I Pekerjaan Galian dan Instalasi SK / SR Sleman Inv. 001/25, Sugiharto (Sleman)</t>
  </si>
  <si>
    <t>Retensi 5% Pembayaran Opname Ke I Pekerjaan Galian dan Instalasi SK / SR Sleman Inv. 001/25, Sugiharto (Sleman)</t>
  </si>
  <si>
    <t xml:space="preserve">Hotel a.n Edy Nurhamid Amin dan Algany Prabu (CGP Sleman), BSI Hasanah Card </t>
  </si>
  <si>
    <t xml:space="preserve">Transport Kereta a.n Mustofa, Edy Nurhamid Amin, Hadiah Trinoviyanti, Ahmad Purwanto, Alifia, Kelvin Leo dan Razak, BSI Hasanah Card </t>
  </si>
  <si>
    <t xml:space="preserve">Pembayaran Google One 100GB, BSI Hasanah Card </t>
  </si>
  <si>
    <t xml:space="preserve">Pembayaran Supabase - Pro Plan Periode 25 Agustus 2025 s.d 24 September 2025, BSI Hasanah Card </t>
  </si>
  <si>
    <t>Transport BBM a.n Kelvin Jargas Sleman, Shavira Akmalia</t>
  </si>
  <si>
    <t>Transport BBM a.n Berly Jargas Sleman, Shavira Akmalia</t>
  </si>
  <si>
    <t>Konsumsi Pengetesan Pipa Jargas Sleman, Shavira Akmalia</t>
  </si>
  <si>
    <t>Konsumsi Sosialisasi Jargas Sleman, Shavira Akmalia</t>
  </si>
  <si>
    <t>Perlengkapan (Stiker Kompor Gas) Jargas Sleman, Shavira Akmalia</t>
  </si>
  <si>
    <t>Transport Toll a.n Berly Yanuari (Jargas Sleman), Shavira Akmalia</t>
  </si>
  <si>
    <t>Transport BBM a.n Panji Jargas Sleman, Shavira Akmalia</t>
  </si>
  <si>
    <t xml:space="preserve">ATK Sleman (Block Note &amp; Laminating), Salisah Hilmiah M </t>
  </si>
  <si>
    <t xml:space="preserve">Keperluan Pantry (Air Mineral) Sleman, Salisah Hilmiah M </t>
  </si>
  <si>
    <t xml:space="preserve">Konsumsi Kegiatan Gas in Sleman, Salisah Hilmiah M  </t>
  </si>
  <si>
    <t xml:space="preserve">Makan Lembur Tim Operator @2 Orang dan Tim PIC @4 Orang Jargas Sleman, Adinda Naufianti </t>
  </si>
  <si>
    <t>ATK (Surat Jalan) Jargas Sleman, Adinda Naufianti</t>
  </si>
  <si>
    <t xml:space="preserve">Transport BBM a.n Kelvin Leo, Adinda Naufianti </t>
  </si>
  <si>
    <t xml:space="preserve">Transport Gracar a.n Razak, Adinda Naufianti </t>
  </si>
  <si>
    <t xml:space="preserve">Transport Toll a.n Razak, Adinda Naufianti </t>
  </si>
  <si>
    <t xml:space="preserve">Perlengkapan Pantry (Gas, Aqua Galon, Pembersih Kaca, Kopi, Gula) Sleman, Adinda Naufianti </t>
  </si>
  <si>
    <t xml:space="preserve">Transport BBM a.n Fondra, Adinda Naufianti </t>
  </si>
  <si>
    <t>Sparepart Motor (Aki Mesin) Jargas Sleman</t>
  </si>
  <si>
    <t>Makan dengan Site Co, Perizinan dan CGP (Kegiatan MWT) Jargas Sleman</t>
  </si>
  <si>
    <t>Pembayaran PO 25291 Stiker PGN Rora Percetakan</t>
  </si>
  <si>
    <t>Pembayaran PNBP UTTP Meter Gas Diafragma G4 No. T-2930-09-2025</t>
  </si>
  <si>
    <t>Material (Meteran) Jargas Sleman</t>
  </si>
  <si>
    <t>Transport Gocar a.n Diva (Submit Dokumen) Jargas Sleman</t>
  </si>
  <si>
    <t>Transport BBM a.n Ahmad Nailal Jargas Sleman</t>
  </si>
  <si>
    <t>Transport BBM a.n Eko Jargas Sleman</t>
  </si>
  <si>
    <t>Perlengkapan (Pengharum) Jargas Sleman</t>
  </si>
  <si>
    <t xml:space="preserve">Pembayaran PO 25311 Jargas Sleman, Moura </t>
  </si>
  <si>
    <t xml:space="preserve">PPN 11% Pembayaran PO 25311 Jargas Sleman, Moura </t>
  </si>
  <si>
    <t xml:space="preserve">ATK (Banner) Jargas Sleman, Moura </t>
  </si>
  <si>
    <t xml:space="preserve">UMK a.n Razak (Pettycash Jargas Sleman), Moura </t>
  </si>
  <si>
    <t>Pembelian Kaso 70btg Sleman, Rizqi Aulia</t>
  </si>
  <si>
    <t>Pembelian Paku 3kg Sleman, Rizqi Aulia</t>
  </si>
  <si>
    <t>Jilid Dokumen Sleman, Rizqi Aulia</t>
  </si>
  <si>
    <t>Pembelian Perlengkapan Sleman (Aqua, Gula, Tisu, Sabun, Kopi), Rizqi Aulia</t>
  </si>
  <si>
    <t>BSK251772</t>
  </si>
  <si>
    <t xml:space="preserve">Pembayaran PO 25257 Inv. 25007615/PPP/VII/2025, PT. Padma Panji Pratama </t>
  </si>
  <si>
    <t xml:space="preserve">04002500271321505 - Padma Panji Pratama, PT. Padma Panji Pratama </t>
  </si>
  <si>
    <t>BSK251782</t>
  </si>
  <si>
    <t xml:space="preserve">Pembayaran Tagihan Pekerjaan Komersil (PK) Sleman Mandor Sugih Inv. 003/25 </t>
  </si>
  <si>
    <t xml:space="preserve">PPh 4% Pembayaran Tagihan Pekerjaan Komersil (PK) Sleman Mandor Sugih Inv. 003/25 </t>
  </si>
  <si>
    <t xml:space="preserve">Kurang Bayar PPh 4% Pembayaran Tagihan Pekerjaan Komersil (PK) Sleman Mandor Sugih Inv. 003/25 </t>
  </si>
  <si>
    <t>Minum a.n Rafi, Yudi, Faisal &amp; Adi</t>
  </si>
  <si>
    <t xml:space="preserve">Plastik Klip Untuk Sleman, Salisah Hilmiah M </t>
  </si>
  <si>
    <t xml:space="preserve">Biaya Pengiriman Fitting Sleman (KAI Logistic), Salisah Hilmiah M </t>
  </si>
  <si>
    <t xml:space="preserve">Transport Irman dari Sleman-Bekasi, Salisah Hilmiah M </t>
  </si>
  <si>
    <t>Transport Maxim a.n Berly Jargas Sleman, Moura</t>
  </si>
  <si>
    <t>ATK (Banner HSE) Jargas Sleman, Moura</t>
  </si>
  <si>
    <t>Listrik Dirkit Sleman, Salisah Hilmiah M</t>
  </si>
  <si>
    <t>UMK Razak, Salisah Hilmiah M</t>
  </si>
  <si>
    <t>Air Mineral Sleman, Salisah Hilmiah M</t>
  </si>
  <si>
    <t>BBM Sleman, Salisah Himiah M</t>
  </si>
  <si>
    <t>ATK (Laminating Dokumen) Sleman, Salisah Hilmiah M</t>
  </si>
  <si>
    <t xml:space="preserve">Hotel Razak, Fondra, Eko, Salisah Hilmiah M </t>
  </si>
  <si>
    <t>Pengiriman Dokumen Jargas Sleman</t>
  </si>
  <si>
    <t>Pembayaran Sewa Lahan Selama 1 Bulan Jargas Sleman</t>
  </si>
  <si>
    <t>PPh 10% Pembayaran Sewa Lahan Selama 1 Bulan Jargas Sleman</t>
  </si>
  <si>
    <t>JNT (Kirim Nota) Jargas Sleman</t>
  </si>
  <si>
    <t>Sparepart Kendaraan (Rem Motor) Jargas Sleman</t>
  </si>
  <si>
    <t>Transport BBM a.n Kelvin Jargas Sleman</t>
  </si>
  <si>
    <t>Makan HSE Meeting dan Evaluasi CSMS Jargas Sleman</t>
  </si>
  <si>
    <t>Perlengkapan (Kopi, Gula dan Air Galon) Jargas Sleman</t>
  </si>
  <si>
    <t>Transport BBM a.n Edi Jargas Sleman</t>
  </si>
  <si>
    <t>BSK251806</t>
  </si>
  <si>
    <t>Pembayaran Opname Ke 03 Jargas Sleman Inv.001/SPK/KSM.CGP5/VII/2025 Periode 8 sd 21 September 2025, Sugiharto</t>
  </si>
  <si>
    <t>Retensi 5% Pembayaran Opname Ke 03 Jargas Sleman Inv.001/SPK/KSM.CGP5/VII/2025 Periode 8 sd 21 September 2025, Sugiharto</t>
  </si>
  <si>
    <t>PPh 4% Pembayaran Opname Ke 03 Jargas Sleman Inv.001/SPK/KSM.CGP5/VII/2025 Periode 8 sd 21 September 2025, Sugiharto</t>
  </si>
  <si>
    <t>Transfer Antar Bank, Sugiharto</t>
  </si>
  <si>
    <t>BSK251812</t>
  </si>
  <si>
    <t>Pembayaran Pelunasan PO 25236 Inv.25007727/PPP/VIII/2025, PT.Padma Panji Pratama</t>
  </si>
  <si>
    <t>PPN 04002500271501800, PT.Padma Panji Pratama</t>
  </si>
  <si>
    <t>Biaya Transfer, PT.Padma Panji Pratama</t>
  </si>
  <si>
    <t>BSK251816</t>
  </si>
  <si>
    <t>Pembayaran Pengiriman Barang Ke Sleman (KSM25P093) Inv.CFL0800032, PT.Catur Fatih Logistik</t>
  </si>
  <si>
    <t>KSM25P093 &amp; KSM24P118</t>
  </si>
  <si>
    <t>PPN 05002500263776357, PT.Catur Fatih Logistik</t>
  </si>
  <si>
    <t>PPh 2% Pembayaran Pengiriman Barang Ke Sleman (KSM25P093) &amp; Semarang (KSM24P118) Inv.CFL0800032, PT.Catur Fatih Logistik</t>
  </si>
  <si>
    <t>BSK251817</t>
  </si>
  <si>
    <t>Pembayaran PO 25265 Inv.372, PT.Elektra Sinergi Indonesia</t>
  </si>
  <si>
    <t>PPN 04002500264203933, PT.Elektra Sinergi Indonesia</t>
  </si>
  <si>
    <t>Transfer Antar Bank, PT.Elektra Sinergi Indonesia</t>
  </si>
  <si>
    <t>BSK251819</t>
  </si>
  <si>
    <t>Pembayaran Pengiriman Barang Inv.1386, CV.Sarana Pratama Expressindo</t>
  </si>
  <si>
    <t>PPh 2% Pembayaran Pengiriman Barang Inv.1386, CV.Sarana Pratama Expressindo</t>
  </si>
  <si>
    <t>Pembayaran Pengiriman Barang Inv.1388, CV.Sarana Pratama Expressindo</t>
  </si>
  <si>
    <t>PPh 2% Pembayaran Pengiriman Barang Inv.1388, CV.Sarana Pratama Expressindo</t>
  </si>
  <si>
    <t xml:space="preserve">Makan Meeting Koordinasi Aergas, Rizqi Auliya Moura  </t>
  </si>
  <si>
    <t xml:space="preserve">Software Development Aergas, Rizqi Auliya Moura  </t>
  </si>
  <si>
    <t xml:space="preserve">Transport BBM a.n Rendra dan Husin, Rizqi Auliya Moura </t>
  </si>
  <si>
    <t>BSK251827</t>
  </si>
  <si>
    <t>Makan Lembur Jargas Sleman (Rafi), Eko Waluyo</t>
  </si>
  <si>
    <t>BSK251837</t>
  </si>
  <si>
    <t>Transport a.n Yayat (CGP) Pekerjaan Jargas Sleman, Agung Sulistyono</t>
  </si>
  <si>
    <t>Material Lapangan (Broco), Agung Sulistyono</t>
  </si>
  <si>
    <t>Makan &amp; Minum (Reli,Agung,Yayat PGN,Saiful PGN), Agung Sulistyono</t>
  </si>
  <si>
    <t>BSM250187i</t>
  </si>
  <si>
    <t>Transport BBM a.n Edi Kurniawan, Adinda Naufianti</t>
  </si>
  <si>
    <t>Perlengkapan (Pembersih Kaca, Tissue, Sunlight, Superpel, Porstex) Jargas Sleman, Adinda Naufianti</t>
  </si>
  <si>
    <t>Makan Kantor (Aqua Galon, Kopi) Jargas Sleman, Adinda Naufianti</t>
  </si>
  <si>
    <t>Transport BBM a.n Fondra, Adinda Naufianti</t>
  </si>
  <si>
    <t>Konsumsi Meeting Sosialisasi Aplikasi Jargas Sleman, Adinda Naufianti</t>
  </si>
  <si>
    <t>ATK (Batu Baterai) Jargas Sleman, Adinda Naufianti</t>
  </si>
  <si>
    <t>Transport BBM a.n Danang, Adinda Naufianti</t>
  </si>
  <si>
    <t>Konsumsi Untuk Pengetesan Pipa 63 Padukuhan Manggung Barat Bersama CGP, Adinda Naufianti</t>
  </si>
  <si>
    <t>BBM Motor Sleman, Salisah Hilmiah</t>
  </si>
  <si>
    <t>konsumsi Sleman pengetesan bersama CGP (pedukuhan kocoran), Salisah Hilmiah</t>
  </si>
  <si>
    <t>BBM motor operasional Sleman, Salisah Hilmiah</t>
  </si>
  <si>
    <t>pengiriman dokumen ke jakarta (Alif) dan SBY (kantor pusat CGP) (JNE), Salisah Hilmiah</t>
  </si>
  <si>
    <t>Pembelian Material Sleman (Pressure Gauge,Bushing), Salisah Hilmiah</t>
  </si>
  <si>
    <t>Internet Fondra Sleman, Salisah Hilmiah</t>
  </si>
  <si>
    <t>Pembelian 2 Way Manifold Sleman, Salisah Hilmiah</t>
  </si>
  <si>
    <t>Pembelian Tiket Kereta CGP a.n Tri (Sleman-Jakarta) Kegiatan FAT, Salisah Hilmiah</t>
  </si>
  <si>
    <t>Hotel Tri Kegiatan FAT, Salisah Hilmiah</t>
  </si>
  <si>
    <t>Makan Meeting Jargas Sleman, Shavira Akmalia</t>
  </si>
  <si>
    <t>BSM250192</t>
  </si>
  <si>
    <t>Penerimaan Pengembalian Dana Pembelian 2 Way Manifold Sleman, Salisah H</t>
  </si>
  <si>
    <t>KK250224</t>
  </si>
  <si>
    <t>Pembayaran PO 25223 Inv. 157 USD 618 @ 16.485, Tormene Industriale Srl</t>
  </si>
  <si>
    <t>Biaya Transfer USD 25 @ 16.485, Tormene Industriale Srl</t>
  </si>
  <si>
    <t>BK250148</t>
  </si>
  <si>
    <t>Pembayaran PO 25358 Inv.20000026 EUR 273,81 @ 19.515, Banides Sas</t>
  </si>
  <si>
    <t>Biaya Transfer USD 35 @ 16.755, Banides Sas</t>
  </si>
  <si>
    <t>BSM250192a</t>
  </si>
  <si>
    <t>Makan KSO dan ITDC Bali, Rizky Aulia</t>
  </si>
  <si>
    <t>Gobox Tabung N2 Bali, Rizky Aulia</t>
  </si>
  <si>
    <t>Biaya Transfer, Rizky Aulia</t>
  </si>
  <si>
    <t>Gocar Amry Bandara-Kantor Bali, Rizky Aulia</t>
  </si>
  <si>
    <t>Pengisian N2 @ 10 Tbg Bali, Rizky Aulia</t>
  </si>
  <si>
    <t>BSK251856</t>
  </si>
  <si>
    <t>Pembayaran PO 25278 Inv.391/INV/KSM/IX/25, PT.Elektra Sinergi Indonesia</t>
  </si>
  <si>
    <t>PPN 04002500273464829, PT.Elektra Sinergi Indonesia</t>
  </si>
  <si>
    <t>KSM24P006 &amp; KSM24P124</t>
  </si>
  <si>
    <t>BSM250194a</t>
  </si>
  <si>
    <t>Pembelian Token Listrik Jargas Bali, Adinda Naufianti Fadli</t>
  </si>
  <si>
    <t>BSK251904</t>
  </si>
  <si>
    <t>Transport Kapal Penyebrangan Gilimanuk-Ketapang, Rudi Hartono</t>
  </si>
  <si>
    <t>Makan &amp; Minum (ITDC Nes, Air Galon,Gula), Rudi Hartono</t>
  </si>
  <si>
    <t>Material Lapangan (Bata Merah), Rudi Hartono</t>
  </si>
  <si>
    <t>Laundry, Rudi Hartono</t>
  </si>
  <si>
    <t>Sparepart (Isi Ban), Rudi Hartono</t>
  </si>
  <si>
    <t>BSK251923</t>
  </si>
  <si>
    <t>Makan Lembur Jargas Bali (Rudi,Slamet), Eko Waluyo</t>
  </si>
  <si>
    <t>BSM250199</t>
  </si>
  <si>
    <t>Token Listrik Jargas Bali, Moura</t>
  </si>
  <si>
    <t>Biaya Admin, Moura</t>
  </si>
  <si>
    <t>BSM250200</t>
  </si>
  <si>
    <t>Transport Pekerjaan Tambah Galian Jargas Bali, Shavira Akmalia</t>
  </si>
  <si>
    <t>Pembayaran Listrik Mess Jargas Bali, Shavira Akmalia</t>
  </si>
  <si>
    <t>BSK251929</t>
  </si>
  <si>
    <t>Material a.n Yuanita (Fee)</t>
  </si>
  <si>
    <t>BSM250201a</t>
  </si>
  <si>
    <t>Penginapan a.n Adit dan Didin Selama 1 Bulan, Adinda Naufianti Fadli</t>
  </si>
  <si>
    <t>BSM250201g</t>
  </si>
  <si>
    <t>Listrik Mess Bali, Salisah</t>
  </si>
  <si>
    <t>Pembelian Material Bali (Pasir,Batako,Ember), Salisah</t>
  </si>
  <si>
    <t>BSM250201i</t>
  </si>
  <si>
    <t>Makan &amp; Minum (Air Galon), Rudi Hartono</t>
  </si>
  <si>
    <t>BSM250203</t>
  </si>
  <si>
    <t>Pelunasan Transport Galian Jargas Bali, Salisah</t>
  </si>
  <si>
    <t>BBM a.n Didin Jargas Bali, Salisah</t>
  </si>
  <si>
    <t>Laundry a.n Didin Jargas Bali, Salisah</t>
  </si>
  <si>
    <t>ATK (Fotocopy,Map,Lem,Pulpen) a.n Didin Jargas Bali, Salisah</t>
  </si>
  <si>
    <t>BSM250204</t>
  </si>
  <si>
    <t>Makan Dengan ITDC &amp; NES Jargas Bali, Shavira Akmalia</t>
  </si>
  <si>
    <t>BSM250205</t>
  </si>
  <si>
    <t>Pulsa a.n Dede Jargas Bali, Moura</t>
  </si>
  <si>
    <t>BSM250205b</t>
  </si>
  <si>
    <t>Pembayaran Sewa Motor Selama 1 Bulan Jargas Bali, I Kadek Arsana, Adinda Naufianti Fadli</t>
  </si>
  <si>
    <t>PPh 2% Sewa Motor Selama 1 Bulan Jargas Bali, I Kadek Arsana, Adinda Naufianti Fadli</t>
  </si>
  <si>
    <t>Biaya Transfer, Adinda Naufianti Fadli</t>
  </si>
  <si>
    <t>Transport Tiket Bus a.n Didin, Adinda Naufianti Fadli</t>
  </si>
  <si>
    <t>BSK251991</t>
  </si>
  <si>
    <t>Transport Kapal Penyebrangan, M.Nur Slamet</t>
  </si>
  <si>
    <t>Transport Bus Bandara-Bandung, M.Nur Slamet</t>
  </si>
  <si>
    <t>Transport BBM, M.Nur Slamet</t>
  </si>
  <si>
    <t>Transport Toll, M.Nur Slamet</t>
  </si>
  <si>
    <t>Transport Parkir, M,Nur Slamet</t>
  </si>
  <si>
    <t>Transport Travel Bandung-Bekasi, M.Nur Slamet</t>
  </si>
  <si>
    <t>Makan &amp; Minum (ITDC &amp; Nes Overtime), M.Nur Slamet</t>
  </si>
  <si>
    <t>Peralatan &amp; Perlengkapan (Semprotan,Sunlight,Lem Dextone,Mata Gerinda), M.Nur Slamet</t>
  </si>
  <si>
    <t>Laundry, M.Nur Slamet</t>
  </si>
  <si>
    <t>BK250149</t>
  </si>
  <si>
    <t>Pembayaran PO 25296 Inv.PSI048595 USD 9.726,03 @ 16.755, Canalta Control Ltd</t>
  </si>
  <si>
    <t>Biaya Transfer USD 25 @ 16.755, Canalta Control Ltd</t>
  </si>
  <si>
    <t>BSK251863</t>
  </si>
  <si>
    <t>Bea Masuk PO 25296 Inv.D000569899, PT.Birotika Semesta</t>
  </si>
  <si>
    <t>PPN Import PO 25296 Inv.D000569899, PT.Birotika Semesta</t>
  </si>
  <si>
    <t>PPH Import PO 25296 Inv.D000569899, PT.Birotika Semesta</t>
  </si>
  <si>
    <t>Pembayaran Shipment PO 25296 Inv.D000569899, PT.Birotika Semesta</t>
  </si>
  <si>
    <t>PPN Shipment PO 25296 Inv.D000569899, PT.Birotika Semesta</t>
  </si>
  <si>
    <t>PPh 2% Shipment PO 25296 Inv.D000569899, PT.Birotika Semesta</t>
  </si>
  <si>
    <t>BSK251889</t>
  </si>
  <si>
    <t>Pembayaran PO 25290 Inv.DF/INV/25/09/00077, CV.Dwi Filter</t>
  </si>
  <si>
    <t>PPN Pembayaran PO 25290 Inv.DF/INV/25/09/00077, CV.Dwi Filter</t>
  </si>
  <si>
    <t>Biaya Transfer, CV.Dwi Filter</t>
  </si>
  <si>
    <t>BSK251975</t>
  </si>
  <si>
    <t>Pembayaran Shipment PO 25296 Inv.JKTIR00918312, PT.Birotika Semesta</t>
  </si>
  <si>
    <t>PPN Pembayaran Shipment PO 25296 Inv.JKTIR00918312, PT.Birotika Semesta</t>
  </si>
  <si>
    <t>PPh 2% Pembayaran Shipment PO 25296 Inv.JKTIR00918312, PT.Birotika Semesta</t>
  </si>
  <si>
    <t>Transfer Bank, PT.Birotika Semesta</t>
  </si>
  <si>
    <t>BK250124</t>
  </si>
  <si>
    <t>Transport Uang Harian (Belanda) 1 orang x (9 Hari x USD 368 + 1 Hari 40% x USD 368) @16.460 No. TU-4252-04-2025, Direktorat Jenderal Perlindungan Konsumen dan Tertib Niaga Direktorat Metrologi</t>
  </si>
  <si>
    <t>Biaya Transfer Transport Uang Harian (Belanda) 1 orang x (1 Hari 40% x USD 368) @16.460 No. TU-4252-04-2025, Direktorat Jenderal Perlindungan Konsumen dan Tertib Niaga Direktorat Metrologi</t>
  </si>
  <si>
    <t>Biaya Transfer Transport Uang Harian (Belanda) 1 orang x (9 Hari x USD 368) @16.460 No. TU-4252-04-2025, Direktorat Jenderal Perlindungan Konsumen dan Tertib Niaga Direktorat Metrologi</t>
  </si>
  <si>
    <t>BK250125</t>
  </si>
  <si>
    <t>Transport Uang Harian (Belanda) 1 orang x (9 Hari x USD 368 + 1 Hari 40% x USD 368) @16.460 No. P-1201-04-2025, Direktorat Jenderal Perlindungan Konsumen dan Tertib Niaga Direktorat Metrologi</t>
  </si>
  <si>
    <t>Biaya Transfer Transport Uang Harian (Belanda) 1 orang x (1 Hari 40% x USD 368) @16.460 No. P-1201-04-2025, Direktorat Jenderal Perlindungan Konsumen dan Tertib Niaga Direktorat Metrologi</t>
  </si>
  <si>
    <t>Biaya Transfer Transport Uang Harian (Belanda) 1 orang x (9 Hari x USD 368) @16.460 No. P-1201-04-2025, Direktorat Jenderal Perlindungan Konsumen dan Tertib Niaga Direktorat Metrologi</t>
  </si>
  <si>
    <t>BK250144</t>
  </si>
  <si>
    <t>Pembayaran PO 25038 Inv.25010448 EUR 37.319,85 @ 19.805, Euroloop Calibrations B.V</t>
  </si>
  <si>
    <t>Biaya Transfer USD 35 @ 16.805, Euroloop Calibrations B.V</t>
  </si>
  <si>
    <t>BSK251858</t>
  </si>
  <si>
    <t>Pembayaran Shipment P1 PO 25038 Inv.049, PT.Kartika Eka Yudha Maritim</t>
  </si>
  <si>
    <t>PPN 040.005-25.59149602, PT.Kartika Eka Yudha Maritim, PT.Kartika Eka Yudha Maritim</t>
  </si>
  <si>
    <t>PPh 2% Pembayaran Shipment P1 PO 25038 Inv.049, PT.Kartika Eka Yudha Maritim</t>
  </si>
  <si>
    <t>Pembayaran Shipment P2 PO 25038 Inv.0411, PT.Kartika Eka Yudha Maritim</t>
  </si>
  <si>
    <t>PPN 050.005-25.59149603, PT.Kartika Eka Yudha Maritim</t>
  </si>
  <si>
    <t>PPh 2% Pembayaran Shipment P2 PO 25038 Inv.0411, PT.Kartika Eka Yudha Maritim</t>
  </si>
  <si>
    <t>Pembayaran Warehouse Cost PO 25038 Inv.0356, PT.Kartika Eka Yudha Maritim</t>
  </si>
  <si>
    <t>PPN 04002500139419876, Handal Jaya Service, PT.Kartika Eka Yudha Maritim</t>
  </si>
  <si>
    <t>PPh 2% Pembayaran Warehouse Cost PO 25038 Inv.0356, PT.Kartika Eka Yudha Maritim</t>
  </si>
  <si>
    <t>BSK251884</t>
  </si>
  <si>
    <t>PPN Import PO 25038, Direktorat Jenderal Bea &amp; Cukai</t>
  </si>
  <si>
    <t>PPH Import PO 25038, Direktorat Jenderal Bea &amp; Cukai</t>
  </si>
  <si>
    <t>BSM250197</t>
  </si>
  <si>
    <t>Lalamove Material, Adinda Naufianti Fadli</t>
  </si>
  <si>
    <t>Perlengkapan (Banner), Adinda Naufianti Fadli</t>
  </si>
  <si>
    <t>BSM250199a</t>
  </si>
  <si>
    <t>Pembelian Malecone TGI Duri 2, Rizqi Aulia</t>
  </si>
  <si>
    <t>Pembelian Sock TGI Duri 2, Rizqi Aulia</t>
  </si>
  <si>
    <t>Pembelian Kunci Torsi, Rizqi Aulia</t>
  </si>
  <si>
    <t>Pembelian Snoop Leak Test Tokopedia, Rizqi Aulia</t>
  </si>
  <si>
    <t xml:space="preserve">Perlengkapan (Majun), Shavira Akmalia </t>
  </si>
  <si>
    <t>Calibrasi Max XTII MA224-009328 No.430.25 PT.Buana Pandu Cahaya, Shavira Akmalia</t>
  </si>
  <si>
    <t>04002500323566567, PT.Buana Pandu Cahaya, Shavira Akmalia</t>
  </si>
  <si>
    <t>PPh 2% Calibrasi Max XTII MA224-009328 No.430.25 PT.Buana Pandu Cahaya, Shavira Akmalia</t>
  </si>
  <si>
    <t>Lalamove, Shavira Akmalia</t>
  </si>
  <si>
    <t>Transport Toll Lalamove Project CL, Shavira Akmalia</t>
  </si>
  <si>
    <t>Transport Parkir Lalamove, Shavira Akmalia</t>
  </si>
  <si>
    <t>Pembayaran Sewa Mobil Xpander Selama 1 Bulan a.n Rahman, Fauzan Arif Baren Fandi, Adinda Naufianti Fadli</t>
  </si>
  <si>
    <t>PPh 2% Sewa Mobil Xpander Selama 1 Bulan a.n Rahman, Fauzan Arif Baren Fandi, Adinda Naufianti Fadli</t>
  </si>
  <si>
    <t>UMK Reli Nurfaiz (KSM24P047), Adinda Naufianti Fadli</t>
  </si>
  <si>
    <t>Hotel a.n Bayhaqi,Arief,Rahman,Reli, Salisah</t>
  </si>
  <si>
    <t>Transport Gojek &amp; KAI a.n Bayhaqi, Salisah</t>
  </si>
  <si>
    <t>Makan Dengan Tim TGI @ 15 Org, Shavira Akmalia</t>
  </si>
  <si>
    <t>Penginapan a.n Dio Nesta &amp; Driver TGI, Shavira Akmalia</t>
  </si>
  <si>
    <t>Hotel a.n Sutarno &amp; Cahyo Triyogo, Shavira Akmalia</t>
  </si>
  <si>
    <t>BSK251979</t>
  </si>
  <si>
    <t>Pembuatan Amand (Premi Bank Garansi) Jaminan Pelaksanaan TGI Wetcal Duri 2 Inv.422/DA/X/RAM/25, PT.Rinajani Artha Megah</t>
  </si>
  <si>
    <t>Transfer Bank, PT.Rinjani Artha Megah</t>
  </si>
  <si>
    <t>Peralatan &amp; Perlengkapan (Kacamata Safety,Grease,Lakban &amp; Papan Ujian), Moura</t>
  </si>
  <si>
    <t>Makan &amp; Minum (Rahman &amp; TGI), Moura</t>
  </si>
  <si>
    <t>Pembayaran PO 25370 Inv.ID-100182, Moura</t>
  </si>
  <si>
    <t>PPN Pembayaran PO 25370 Inv.ID-100182, Moura</t>
  </si>
  <si>
    <t>PPh 2% Pembayaran PO 25370 Inv.ID-100182, Moura</t>
  </si>
  <si>
    <t>Konsumsi Meeting dengan TGI, Adinda Naufianti Fadli</t>
  </si>
  <si>
    <t>Hotel a.n Driver Pak Cahyo, Adinda Naufianti Fadli</t>
  </si>
  <si>
    <t>Makan a.n Cahyo Triyogo, Sutarno dengan TGI, Adinda Naufianti Fadli</t>
  </si>
  <si>
    <t>BSK251990</t>
  </si>
  <si>
    <t>Transport Grab Rumah-Bandara, M.Rahman</t>
  </si>
  <si>
    <t>Transport Parkir, M.rahman</t>
  </si>
  <si>
    <t>Makan &amp; Minum (Rahman,Bayhaqi,Reli,Arief,TGI), M.Rahman</t>
  </si>
  <si>
    <t>Peralatan &amp; Perlengkapan (Print,Kertas A4), M.Rahman</t>
  </si>
  <si>
    <t>Laundry, M.Rahman</t>
  </si>
  <si>
    <t>Listrik, M.Rahman</t>
  </si>
  <si>
    <t>Sparepart (Tambal Dalam Hotpress &amp; Peniti Ban Tubless), M.Rahman</t>
  </si>
  <si>
    <t>BSK251994</t>
  </si>
  <si>
    <t>Transport Taxi, Cahyo Triyogo</t>
  </si>
  <si>
    <t>Transport E-Toll, Cahyo Triyogo</t>
  </si>
  <si>
    <t>Makan &amp; Minum (Cahyo &amp; Sutarno), Cahyo Triyogo</t>
  </si>
  <si>
    <t>Biaya Transfer, Cahyo Triyogo</t>
  </si>
  <si>
    <t>BSK251998</t>
  </si>
  <si>
    <t>Makan Lembur TGI Wetcall (Arfa,Amry,Bayu), Eko Waluyo</t>
  </si>
  <si>
    <t>BK250133</t>
  </si>
  <si>
    <t xml:space="preserve">Pembayaran PO 25096 Inv. 11A14-26849 EUR 99,28 @19.403, RMG Messtechnik GmbH </t>
  </si>
  <si>
    <t>JNE Kirim Dokumen, Adinda Naufianti Fadli</t>
  </si>
  <si>
    <t>BSK251934</t>
  </si>
  <si>
    <t>Pembuatan BG Jampel Pekerjaan Wet Calibration Ultrasonic Flow Meter (USM) Petro Kimia Gresik Inv.406, PT.Rinjani Artha Megah</t>
  </si>
  <si>
    <t>Transfer Antar Bank, PT.Rinjani Artha Megah</t>
  </si>
  <si>
    <t>Transport Docont Pondok Ungu, Rizky Aulia</t>
  </si>
  <si>
    <t>KK250238</t>
  </si>
  <si>
    <t>KSM24P166, KSM24P168, KSM25P020, KSM25P021</t>
  </si>
  <si>
    <t>BSK251908</t>
  </si>
  <si>
    <t>Pembayaran PO 25308 Inv.INV-190925-SJ-5, PT.Sami Jaya Instrument (Dzaki Saniyyah Nurman)</t>
  </si>
  <si>
    <t>Kertas Concorde &amp; Continous Form, Rizqi Aulia</t>
  </si>
  <si>
    <t>BSK251943</t>
  </si>
  <si>
    <t>Pembayaran PO 25295 Inv.3S/INV/25-09/445, PT.3S International</t>
  </si>
  <si>
    <t>PPN 04002500287774045, PT.3S International</t>
  </si>
  <si>
    <t>Transfer Antar Bank, PT.3S International</t>
  </si>
  <si>
    <t xml:space="preserve">BSM250201d </t>
  </si>
  <si>
    <t xml:space="preserve">Penerimaan Inv. 185 PT. Surya Energi Parahita </t>
  </si>
  <si>
    <t>Bea Masuk PO 25288 Direktorat Jenderal Bea &amp; Cukai, Shavira Akmalia</t>
  </si>
  <si>
    <t>PPN Import PO 25288 Direktorat Jenderal Bea &amp; Cukai, Shavira Akmalia</t>
  </si>
  <si>
    <t>PPH Import PO 25288 Direktorat Jenderal Bea &amp; Cukai, Shavira Akmalia</t>
  </si>
  <si>
    <t>BSEK250012</t>
  </si>
  <si>
    <t>Pembayaran Penurunan Pokok atas Pembiayaan Pekerjaan Wet Calibration Ultrasonic Duri 2 Metering Station Project KSM24P047, BSI</t>
  </si>
  <si>
    <t>Bagi Hasil atas Pembiayaan Pekerjaan Wet Calibration Ultrasonic Duri 2 Metering Station Project KSM24P047, BSI</t>
  </si>
  <si>
    <t>BSM250193</t>
  </si>
  <si>
    <t>Makan &amp; Minum Workshop Klender a.n Dio Nesta (CSMS Bersama PGN &amp; PGASOL), Moura</t>
  </si>
  <si>
    <t>BSK251875</t>
  </si>
  <si>
    <t>Transport Gojek, Dio Nesta Herdiansyah</t>
  </si>
  <si>
    <t>Gosend Kirim Document, Dio Nesta Herdiansyah</t>
  </si>
  <si>
    <t>Makan &amp; Minum (Kegiatan Pelaksanaan Evaluasi CSMS), Dio Nesta Herdiansyah</t>
  </si>
  <si>
    <t>BSM250197b</t>
  </si>
  <si>
    <t>Makan PMO Klender, Rizqi Aulia</t>
  </si>
  <si>
    <t>BSK251909</t>
  </si>
  <si>
    <t>Pembayaran Pelunasan 50% PO 25295 PI Inv.2025/SVT/PI-010-038, PT.Savont Varavi Indonesia</t>
  </si>
  <si>
    <t>PPN Pembayaran Pelunasan 50% PO 25295 PI Inv.2025/SVT/PI-010-038, PT.Savont Varavi Indonesia</t>
  </si>
  <si>
    <t>Biaya Transfer, PT.Savont Varavi Indonesia</t>
  </si>
  <si>
    <t>BSK251937</t>
  </si>
  <si>
    <t>Pembayaran PO 25314 Inv.121025-SJ-5 Sami Jaya Instrument, Dzaki Samiyyah Nurman</t>
  </si>
  <si>
    <t>BSK251942</t>
  </si>
  <si>
    <t>Pembayaran PO 25301 Inv.MSAS-25-09-00740, PT.Mitra Satu Solusindo</t>
  </si>
  <si>
    <t>PPN 04002500291748827, PT.Mitra Satu Solusindo</t>
  </si>
  <si>
    <t>BSK251952</t>
  </si>
  <si>
    <t>Transport BBM, Bayu Noor W</t>
  </si>
  <si>
    <t>Transport Toll, Bayu Noor W</t>
  </si>
  <si>
    <t>BSK251953</t>
  </si>
  <si>
    <t>Makan Lembur PGAS Klender (Arfa,Tirto,Nabila), Eko Waluyo</t>
  </si>
  <si>
    <t>BSK251960</t>
  </si>
  <si>
    <t>BSK251982</t>
  </si>
  <si>
    <t>BSK251987</t>
  </si>
  <si>
    <t>Transport Toll, Dio Nesta H</t>
  </si>
  <si>
    <t>Transport Gojek, Dio Nesta H</t>
  </si>
  <si>
    <t>Makan Meeting Klender (Slamet), Eko Waluyo</t>
  </si>
  <si>
    <t>Makan Lembur TGI Kontrak Payung Tera Ulang (Anjani), Eko Waluyo</t>
  </si>
  <si>
    <t>KK250233</t>
  </si>
  <si>
    <t>UMK a.n Rudi Hartono (Jargas Sleman)</t>
  </si>
  <si>
    <t>KK250236</t>
  </si>
  <si>
    <t>Pembayaran PO 25362 Pro Inv. 1508/X/2025, PT. Steel Pipe Industry Of Indonesia</t>
  </si>
  <si>
    <t>PPN 11% Pembayaran PO 25362 Pro Inv. 1508/X/2025, PT. Steel Pipe Industry Of Indonesia</t>
  </si>
  <si>
    <t>Biaya Transfer, PT. Steel Pipe Industry Of Indonesia</t>
  </si>
  <si>
    <t>Transport Lalmove Fitting Sleman, Rizky Aulia</t>
  </si>
  <si>
    <t xml:space="preserve">Transport Toll,Parkir &amp; Isi Nitrogen Bali, Rizky Aulia </t>
  </si>
  <si>
    <t>Pembelian Stop Kontak &amp; Pulpen Bali, Rizky Aulia</t>
  </si>
  <si>
    <t>Pembayaran Kelebihan Bagasi Amry Bali, Rizky Aulia</t>
  </si>
  <si>
    <t>BSM250192b</t>
  </si>
  <si>
    <t>Biaya Kesehatan a.n Husein Sleman, Rizky Aulia</t>
  </si>
  <si>
    <t>Gocar a.n Razak Ke Stasiun, Rizky Aulia</t>
  </si>
  <si>
    <t>BBM Sleman, Rizky Aulia</t>
  </si>
  <si>
    <t>Laminating Document, Rizky Aulia</t>
  </si>
  <si>
    <t>Konsumsi Weekly Meeting Sleman, Rizky Aulia</t>
  </si>
  <si>
    <t>Perlengkapan Sleman (Gula), Rizky Aulia</t>
  </si>
  <si>
    <t>BBM antar Material Sleman Ke Pabrikator, Rizky Aulia</t>
  </si>
  <si>
    <t>Service Motor Operational Sleman, Rizky Aulia</t>
  </si>
  <si>
    <t>BBM a.n Berly Sleman, Rizky Aulia</t>
  </si>
  <si>
    <t>BBM HSE Sleman, Rizky Aulia</t>
  </si>
  <si>
    <t>BBM Tim Validasi Sleman, Rizky Aulia</t>
  </si>
  <si>
    <t>BBM Perizinan Sleman, Rizky Aulia</t>
  </si>
  <si>
    <t>Sparepart (Aki,Reflektor,Reg &amp; Lampu Depan) Jargas Sleman, Moura</t>
  </si>
  <si>
    <t>ATK (Tinta Printer,HVS,Spidol,Laminating) Jargas Sleman, Moura</t>
  </si>
  <si>
    <t>Transport Grab a.n Andre Jargas Sleman, Moura</t>
  </si>
  <si>
    <t>Transport BBM Jargas Sleman, Moura</t>
  </si>
  <si>
    <t>Makan &amp; Minum (Air Galon Dirkit), Moura</t>
  </si>
  <si>
    <t>Peralatan &amp; Perlengkapan (Sabun,Gas,Batre,Kamper,Pengharum Ruangan,HIT), Moura</t>
  </si>
  <si>
    <t>Pulsa a.n Mustofa, Moura</t>
  </si>
  <si>
    <t>BSM250193a</t>
  </si>
  <si>
    <t>Material (Selang Hidrolik BARTON - Selang+CH604 x1) Jargas Sleman, Adinda Naufianti Fadli</t>
  </si>
  <si>
    <t>Transport BBM a.n Panji, Adinda Naufianti Fadli</t>
  </si>
  <si>
    <t>Sparepart Motor Jargas Sleman, Adinda Naufianti Fadli</t>
  </si>
  <si>
    <t>Makan Lembur PIC dan HSE Jargas Sleman, Adinda Naufianti Fadli</t>
  </si>
  <si>
    <t>Transport Gocar a.n Rikha, Adinda Naufianti Fadli</t>
  </si>
  <si>
    <t>BSM250194</t>
  </si>
  <si>
    <t>Hotel a.n Sigit P,Cahyo Triyogo &amp; CGP Jargas Sleman, Shavira Akmalia</t>
  </si>
  <si>
    <t>Makan a.n Sigit P &amp; Tim Jargas Sleman, Shavira Akmalia</t>
  </si>
  <si>
    <t>Makan (Air Galon,Gula,Tea) Jargas Sleman, Shavira Akmalia</t>
  </si>
  <si>
    <t>Makan Kegiatan MWT Jargas Sleman, Shavira Akmalia</t>
  </si>
  <si>
    <t>Transport BBM Kelvin Jargas Sleman, Shavira Akmalia</t>
  </si>
  <si>
    <t>Transport Gocar (Antar APD) Jargas Sleman, Shavira Akmalia</t>
  </si>
  <si>
    <t>Transport BBM a.n Sigit P Jargas Sleman, Shavira Akmalia</t>
  </si>
  <si>
    <t>BSK251867</t>
  </si>
  <si>
    <t>BSK251868</t>
  </si>
  <si>
    <t>Makan &amp; Minum (Adip &amp; Ekky), Adip Trisnanto</t>
  </si>
  <si>
    <t>Sparepart (Isi Ban), Adip Trisnanto</t>
  </si>
  <si>
    <t>BSK251873</t>
  </si>
  <si>
    <t>Transport Toll, Sigit P</t>
  </si>
  <si>
    <t>BSK251876</t>
  </si>
  <si>
    <t>Transport CGP a.n Tri Priyatno, Agung Sulistyono</t>
  </si>
  <si>
    <t>Makan &amp; Minum (Agung S,Tri Priyatno,Reli &amp; Faisal Ardi), Agung Sulistyono</t>
  </si>
  <si>
    <t>BSK251877</t>
  </si>
  <si>
    <t>Pulsa a.n Kelvin, Adinda Naufianti Fadli</t>
  </si>
  <si>
    <t>Makan Kantor (Aqua Galon &amp; Kopi) Jargas Sleman, Adinda Naufianti Fadli</t>
  </si>
  <si>
    <t>Transport BBM a.n Fondra, Adinda Naufianti Fadli</t>
  </si>
  <si>
    <t>Material (Triplek, Kayu, Paku) Jargas Sleman, Adinda Naufianti Fadli</t>
  </si>
  <si>
    <t>Transport Tiket Kereta Bandara a.n Cahyo Triyogo &amp; Sigit Praptowo, Adinda Naufianti Fadli</t>
  </si>
  <si>
    <t>Makan a.n Sigit Praptowo, Cahyo Triyogo &amp; PM Jargas Sleman, Adinda Naufianti Fadli</t>
  </si>
  <si>
    <t>Entertain a.n Sigit Praptowo, Cahyo Triyogo &amp; PM Jargas Sleman, Adinda Naufianti Fadli</t>
  </si>
  <si>
    <t>Perlengkapan (Kasur &amp; Bantal) Jargas Sleman, Adinda Naufianti Fadli</t>
  </si>
  <si>
    <t>Pembayaran Sewa Mobil Avanza Selama 2 Hari a.n Sigit Praptowo &amp; Cahyo Triyogo, Budi Prasetiyo, Adinda Naufianti Fadli</t>
  </si>
  <si>
    <t>PPh 2% Sewa Mobil Avanza Selama 2 Hari a.n Sigit Praptowo &amp; Cahyo Triyogo, Budi Prasetiyo, Adinda Naufianti Fadli</t>
  </si>
  <si>
    <t>BSK251882</t>
  </si>
  <si>
    <t>Pembayaran Opname Ke IV a.n Sugiharto Jargas Sleman, Sugiharto</t>
  </si>
  <si>
    <t>Retensi 5% Pembayaran Opname Ke IV a.n Sugiharto Jargas Sleman, Sugiharto</t>
  </si>
  <si>
    <t>PPh 4% Pembayaran Opname Ke IV a.n Sugiharto Jargas Sleman, Sugiharto</t>
  </si>
  <si>
    <t>Biaya Transfer, Sugiharto</t>
  </si>
  <si>
    <t>BSM250196</t>
  </si>
  <si>
    <t>JNT (Document) Jargas Sleman, Shavira Akmalia</t>
  </si>
  <si>
    <t>Makan a.n Sigit P,Cahyo Triyogo &amp; CGP Jargas Sleman, Shavira Akmalia</t>
  </si>
  <si>
    <t>BSM250195</t>
  </si>
  <si>
    <t>Transport Maintenance a.n Ilham Jargas Jakarta, Moura</t>
  </si>
  <si>
    <t>ATK (Stiker) Jargas Sleman, Moura</t>
  </si>
  <si>
    <t>Material Turap Jargas Sleman, Moura</t>
  </si>
  <si>
    <t>BSK251886</t>
  </si>
  <si>
    <t>Biaya Transfer, Herman</t>
  </si>
  <si>
    <t>BSK251892</t>
  </si>
  <si>
    <t>Pembayaran Pelunasan 70% PO 25271 Inv.033/INV-JMT/IX/2025, CV.Jasmin Mitra Teknik</t>
  </si>
  <si>
    <t>PPh 2% Pembayaran Pelunasan 70% PO 25271 Inv.033/INV-JMT/IX/2025, CV.Jasmin Mitra Teknik</t>
  </si>
  <si>
    <t>KSM25P073 &amp; KSM25P093</t>
  </si>
  <si>
    <t>Material (Nameplate) Jargas Sleman, Adinda Naufianti Fadli</t>
  </si>
  <si>
    <t>Perlengkapan (Pembersih Kaca) Jargas Sleman, Adinda Naufianti Fadli</t>
  </si>
  <si>
    <t>Makan Kantor (Aqua Galon) Jargas Sleman, Adinda Naufianti Fadli</t>
  </si>
  <si>
    <t>Konsumsi Meeting dengan CGP Sleman, Adinda Naufianti Fadli</t>
  </si>
  <si>
    <t>Transport BBM a.n Ahmad Nailal Muna, Adinda Naufianti Fadli</t>
  </si>
  <si>
    <t>Transport BBM a.n Edi Kurniawan, Adinda Naufianti Fadli</t>
  </si>
  <si>
    <t>Konsumsi PSSR Sleman, Rizqi Aulia</t>
  </si>
  <si>
    <t>Makan CGP Sleman Di Kereta, Rizqi Aulia</t>
  </si>
  <si>
    <t>Gocar Razak Sleman, Rizqi Aulia</t>
  </si>
  <si>
    <t>Tiket Bus Alex Ke Sleman, Rizqi Aulia</t>
  </si>
  <si>
    <t>BSM250198</t>
  </si>
  <si>
    <t>ATK Sleman, Salisah</t>
  </si>
  <si>
    <t>BBM a.n Danang Sleman, Salisah</t>
  </si>
  <si>
    <t>Pulsa a.n Danang Sleman, Salisah</t>
  </si>
  <si>
    <t>BSM250198a</t>
  </si>
  <si>
    <t>Makan Kantor (Aqua Galon, Kopi, Gula) Jargas Sleman, Adinda Naufianti Fadli</t>
  </si>
  <si>
    <t>Transport Joint Survey RS Sarjito dengan CGP dan PU Jargas Sleman, Adinda Naufianti Fadli</t>
  </si>
  <si>
    <t>Material (V-Ring 3/8 x 1/2 &amp; SDL 3/8 x 1/4) Jargas Sleman, Adinda Naufianti Fadli</t>
  </si>
  <si>
    <t>Transport BBM a.n Kelvin Leo, Adinda Naufianti Fadli</t>
  </si>
  <si>
    <t>Pembayaran Iuran Lingkungan (Uang Sampah) Periode 10 Oktober s.d 10 November 2025 Jargas Sleman, Adinda Naufianti Fadli</t>
  </si>
  <si>
    <t>ATK (Glass Clear @2 Pack) Jargas Sleman, Adinda Naufianti Fadli</t>
  </si>
  <si>
    <t>Pembayaran Sewa Forklift 2.5 Ton Jargas Sleman, Rosidin, Adinda Naufianti Fadli</t>
  </si>
  <si>
    <t>PPh 2% Sewa Forklift 2.5 Ton Jargas Sleman, Rosidin, Adinda Naufianti Fadli</t>
  </si>
  <si>
    <t>Konsumsi Kegiatan PSSR dan Gas In Manggung Barat Tim CGP - OM Jargas Sleman, Adinda Naufianti Fadli</t>
  </si>
  <si>
    <t>Perlengkapan (Gembok &amp; Tisu) Jargas Sleman, Adinda Naufianti Fadli</t>
  </si>
  <si>
    <t>BSK251912</t>
  </si>
  <si>
    <t>Makan Lembur Jargas Sleman (Rudi), Eko Waluyo</t>
  </si>
  <si>
    <t>Token Listrik Jargas Sleman, Moura</t>
  </si>
  <si>
    <t>Transport BBM a.n Foundra Jargas Sleman, Moura</t>
  </si>
  <si>
    <t>Transport BBM a.n Rudi Hartono Jargas Sleman, Moura</t>
  </si>
  <si>
    <t>Transport Toll a.n Rudi Hartono Jargas Sleman, Moura</t>
  </si>
  <si>
    <t>Transport Parkir a.n Rudi Hartono Jargas Sleman, Moura</t>
  </si>
  <si>
    <t>Transport Bus  Pengiriman Barang Jargas Sleman, Moura</t>
  </si>
  <si>
    <t>Sumbangan Koordinasi OM PSSR Jargas Sleman, Moura</t>
  </si>
  <si>
    <t>Makan (Aqua Galon) Dirkit Jargas Sleman, Moura</t>
  </si>
  <si>
    <t>Perlengkapan Sabun Pantry Jargas Sleman, Moura</t>
  </si>
  <si>
    <t>Travel Kirim Barang Ke Jargas Sleman, Rizqi Aulia</t>
  </si>
  <si>
    <t>Makan CGP &amp; OM Sleman, Rizqi Aulia</t>
  </si>
  <si>
    <t>Lalamove Fitting Sleman (CSB_KSM), Rizqi Aulia</t>
  </si>
  <si>
    <t>Minum PGN Sleman, Rizqi Aulia</t>
  </si>
  <si>
    <t>Konsumsi Weekly Meeting Sleman, Rizqi Aulia</t>
  </si>
  <si>
    <t>Transport Toll a.n Rudi Hartono Jargas Sleman, Shavira Akmalia</t>
  </si>
  <si>
    <t>Transport BBM a.n Fondra Jargas Sleman, Shavira Akmalia</t>
  </si>
  <si>
    <t>Makan Lembur a.n Fondra &amp; Danang Jargas Sleman, Shavira Akmalia</t>
  </si>
  <si>
    <t>Transport Goride a.n Alexander Jargas Sleman, Shavira Akmalia</t>
  </si>
  <si>
    <t>BSM250201</t>
  </si>
  <si>
    <t>Transport Koordinasi Jargas Sleman, Moura</t>
  </si>
  <si>
    <t>Makan &amp; Minum Overtime (Fondra,Mustafa,Erwan), Moura</t>
  </si>
  <si>
    <t>Transport BBM Fondra Jargas Sleman, Moura</t>
  </si>
  <si>
    <t>Indihome Dirkit Jargas Sleman, Moura</t>
  </si>
  <si>
    <t>Sparepart Motor Operasional Jargas Sleman, Moura</t>
  </si>
  <si>
    <t>Makan Dirkit (Aqua Galon), Moura</t>
  </si>
  <si>
    <t xml:space="preserve">ATK (Laminating, Odner, A2 Clear, Gunting SN) Jargas Sleman </t>
  </si>
  <si>
    <t>BSK251930</t>
  </si>
  <si>
    <t>Material Lapangan (Pipa Galvanise Sch 40 Spindo 8"x8,2mm x 6m Toko Besi Indah Jaya, Iksal Iskandar</t>
  </si>
  <si>
    <t>Biaya Transfer, Iksal Iskandar</t>
  </si>
  <si>
    <t>Transport Koordinasi Perijinan PU Jargas Sleman, Adinda Naufianti Fadli</t>
  </si>
  <si>
    <t>Transport BBM a.n Ifni Adhi, Adinda Naufianti Fadli</t>
  </si>
  <si>
    <t>Sparepart Motor Jargas Sleman (CVT, Oli, Sliding Sheave), Adinda Naufianti Fadli</t>
  </si>
  <si>
    <t>Konsumsi Makan Dengan CGP dan PU Jargas Sleman, Adinda Naufianti Fadli</t>
  </si>
  <si>
    <t>Perlengkapan (Curter &amp; Sheet Protector A4, Banner, Rambu) Jargas Sleman, Adinda Naufianti Fadli</t>
  </si>
  <si>
    <t>Transport Grabcar a.n Razak, Adinda Naufianti Fadli</t>
  </si>
  <si>
    <t>Transport Toll a.n Razak, Adinda Naufianti Fadli</t>
  </si>
  <si>
    <t>Transport Koordinasi Dengan Perangkat Gandok RT 04 Jargas Sleman, Adinda Naufianti Fadli</t>
  </si>
  <si>
    <t>Makan Lembur Pekerjaan Pipa 180mm @2 Orang dan SR @1 Orang Jargas Sleman, Adinda Naufianti Fadli</t>
  </si>
  <si>
    <t>Transport Gocar a.n Ahmad Purwanto, Adinda Naufianti Fadli</t>
  </si>
  <si>
    <t>Transport BBM a.n Razak, Adinda Naufianti Fadli</t>
  </si>
  <si>
    <t>Pembayaran Sewa Mobil Xenia Selama 1 Hari a.n Razak Jargas Sleman, Dani Suratna Aji, Adinda Naufianti Fadli</t>
  </si>
  <si>
    <t>PPh 2% Sewa Mobil Xenia Selama 1 Hari a.n Razak Jargas Sleman, Dani Suratna Aji, Adinda Naufianti Fadli</t>
  </si>
  <si>
    <t>Pembayaran Sewa Mobil Avanza Selama 1 Bulan a.n Razak Jargas Sleman, Dani Suratna Aji, Adinda Naufianti Fadli</t>
  </si>
  <si>
    <t>PPh 2% Sewa Mobil Avanza Selama 1 Bulan a.n Razak Jargas Sleman, Dani Suratna Aji, Adinda Naufianti Fadli</t>
  </si>
  <si>
    <t>BSK251938</t>
  </si>
  <si>
    <t>Pembayaran Pelunasan PO 25257 Inv.25007982, PT.Padma Panji Pratama</t>
  </si>
  <si>
    <t>PPN 04002500309703061, PT.Padma Panji Pratama</t>
  </si>
  <si>
    <t>Transfer Antar Bank, PT.Padma Panji Pratama</t>
  </si>
  <si>
    <t>BSK251939</t>
  </si>
  <si>
    <t>Pembayaran Pelunasan 70% PO 25273 Inv.226, PT.Bhirawa Metal Mandiri</t>
  </si>
  <si>
    <t>PPN 04002500299272122, PT.Bhirawa Metal Mandiri</t>
  </si>
  <si>
    <t>Transfer Antar Bank, PT.Bhirawa Metal Mandiri</t>
  </si>
  <si>
    <t>BSK251941</t>
  </si>
  <si>
    <t>Pembayaran PO 25293 Inv.3310, PT.Cipta Sukses Bersama</t>
  </si>
  <si>
    <t>PPN 04002500298743310, PT.Cipta Sukses Bersama</t>
  </si>
  <si>
    <t>Pembayaran PO 25305 Inv.42645, PT.Cipta Sukses Bersama</t>
  </si>
  <si>
    <t>PPN 04012500296842645, PT.Cipta Sukses Bersama</t>
  </si>
  <si>
    <t>Transfer Antar Bank, PT.Cipta Sukses Bersama</t>
  </si>
  <si>
    <t>BSK251949</t>
  </si>
  <si>
    <t>Pembayaran DP 50% PO 25357 Inv.054/PI-X/ATS/2025, PT.Angkasa Teknik Sepadan</t>
  </si>
  <si>
    <t>PPN Pembayaran DP 50% PO 25357 Inv.054/PI-X/ATS/2025, PT.Angkasa Teknik Sepadan</t>
  </si>
  <si>
    <t>Biaya Transfer, PT.Angkasa Teknik Sepadan</t>
  </si>
  <si>
    <t>BSK251959</t>
  </si>
  <si>
    <t>Transport Parkir, Sigit P</t>
  </si>
  <si>
    <t>BBM Sleman, Salisah</t>
  </si>
  <si>
    <t>Gas Sleman, Salisah</t>
  </si>
  <si>
    <t>Air Mineral Sleman, Salisah</t>
  </si>
  <si>
    <t>Tiket Pesawat a.n Mustafa Sleman, Salisah</t>
  </si>
  <si>
    <t>Peralatan &amp; Perlengkapan (Charger Mobil &amp; Baut), Rudi Hartono</t>
  </si>
  <si>
    <t>Sparepart (Cuci Mobil &amp; Isi Angin), Rudi Hartono</t>
  </si>
  <si>
    <t>BSM250202</t>
  </si>
  <si>
    <t>Laminating, Moura</t>
  </si>
  <si>
    <t>Perlengkapan (Kasur) Jargas Sleman, Moura</t>
  </si>
  <si>
    <t>KAI Logistic Pengiriman Motor Bekasi-Sleman, Moura</t>
  </si>
  <si>
    <t>Transport Kereta a.n Akbar &amp; Faisal Ardi, Moura</t>
  </si>
  <si>
    <t>Makan &amp; Minum Pantry (Kopi &amp; Aqua Galon), Moura</t>
  </si>
  <si>
    <t>Transport Sosialisasi ERGAS Jargas Sleman, Moura</t>
  </si>
  <si>
    <t>Makan Lembur Pekerjaan Pipa 180 Jargas Sleman, Moura</t>
  </si>
  <si>
    <t>Sewa Lahan Parkir 22/10/25-22/11/2025 Jargas Sleman, Salisah</t>
  </si>
  <si>
    <t>PPh 10% Sewa Lahan Parkir 22/10/25-22/11/2025 Jargas Sleman, Salisah</t>
  </si>
  <si>
    <t>Makan Lembur Pekerjaan Pipa 180mm &amp; Pekerjaan SR Sleman, Salisah</t>
  </si>
  <si>
    <t>Transport Koordinasi Pekerjaan Pipa 180mm Sleman, Salisah</t>
  </si>
  <si>
    <t>Air Mineral &amp; Kopi Sleman, Salisah</t>
  </si>
  <si>
    <t>Material (Pressure Gauge,Temperature Gauge &amp; Thermowell) Jargas Sleman, Shavira Akmalia</t>
  </si>
  <si>
    <t>Pembelian Listrik Kantor Jargas Sleman, Shavira Akmalia</t>
  </si>
  <si>
    <t>ATK (Kertas A4,Straffles &amp; Binder Clip) Jargas Sleman, Shavira Akmalia</t>
  </si>
  <si>
    <t>Material (Paku 1 1/2 kg) Jargas Sleman, Shavira Akmalia</t>
  </si>
  <si>
    <t>Transport BBM Jargas Sleman, Shavira Akmalia</t>
  </si>
  <si>
    <t>Makan Lembur Tim PIC 180 @ 2 Org &amp; Tim SR @ 1 Org Jargas Sleman, Shavira Akmalia</t>
  </si>
  <si>
    <t>Perlengkapan (Tissu &amp; Gula) Jargas Sleman, Shavira Akmalia</t>
  </si>
  <si>
    <t>BSK251974</t>
  </si>
  <si>
    <t>Pembayaran PO 25363 Inv.VSO.25.10.04218, PT.Valvindo Megah</t>
  </si>
  <si>
    <t>PPN Pembayaran PO 25363 Inv.VSO.25.10.04218, PT.Valvindo Megah</t>
  </si>
  <si>
    <t>Transfer Bank, PT.Valvindo Megah</t>
  </si>
  <si>
    <t>BSK251978</t>
  </si>
  <si>
    <t xml:space="preserve">Pembayaran Opname Ke-5 Inv.001/SPK/KSM.CGP5/VII/2025 Periode 5 sd 19 October 2025, Sugiharto </t>
  </si>
  <si>
    <t>PPh 4% Pembayaran Opname Ke-5 Inv.001/SPK/KSM.CGP5/VII/2025 Periode 5 sd 19 October 2025, Sugiharto</t>
  </si>
  <si>
    <t>Retensi 5% Pembayaran Opname Ke-5 Inv.001/SPK/KSM.CGP5/VII/2025 Periode 5 sd 19 October 2025, Sugiharto</t>
  </si>
  <si>
    <t>Transfer Bank, Sugihato</t>
  </si>
  <si>
    <t>Transport Loading Material Sleman Gudang PGN Bogor, Moura</t>
  </si>
  <si>
    <t>Makan &amp; Minum Loading Material Sleman (Ary,Agus,CGP), Moura</t>
  </si>
  <si>
    <t>Konsumsi Lembur Jargas Sleman, Moura</t>
  </si>
  <si>
    <t>Makan &amp; Minum Pantry (Air Galon,Kopi Gula) Jargas Sleman, Moura</t>
  </si>
  <si>
    <t>Transport Kereta PLN-Bekasi a.n Faishol Ardi Jargas Sleman, Moura</t>
  </si>
  <si>
    <t>Transport Unloading Material FIM Jargas Sleman, Adinda Naufianti Fadli</t>
  </si>
  <si>
    <t>Perlengkapan (Surat Jalan @1 Pcs) Jargas Sleman, Adinda Naufianti Fadli</t>
  </si>
  <si>
    <t>UMK Rafi (KSM25P093), Adinda Naufianti Fadli</t>
  </si>
  <si>
    <t>Transport Koordinasi Pekerjaan Pipa 180 &amp; SAT MRS Jargas Sleman, Adinda Naufianti Fadli</t>
  </si>
  <si>
    <t>Lembur Pekerjaan Pipa 180, Pipa 63 &amp; SR Jargas Sleman, Adinda Naufianti Fadli</t>
  </si>
  <si>
    <t>Pembelian Token Listrik Mess Perempuan Jargas Sleman, Adinda Naufianti Fadli</t>
  </si>
  <si>
    <t>BSM250206</t>
  </si>
  <si>
    <t>Transport Manpower Pengangkutan Pipa 20mm Gudang Surya Cipta, Rafi Achmad</t>
  </si>
  <si>
    <t>Transport Kereta, Rafi Achmad</t>
  </si>
  <si>
    <t>Transport Toll, Rafi Achmad</t>
  </si>
  <si>
    <t>Transport Grab, Rafi Achmad</t>
  </si>
  <si>
    <t>Makan &amp; Minum (Rafi,Jiko,MP Loading), Rafi Achmad</t>
  </si>
  <si>
    <t>BSK251984</t>
  </si>
  <si>
    <t>Makan &amp; Minum (Rudi H &amp; Ditmet), Rudi Hartono</t>
  </si>
  <si>
    <t>BSK251985</t>
  </si>
  <si>
    <t>Pembayaran PO 25368 Inv.INV-LIK-2025.F10 23, PT.Lautan Instrumindo Kontromatic</t>
  </si>
  <si>
    <t>PPN 04002500341519035, PT.Lautan Instrumindo Kontromatic</t>
  </si>
  <si>
    <t>Biaya Transfer, PT.Lautan Instrumindo Kontromatic</t>
  </si>
  <si>
    <t>BSK251986</t>
  </si>
  <si>
    <t>Pembayaran Pengiriman Material Ke Sleman Inv.086/INV/AC/X/2025, Amirrul Sidiq</t>
  </si>
  <si>
    <t>PPh 21,25% Pembayaran Pengiriman Material Ke Sleman Inv.086/INV/AC/X/2025, Amirrul Sidiq</t>
  </si>
  <si>
    <t>Biaya Transfer, Amirrul Sidiq</t>
  </si>
  <si>
    <t>BSK251988</t>
  </si>
  <si>
    <t>Transport Gojek (Onboard Dg CGP), Alifia Nurul A</t>
  </si>
  <si>
    <t>BSK251992</t>
  </si>
  <si>
    <t>Transport Kegiatan Joint Survey CGP &amp; KSM, M.Razak</t>
  </si>
  <si>
    <t>Transport BBM, M.razak</t>
  </si>
  <si>
    <t>Transport Toll, M.Razak</t>
  </si>
  <si>
    <t>Makan &amp; Minum (Overtime @ 4 org), M.Razak</t>
  </si>
  <si>
    <t>.Peralatan &amp; Perlengkapan (Stick Lamp,Baterai), M.Razak</t>
  </si>
  <si>
    <t>JNE Kirim Document Ke Kantor Pusat, M.Razak</t>
  </si>
  <si>
    <t>Makan &amp; Minum Kegiatan Submit Document BPPJN (Adi,Fondra,Diva,Rio CGP,Gusti BPPJN), M.razak</t>
  </si>
  <si>
    <t>Material Lapangan (Sambungan Keran), M.Razak</t>
  </si>
  <si>
    <t>BSK251993</t>
  </si>
  <si>
    <t>Transport Grab, Faisal Ardi</t>
  </si>
  <si>
    <t>Makan Lembur Jargas Sleman (Amry), Eko Waluyo</t>
  </si>
  <si>
    <t>BSM250208g</t>
  </si>
  <si>
    <t>Pembelian Cutter a.n Adit Jargas Bali, Salisah</t>
  </si>
  <si>
    <t>Sparepart Aki a.n Adit Jargas Bali, Salisah</t>
  </si>
  <si>
    <t>Transport BBM a.n Adit Jargas Bali, Salisah</t>
  </si>
  <si>
    <t>Laundry a.n Adit Jargas Bali, Salisah</t>
  </si>
  <si>
    <t>BSM250211</t>
  </si>
  <si>
    <t>Pembelian Listrik Kontrakan Jargas Bali, Shavira Akmalia</t>
  </si>
  <si>
    <t>Material (Cat &amp; Thinner) Jargas Bali, Shavira Akmalia</t>
  </si>
  <si>
    <t>Perlengkapan (Stretch Film @ 2 Pcs) Jargas Bali, Shavira Akmalia</t>
  </si>
  <si>
    <t>BSK252025a</t>
  </si>
  <si>
    <t>Transport Pesawat a.n Amry Fajar &amp; Nur Slamet, BSI Hasanah Card</t>
  </si>
  <si>
    <t>BSM250216a</t>
  </si>
  <si>
    <t>Transport Pengembalian Tabung Nitrogen Jargas Bali, Moura</t>
  </si>
  <si>
    <t>Makan Dirkit Air Galon Jargas Bali, Moura</t>
  </si>
  <si>
    <t>JNE Pengiriman Document Jargas Bali, Moura</t>
  </si>
  <si>
    <t>BSK252097</t>
  </si>
  <si>
    <t>Makan Lembur CL (Arfa,Amry), Eko Waluyo</t>
  </si>
  <si>
    <t>BSM250208a</t>
  </si>
  <si>
    <t>Transport Pegiriman DWT Jambi-Pekanbaru, Salisah</t>
  </si>
  <si>
    <t>Pembelian Helmet Safety, Kaca Mata Safety,Wearpack,Ear Plug TGI Duri, Salisah</t>
  </si>
  <si>
    <t>Konsumsi Untuk Tamu Kegiatan MWT TGI a.n M rahman, Salisah</t>
  </si>
  <si>
    <t>Makan Siang Bayhaqi,M Rahman,Dio Nesta,Arief Budiman,Reli Nurfaiz Dengan Tim TGI 8 Org, Salisah</t>
  </si>
  <si>
    <t>Pembelian Material Duri 2 (Ball Valve,Double Nipple,Pressure Gauge,Tee 1/2 x 1/2,Tee), Salisah</t>
  </si>
  <si>
    <t>BSM250208aa</t>
  </si>
  <si>
    <t>Makan Dengan Tim TGI @ 8 Org, Shavira Akmalia Putri</t>
  </si>
  <si>
    <t>BSM250208b</t>
  </si>
  <si>
    <t>Pembelian Snack &amp; Minum Untuk Tim TGI a.n M Rahman, Salisah</t>
  </si>
  <si>
    <t>Transport BBM a.n Fajar Andik C, Salisah</t>
  </si>
  <si>
    <t>Makan Siang a.n Bayhaqi,M Rahman,Dio Nesta,Arief Budiman,Reli Nurfaiz &amp; Tim TGI 8 Org, Salisah</t>
  </si>
  <si>
    <t>Transport a.n Fajar Andik C, Salisah</t>
  </si>
  <si>
    <t>BSM250208bb</t>
  </si>
  <si>
    <t>Sewa Mobil Innova Selama 9 Hari (Fauzan Arif Baren Fandi), Shavira Akmalia Putri</t>
  </si>
  <si>
    <t>PPh 2% Sewa Mobil Innova Selama 9 Hari (Fauzan Arif Baren Fandi), Shavira Akmalia Putri</t>
  </si>
  <si>
    <t>Laminating a.n M.rahman, Shavira Akmalia Putri</t>
  </si>
  <si>
    <t>Laundry a.n M.rahman, Shavira Akmalia Putri</t>
  </si>
  <si>
    <t>Listrik Penginapan U/Dio Nesta a.n M.Rahman, Shavira Akmalia Putri</t>
  </si>
  <si>
    <t>Makan a.n M.Rahman,Bayhaqi,Dio Nesta,Arief Budiman,Reli Nurfaiz &amp; Tim TGI, Shavira Akmalia Putri</t>
  </si>
  <si>
    <t>Material (V Ring 1/2x1/8) a.n M.Rahman, Shavira Akmalia Putri</t>
  </si>
  <si>
    <t>Peralatan (Banner,Safety Helmet,Ember &amp; Kuas) a.n M.Rahman, Shavira Akmalia Putri</t>
  </si>
  <si>
    <t>Sparepart Kendaraan (Pasang Ban Mobil) a.n M.Rahman, Shavira Akmalia Putri</t>
  </si>
  <si>
    <t>Transport BBM a.n M.Rahman, Shavira Akmalia Putri</t>
  </si>
  <si>
    <t>Transport Toll a.n M.rahman, Shavira Akmalia Putri</t>
  </si>
  <si>
    <t>Makan Dengan Tim TGI @ 14 Org, Shavira Akmalia Putri</t>
  </si>
  <si>
    <t>Transport GoCar a.n Dio Nesta, Shavira Akmalia Putri</t>
  </si>
  <si>
    <t>Transport Toll a.n Dio Nesta, Shavira Akmalia Putri</t>
  </si>
  <si>
    <t>Transport Kereta HSE a.n Apta Ke Jargas Sleman (Dio Nesta), Shavira Akmalia Putri</t>
  </si>
  <si>
    <t>BSM250208c</t>
  </si>
  <si>
    <t>Peralatan &amp; Perlengkapan (Mata Bor &amp; Pylox), Moura</t>
  </si>
  <si>
    <t>Makan Minum (Snack TGI Makan Siang TGI), Moura</t>
  </si>
  <si>
    <t>BSK252001</t>
  </si>
  <si>
    <t>Pembayaran Pembuatan Ansuransi EAR Proyek Wetcall Duri 2 PT.TGI Inv.2913/JMA/X/2025, PT.Jasa Mulya Abadi</t>
  </si>
  <si>
    <t>Transfer Bank, PT.Jasa Mulya Abadi</t>
  </si>
  <si>
    <t>BSK252006</t>
  </si>
  <si>
    <t>Pembayaran Paket MCU a.n M.Rahman Inv.BKS-2509002870, PT.Cakra Mitra Sentosa</t>
  </si>
  <si>
    <t>KSM25P044 &amp; KSM24P047</t>
  </si>
  <si>
    <t>PPh 2% Pembayaran Paket MCU a.n Rudi H,Sariyanto,Dio Nesta, Murdiyanto,M.Rahman Inv.BKS-2509002870, PT.Cakra Mitra Sentosa</t>
  </si>
  <si>
    <t>BSM250208d</t>
  </si>
  <si>
    <t>Material (Ball Valve, Double Nipple, Tee Galvanis, Socket Drat), Adinda Naufianti Fadli</t>
  </si>
  <si>
    <t>Transport Travel a.n Ema (Ditmet), Adinda Naufianti Fadli</t>
  </si>
  <si>
    <t>Konsumsi Meeting Wetcall Duri 2 TGI, Adinda Naufianti Fadli</t>
  </si>
  <si>
    <t>Makan a.n Dio, Rahman, Azyana, Bayhaqy Bersama Tim TGI, Adinda Naufianti Fadli</t>
  </si>
  <si>
    <t>Pembayaran Sewa Mobil Selama 2 Hari a.n Azyana dan Ditmet Di Minas, Saukani, Adinda Naufianti Fadli</t>
  </si>
  <si>
    <t>PPh 2% Sewa Mobil Selama 2 Hari a.n Azyana dan Ditmet Di Minas, Saukani, Adinda Naufianti Fadli</t>
  </si>
  <si>
    <t>Transport BBM a.n Ryan, Adinda Naufianti Fadli</t>
  </si>
  <si>
    <t>BSM250208da</t>
  </si>
  <si>
    <t>Pembelian Wearpack,Kaca Mata Safety,Sarung Tangan Project DURI, Rizqi Aulia</t>
  </si>
  <si>
    <t>Pembelian Oli Hydrolic Project DURI, Rizqi Aulia</t>
  </si>
  <si>
    <t>Pembelian Tinta Printer Project DURI, Rizqi Aulia</t>
  </si>
  <si>
    <t>Pembayaran Penginapan @ 1 Bulan Project DURI, Rizqi Aulia</t>
  </si>
  <si>
    <t>BSM250208db</t>
  </si>
  <si>
    <t>Sewa Mobil @ 13 Hari a.n Cahyo Triyogo Project DURI, Rizqi Aulia</t>
  </si>
  <si>
    <t>PPh 2% Sewa Mobil @ 13 Hari a.n Cahyo Triyogo Project DURI, Rizqi Aulia</t>
  </si>
  <si>
    <t>Makan TGI Project DURI, Rizqi Aulia</t>
  </si>
  <si>
    <t>Taxi a.n Cahyo Triyogo, Rizqi Aulia</t>
  </si>
  <si>
    <t>Minum &amp; Snack u/TGI Kegiatan PSSR, Rizqi Aulia</t>
  </si>
  <si>
    <t>BSK252012</t>
  </si>
  <si>
    <t>Makan Lembur TGI Wetcall (Arfa,Amry), Eko Waluyo</t>
  </si>
  <si>
    <t>BSK252024</t>
  </si>
  <si>
    <t>Pembelian Material Pipa Galvanis Round Pipe SCH 40 ERW 6 Meter @ 1 Inv.180, Toko Sarana Abadi Steel (F) a.n Rudi Hartono</t>
  </si>
  <si>
    <t>Pembelian Material Pressure Gauge Full All Stainless 2 1/2" Inchi 16 Bar 230 Psi @ 2 Inv.180, Toko Sarana Abadi Steel (F) a.n Rudi Hartono</t>
  </si>
  <si>
    <t>Transfer Bank, Rudi Hartono</t>
  </si>
  <si>
    <t>BSM250208ee</t>
  </si>
  <si>
    <t>Transport BBM a.n Azyana Project Wetcall Duri 2, Salisah</t>
  </si>
  <si>
    <t>Pembelian Oli Beat Motor Operasional Kantor, Salisah</t>
  </si>
  <si>
    <t>Minum &amp; Snack u/Ditmet,KPI,PGN,TGI Kegiatan Commisioning (Rahman), Salisah</t>
  </si>
  <si>
    <t>Snack Box u/Kegiatan Familirisasi / Training USM Project Wetcall Duri 2 TGI, Salisah</t>
  </si>
  <si>
    <t>Transport Harian Petugas Pekanbaru Riau, Salisah</t>
  </si>
  <si>
    <t>Makan Siang Ditmet,KPI,PGN,TGI Kegiatan Commisioning (Rahman,Bay,Dio,Arief,Reli), Salisah</t>
  </si>
  <si>
    <t>Pembelian Sparepart Motor Operasional Jargas Sleman, Salisah</t>
  </si>
  <si>
    <t>Sewa Mobil Ditmet Pekanbaru, Salisah</t>
  </si>
  <si>
    <t>PPh 23 2% Sewa Mobil Ditmet Pekanbaru, Salisah</t>
  </si>
  <si>
    <t>Ticket Pesawat a.n Rahman,Dio Nesta,Azyana, Salisah</t>
  </si>
  <si>
    <t>Material TGI Wetcall Duri 2, Salisah</t>
  </si>
  <si>
    <t>Makan a.n Bayhaqi,Rahman,Dio Nesta,Arief,Reli,Azyana,Ditmet,KPI,PGN,TGI, Salisah</t>
  </si>
  <si>
    <t>Pembelian Material TGI Wetcall Duri 2 a.n Rahman, Salisah</t>
  </si>
  <si>
    <t>Sewa Mobil Inova @ 5 Hari (Fauzan Arif Baren fandi), Shavira Akmalia</t>
  </si>
  <si>
    <t>PPh 23 2% Sewa Mobil Inova @ 5 Hari (Fauzan Arif Baren fandi), Shavira Akmalia</t>
  </si>
  <si>
    <t>ATK (Tinta Printer), Shavira Akmalia</t>
  </si>
  <si>
    <t>Laundry a.n Rahman, Shavira Akmalia</t>
  </si>
  <si>
    <t>Makan Dengan TGI, Shavira Akmalia</t>
  </si>
  <si>
    <t>Makan (Le Mineral @ 2 Dus) a.n Rahman, Shavira Akmalia</t>
  </si>
  <si>
    <t>Makan a.n Bayhaqi,Rahman,Dio Nesta,Arief,Reli,Azyana), Shavira Akmalia</t>
  </si>
  <si>
    <t>Material (Plug,PG &amp; Seal Tape) a.n Rahman, Shavira Akmalia</t>
  </si>
  <si>
    <t>Perlengkapan (Baterai AA) a.n Rahman, Shavira Akmalia</t>
  </si>
  <si>
    <t>Transport BBM a.n Rahman, Shavira Akmalia</t>
  </si>
  <si>
    <t>Transport Grabcar a.n Rahman, Shavira Akmalia</t>
  </si>
  <si>
    <t>Transport Toll a.n Rahman, Shavira Akmalia</t>
  </si>
  <si>
    <t>Transport Sertifikasi APAR, Shavira Akmalia</t>
  </si>
  <si>
    <t>Cash Back Pembelian Souvenir a.n Edy Nurhamid Amin, BSI Hasanah Card</t>
  </si>
  <si>
    <t>BSM250212</t>
  </si>
  <si>
    <t>Pembelian Kastin Di Duri, Rizqi Aulia</t>
  </si>
  <si>
    <t>Pengiriman Material Duri By Dakota, Rizqi Aulia</t>
  </si>
  <si>
    <t>Makan TGI Duri, Rizqi Aulia</t>
  </si>
  <si>
    <t>BSK252032</t>
  </si>
  <si>
    <t>Pembayaran PO 25375 Inv.071/AKP-KSM/10-2025, PT.Abdi Karya Pratama</t>
  </si>
  <si>
    <t>PPN 04002500351788570, PT.Abdi Karya Pratama</t>
  </si>
  <si>
    <t>PPh 23 2% Pembayaran PO 25375 Inv.071/AKP-KSM/10-2025, PT.Abdi Karya Pratama</t>
  </si>
  <si>
    <t>Transfer Antar Bank, PT.Abdi Karya Pratama</t>
  </si>
  <si>
    <t>BSM250214</t>
  </si>
  <si>
    <t>Shuttle Lintas (Kirim Barang) Ke Metrologi, Adinda Naufianti Fadli</t>
  </si>
  <si>
    <t>Transport Tiket Pesawat a.n Rudi Hartono &amp; Dinda Aji, Adinda Naufianti Fadli</t>
  </si>
  <si>
    <t>BSK252049</t>
  </si>
  <si>
    <t>Transport Parkir, Azyana Febri Rumpaka</t>
  </si>
  <si>
    <t>Makan &amp; minum (Azyana &amp; Ditmet), Azyana Febri Rumpaka</t>
  </si>
  <si>
    <t>Entertain (Oleh-Oleh Untuk Ditmet), Azyana Febri Rumpaka</t>
  </si>
  <si>
    <t>Hotel @ 1 Malam Pekanbaru, Azyana Febri Rumpaka</t>
  </si>
  <si>
    <t>Peralatan &amp; Perlengkapan (Terpal), Azyana Febri Rumpaka</t>
  </si>
  <si>
    <t>BSM250216b</t>
  </si>
  <si>
    <t>Hotel a.n Achmad Bayhaqi, Shavira Akmalia Putri</t>
  </si>
  <si>
    <t>BSM250217</t>
  </si>
  <si>
    <t>Hotel a.n Bayhaqy, Adinda Naufianti Fadli</t>
  </si>
  <si>
    <t>BSK252093</t>
  </si>
  <si>
    <t>Transport Toll a.n Dio Nesta Herdiansyah</t>
  </si>
  <si>
    <t>Transport GoCar a.n Dio Nesta Herdiansyah</t>
  </si>
  <si>
    <t>Hotel @ 1 Malam a.n Dio Nesta Herdiansyah</t>
  </si>
  <si>
    <t>Makan &amp; Minum (Ditmet,Team Warehouse,Security) a.n Dio Nesta Herdiansyah</t>
  </si>
  <si>
    <t>Laundry a.n Dio Nesta Herdiansyah</t>
  </si>
  <si>
    <t>Gosend a.n Dio Nesta Herdiansyah</t>
  </si>
  <si>
    <t>Makan Lembur TGI Wetcall Duri 2 (Rizal,Arfa), Eko Waluyo</t>
  </si>
  <si>
    <t>BSK252106</t>
  </si>
  <si>
    <t>Pembayaran PO 25114 Inv.070, PT.Abdi Karya Pratama</t>
  </si>
  <si>
    <t>PPh 23 2% Pembayaran PO 25114 Inv.070, PT.Abdi Karya Pratama</t>
  </si>
  <si>
    <t>Biaya Transfer, PT.Abdi Karya Pratama</t>
  </si>
  <si>
    <t>BSK251963a</t>
  </si>
  <si>
    <t>BSM250201c</t>
  </si>
  <si>
    <t xml:space="preserve">Penerimaan Inv. 189 PT. Pertamina Gas Negara </t>
  </si>
  <si>
    <t>BSM250205a</t>
  </si>
  <si>
    <t>Penerimaan Pembayaran Kurang Bayar Term I Inv. 189 PT. Pertamina Gas</t>
  </si>
  <si>
    <t>BSK251999g</t>
  </si>
  <si>
    <t>Penurunan Pokok, BSI</t>
  </si>
  <si>
    <t>Bagi Hasil Musyarakah, BSI</t>
  </si>
  <si>
    <t>BSM250216c</t>
  </si>
  <si>
    <t>Perlengkapan (Ematerai Penagihan), Moura</t>
  </si>
  <si>
    <t>BSK252031</t>
  </si>
  <si>
    <t>KSM25P020,KSM25P021,KSM24P166 &amp; KSM25P168</t>
  </si>
  <si>
    <t>Pembayaran Pelunasan PO 25106 Inv.0691025, PT.Nurman Indoban Sentosa</t>
  </si>
  <si>
    <t>PPN 04012500348200114, PT.Nurman Indoban Sentosa</t>
  </si>
  <si>
    <t>PPh Final Psl 4 Ayat 2 2,65% Pembayaran Pelunasan PO 25106 Inv.0691025, PT.Nurman Indoban Sentosa</t>
  </si>
  <si>
    <t>Material (Balok Kayu &amp; Police Line), Shavira Akmalia Putri</t>
  </si>
  <si>
    <t>Transport MGO &amp; MRS G400 SEP Karawang, Shavira Akmalia Putri</t>
  </si>
  <si>
    <t>KMS24P166</t>
  </si>
  <si>
    <t>Makan Siang (Fajar &amp; SEP), Moura</t>
  </si>
  <si>
    <t>Peralatan &amp; Perlengkapan (Travel Bag Pak Fadjar), Eko Waluyo</t>
  </si>
  <si>
    <t>Makan Lembur SEP (Arfa,Amry), Eko Waluyo</t>
  </si>
  <si>
    <t>BSK252028</t>
  </si>
  <si>
    <t>Pembayaran Shipment P1 PO 25073 Inv.0064, PT.Kartika Eka Yudha Maritim</t>
  </si>
  <si>
    <t>PPN 040.006-25.22278246, PT.Kartika Eka Yudha Maritim</t>
  </si>
  <si>
    <t>PPh 23 2% Pembayaran Shipment P1 PO 25073 Inv.0064, PT.Kartika Eka Yudha Maritim</t>
  </si>
  <si>
    <t>Pembayaran Shipment P2 PO 25073 Inv.0056, PT.Kartika Eka Yudha Maritim</t>
  </si>
  <si>
    <t>PPN 050.006-25.22278247, PT.Kartika Eka Yudha Maritim</t>
  </si>
  <si>
    <t>PPh 23 2% Pembayaran Shipment P2 PO 25073 Inv.0056, PT.Kartika Eka Yudha Maritim</t>
  </si>
  <si>
    <t>Pembayaran Warehouse Cost PO 25073 Inv.0046 (Sewa Tempat), PT.Kartika Eka Yudha Maritim</t>
  </si>
  <si>
    <t>Biaya Pajak PPh 23 2% Pembayaran Warehouse Cost PO 25073 Inv.0046 (Sewa Tempat), PT.Kartika Eka Yudha Maritim</t>
  </si>
  <si>
    <t>Pembayaran Warehouse Cost PO 25073 Inv.0046 (Behandle Gudang), PT.Kartika Eka Yudha Maritim</t>
  </si>
  <si>
    <t>PPh 23 2% Pembayaran Warehouse Cost PO 25073 Inv.0046 (Behandle Gudang), PT.Kartika Eka Yudha Maritim</t>
  </si>
  <si>
    <t>Pembayaran Warehouse Cost PO 25073 Inv.0046, PT.Kartika Eka Yudha Maritim</t>
  </si>
  <si>
    <t>PPN 04002500207159690, PT.Cakrawala Persada Logistic</t>
  </si>
  <si>
    <t>PPh 23 2% Pembayaran Warehouse Cost PO 25073 Inv.0046, PT.Kartika Eka Yudha Maritim</t>
  </si>
  <si>
    <t>PPN 04002500207147661, PT.Cakrawala Persada Logistic</t>
  </si>
  <si>
    <t>Pembayaran Warehouse Cost PO 25073 Inv.0046 (Kirim Document), PT.Kartika Eka Yudha Maritim</t>
  </si>
  <si>
    <t>BK250153</t>
  </si>
  <si>
    <t>Pembayaran DP 30% PO 25369 Inv.25476 USD 630 @ 16.765, Flour Valve S.p.A</t>
  </si>
  <si>
    <t>Biaya Transfer USD 25 @ 16.765, Flour Valve S.p.A</t>
  </si>
  <si>
    <t>Pembelian BBM Sleman, Salisah</t>
  </si>
  <si>
    <t>Pembelian Meteran Sleman, Salisah</t>
  </si>
  <si>
    <t>Transport BBM a.n Kelvin Jargas Sleman, Salisah</t>
  </si>
  <si>
    <t>Transport BBM a.n Panji Jargas Sleman, Salisah</t>
  </si>
  <si>
    <t>Unloading Material FIM Sleman (Pipa Galvanise SK,SR,Pipa Casing), Salisah</t>
  </si>
  <si>
    <t>Transport BBM a.n Fondra Jargas Sleman, Salisah</t>
  </si>
  <si>
    <t>Transport BBM a.n Akbar Jargas Sleman, Salisah</t>
  </si>
  <si>
    <t>Transport BBM a.n Muna Jargas Sleman, Salisah</t>
  </si>
  <si>
    <t>Makan Dengan CGP &amp; OM Jargas Sleman, Salisah</t>
  </si>
  <si>
    <t>Pengiriman Material Sleman (Agen Bus resmi Jatiasih), Salisah</t>
  </si>
  <si>
    <t>Pengiriman Barang Karawang-Jogja (Amirrul Sidiq), Shavira Akmalia Putri</t>
  </si>
  <si>
    <t>PPh 2,5% Pengiriman Barang Karawang-Jogja (Amirrul Sidiq), Shavira Akmalia Putri</t>
  </si>
  <si>
    <t>JNE Pengiriman Material Cirebon-Sleman, Moura</t>
  </si>
  <si>
    <t>Sumbangan RT 01 Jargas Sleman, Moura</t>
  </si>
  <si>
    <t>BSK252000</t>
  </si>
  <si>
    <t>Pembayaran PO 25250 Inv.2025/WDJR000081007, PT.Wahana Duta Jaya Rucika</t>
  </si>
  <si>
    <t>PPN 040.005-25.31920416, PT.Wahana Duta Jaya Rucika</t>
  </si>
  <si>
    <t>Transfer Bank, PT.Wahana Duta Jaya Rucika</t>
  </si>
  <si>
    <t>Perlengkapan (Gas LPG) Jargas Sleman, Adinda Naufianti Fadli</t>
  </si>
  <si>
    <t>Sparepart Motor Akbar (Kampas Rem, Brake Pad Kit, Oli) Jargas Sleman, Adinda Naufianti Fadli</t>
  </si>
  <si>
    <t>Transport Koordinasi Pekerjaan Crossing Jalan Pipa 180 Jargas Sleman, Adinda Naufianti Fadli</t>
  </si>
  <si>
    <t>Makan Lembur Pekerjaan Pipa 180 Jargas Sleman, Adinda Naufianti Fadli</t>
  </si>
  <si>
    <t>Pembelian Air Mineral Jargas Sleman, Rizqi Aulia</t>
  </si>
  <si>
    <t>Pembelia PG Jargas Sleman, Rizqi Aulia</t>
  </si>
  <si>
    <t>Beli Air Mineral Jargas Sleman, Rizqi Aulia</t>
  </si>
  <si>
    <t>Transport Unloading Pipa PE Jargas Sleman, Rizqi Aulia</t>
  </si>
  <si>
    <t>BSK252016</t>
  </si>
  <si>
    <t>Pembayaran Claude AI Inv.ZBRLGZJ2-0003 a.n Andre (Pengembangan AERGAS), Rendra Baskoro</t>
  </si>
  <si>
    <t>Pembayaran Claude AI Inv.Z30FB8789-0011 a.n Rendra (Pengembangan AERGAS), Rendra Baskoro</t>
  </si>
  <si>
    <t>Transport Grab, Rendra Baskoro</t>
  </si>
  <si>
    <t>Biaya Transfer, Rendra</t>
  </si>
  <si>
    <t>Transport BBM Motor Operasional Sleman, Salisah</t>
  </si>
  <si>
    <t>Transport BBM a.n Akbar &amp; Zaki Sleman, Salisah</t>
  </si>
  <si>
    <t>Transport a.n Raden Panji Aryo Benowo Jargas Sleman, Salisah</t>
  </si>
  <si>
    <t>Makan Lembur Jargas Sleman, Salisah</t>
  </si>
  <si>
    <t>Konsumsi Sleman Kegiatan PerizinanJoint Survey Dengan PDAM, Salisah</t>
  </si>
  <si>
    <t>Transport BBM Mobil Operasional Jargas Sleman, Salisah</t>
  </si>
  <si>
    <t>Tambal Ban Mobil Sleman, Salisah</t>
  </si>
  <si>
    <t>BSM250208f</t>
  </si>
  <si>
    <t>Perlengkapan (Surat Jalan @2 Pcs &amp; Tissue) Jargas Sleman, Adinda Naufianti Fadli</t>
  </si>
  <si>
    <t>Transport BBM a.n Akbar, Adinda Naufianti Fadli</t>
  </si>
  <si>
    <t>Transport BBM a.n Apta, Adinda Naufianti Fadli</t>
  </si>
  <si>
    <t>Sparepart Motor Ifni Adhi (Oli, Kampas, Carbon Cleaner) Jargas Sleman, Adinda Naufianti Fadli</t>
  </si>
  <si>
    <t>Makan Lembur Pekerjaan Pipa 63, Rekondisi, dan Konversi @4 Orang Jargas Sleman, Adinda Naufianti Fadli</t>
  </si>
  <si>
    <t>Listrik Kantor Jargas Sleman, Salisah</t>
  </si>
  <si>
    <t>Pembelian Air Mineral Jargas Sleman, Salisah</t>
  </si>
  <si>
    <t>Transport BBM a.n Edi Jargas Sleman, Salisah</t>
  </si>
  <si>
    <t>Transport BBM a.n Danang Jargas Sleman, Salisah</t>
  </si>
  <si>
    <t>Material Kebutuhan Gas In Jargas Sleman, Salisah</t>
  </si>
  <si>
    <t>Makan lembur a.n Apta,Akbar,Danang,Kevin &amp; Erwan Jargas Sleman, Salisah</t>
  </si>
  <si>
    <t>Transport CGP Jargas Sleman, Salisah</t>
  </si>
  <si>
    <t>Pembelian Kwitansi Jargas Sleman, Salisah</t>
  </si>
  <si>
    <t>Internet a.n Fondra Jargas Sleman, Salisah</t>
  </si>
  <si>
    <t>Transport BBM a.n Akbar Jargas Sleman, Shavira Akmalia</t>
  </si>
  <si>
    <t>Sparepart Kendaraan (Selang Vacum) Jargas Sleman, Shavira Akmalia</t>
  </si>
  <si>
    <t>Hotel a.n Sigit P,Cahyo Triyogo,Rudi Hartono &amp; PM CGP, BSI Hasanah Card</t>
  </si>
  <si>
    <t>Transport Bus a.n Berly Yanuari, BSI Hasanah Card</t>
  </si>
  <si>
    <t>Transport Kereta a.n Razak,Imam Syarif,Andre,Tri Priyatno &amp; Alifia Nurul, BSI Hasanah Card</t>
  </si>
  <si>
    <t>Transport Pesawat a.n Cahyo Triyogo &amp; Sigit P, BSI Hasanah Card</t>
  </si>
  <si>
    <t>Pembayaran Google One 100 GB, BSI Hasanah Card</t>
  </si>
  <si>
    <t>Service Motor Sleman, Rizqi Aulia</t>
  </si>
  <si>
    <t>Transport BBM Sleman, Rizqi Aulia</t>
  </si>
  <si>
    <t>Transport BBM a.n Erwan Jargas Sleman, Rizqi Aulia</t>
  </si>
  <si>
    <t>BSM250213</t>
  </si>
  <si>
    <t>Pulsa a.n Kelvin Jargas Sleman, Moura</t>
  </si>
  <si>
    <t>JNE Pengiriman Document, Moura</t>
  </si>
  <si>
    <t>Makan &amp; Minum Meeting a.n Sigit P Jargas Sleman, Moura</t>
  </si>
  <si>
    <t>BSK252029</t>
  </si>
  <si>
    <t>Pembayaran PO 25322 Inv.3451, PT.Cipta Sukses Bersama</t>
  </si>
  <si>
    <t>PPN 04002500323033451, PT.Cipta Sukses Bersama</t>
  </si>
  <si>
    <t>Pembayaran PO 25321 Inv.8883, PT.Cipta Sukses Bersama</t>
  </si>
  <si>
    <t>PPN 04002500315048883, PT.Cipta Sukses Bersama</t>
  </si>
  <si>
    <t>KSM25P119 &amp; KSM25P093</t>
  </si>
  <si>
    <t>BSK252030</t>
  </si>
  <si>
    <t>Pembayaran Pengiriman Barang Ke Ditmet Bandung Inv.CFL1000015, PT.Catur Fatih Logistic</t>
  </si>
  <si>
    <t>PPN 05002500323540767,PT.Catur Fatih Logistic</t>
  </si>
  <si>
    <t>PPh 23 2% Pembayaran Pengiriman Barang Ke Ditmet Bandung Inv.CFL1000015, PT.Catur Fatih Logistic</t>
  </si>
  <si>
    <t>Transfer Antar Bank, PT.Catur Fatih Logistic</t>
  </si>
  <si>
    <t>Pembayaran DP 35% PO 25380 Inv.0721125, PT.Nurman Indoban Sentosa</t>
  </si>
  <si>
    <t>PPN 04002500352403880, PT.Nurman Indoban Sentosa</t>
  </si>
  <si>
    <t>PPh Final Psl 4 Ayat 2 2,65% Pembayaran DP 35% PO 25380 Inv.0721125, PT.Nurman Indoban Sentosa</t>
  </si>
  <si>
    <t>BSK252035</t>
  </si>
  <si>
    <t>Pembayaran PO 25264 Inv.TT25/FP/08.261, PT.Tawindo Teknik</t>
  </si>
  <si>
    <t>PPN 04002500264274694, PT.Tawindo Teknik</t>
  </si>
  <si>
    <t>Transfer Antar Bank, PT.Tawindo Teknik</t>
  </si>
  <si>
    <t>BSK252037</t>
  </si>
  <si>
    <t>Pembayaran Opname Ke-06 a.n Mandor Sugiharto Jargas Sleman, Sugiharto</t>
  </si>
  <si>
    <t>Retensi 5% Pembayaran Opname Ke-06 a.n Mandor Sugiharto Jargas Sleman, Sugiharto</t>
  </si>
  <si>
    <t>PPh Final Psl 4 Ayat 2 4% Pembayaran Opname Ke-06 a.n Mandor Sugiharto Jargas Sleman, Sugiharto</t>
  </si>
  <si>
    <t>Perlengkapan (Sendok Makan) Jargas Sleman, Adinda Naufianti Fadli</t>
  </si>
  <si>
    <t>BSK252050</t>
  </si>
  <si>
    <t>Makan Lembur Jargas Sleman (Anjani,Nabila), Eko Waluyo</t>
  </si>
  <si>
    <t>BSK252057</t>
  </si>
  <si>
    <t>Entertain CGP Sleman, Moura</t>
  </si>
  <si>
    <t>Material Lapangan Carbon Steel Pipe Galvanise SCH-40 Diameter 4 Inchi Inv.0020, Moura</t>
  </si>
  <si>
    <t>Material Lapangan Pipa Medium Galvanise 1 Inchi x 3,2mm x 6000 Inv.0020, Moura</t>
  </si>
  <si>
    <t>Hotel a.n Sigit P &amp; Cahyo Triyogo, Moura</t>
  </si>
  <si>
    <t>Makan &amp; Minum (Sigit P,Cahyo T,CGP), Moura</t>
  </si>
  <si>
    <t>Makan a.n Sigit P,Cahyo T &amp; Jargas Sleman, Shavira Akmalia Putri</t>
  </si>
  <si>
    <t>Hotel a.n Sigit P,Cahyo T &amp; Jargas Sleman, Shavira Akmalia Putri</t>
  </si>
  <si>
    <t>Transport a.n Sigit P Selama @ 2 Hari, Shavira Akmalia Putri</t>
  </si>
  <si>
    <t>Pengiriman Barang PG Jargas Sleman, Shavira Akmalia Putri</t>
  </si>
  <si>
    <t>Transport Kereta a.n Sigit P &amp; Cahyo T, Shavira Akmalia Putri</t>
  </si>
  <si>
    <t>Pembelian Listrik Kantor Jargas Sleman, Shavira Akmalia Putri</t>
  </si>
  <si>
    <t>Makan a.n Sigit P &amp; Tim Jargas Sleman, Shavira Akmalia Putri</t>
  </si>
  <si>
    <t>Transport Pengiriman Kompor Jargas Sleman, Shavira Akmalia Putri</t>
  </si>
  <si>
    <t>Transport Pesawat a.n Rudi H &amp; Faishol JKT YIA - JKT, Moura</t>
  </si>
  <si>
    <t>Hotel a.n Rudi Hartono &amp; Faishol @ 1 Malam, Moura</t>
  </si>
  <si>
    <t>Transport Kereta Bandara Rudi Hartono &amp; Faishol, Moura</t>
  </si>
  <si>
    <t>Iuran Lingkungan Jargas Sleman, Moura</t>
  </si>
  <si>
    <t>Transport BBM a.n Razak, Moura</t>
  </si>
  <si>
    <t>Transport Toll a.n Razak, Moura</t>
  </si>
  <si>
    <t>Transport Parkir a.n Razak, Moura</t>
  </si>
  <si>
    <t>Makan &amp; Minum (Razak &amp; CGP), Moura</t>
  </si>
  <si>
    <t>Konsumsi Overtime Jargas Sleman 10-11 November 2025, Moura</t>
  </si>
  <si>
    <t>Makan &amp; Minum Pantry (Kopi &amp; Air Galon), Moura</t>
  </si>
  <si>
    <t>Biaya Transfer Ongkir Mobil Rudi (Cancel), Moura</t>
  </si>
  <si>
    <t>BSK252072</t>
  </si>
  <si>
    <t>Pembayaran 50% PO 25357 Inv.061/PI-XI/ATS/2025, PT.Angka Teknik Sepadan</t>
  </si>
  <si>
    <t>PPN Pembayaran PO 25357 Inv.061/PI-XI/ATS/2025, PT.Angka Teknik Sepadan</t>
  </si>
  <si>
    <t>KSM25P093 &amp; KSM25P126</t>
  </si>
  <si>
    <t>Transfer Antar Bank, PT.Angka Teknik Sepadan</t>
  </si>
  <si>
    <t>Transport Koordinasi Survey Lap. Perkutut, Adinda Naufianti Fadli</t>
  </si>
  <si>
    <t>Konsumsi Survey Lap. Perkutut Jargas Sleman, Adinda Naufianti Fadli</t>
  </si>
  <si>
    <t>Makan a.n Razak, Adinda Naufianti Fadli</t>
  </si>
  <si>
    <t>Transport Parkir a.n Razak, Adinda Naufianti Fadli</t>
  </si>
  <si>
    <t>Sparepart Mobil Jargas Sleman (Tambal Ban + Isi Nitrogen), Adinda Naufianti Fadli</t>
  </si>
  <si>
    <t>Makan Siang Pantia Survey Lap. Perkutut, Adinda Naufianti Fadli</t>
  </si>
  <si>
    <t>BSK252094</t>
  </si>
  <si>
    <t>Transport Parkir a.n Rudi Hartono</t>
  </si>
  <si>
    <t>Transport Taxi a.n Rudi Hartono</t>
  </si>
  <si>
    <t>Makan Lembur Jargas Sleman (Amry,Toro), Eko Waluyo</t>
  </si>
  <si>
    <t>BSM250217a</t>
  </si>
  <si>
    <t>Pembayaran Indihome Jargas Sleman, Shavira Akmalia Putri</t>
  </si>
  <si>
    <t>Transport BBM a.n Akbar Jargas Sleman, Shavira Akmalia Putri</t>
  </si>
  <si>
    <t>Transport BBM Mobil Jargas Sleman, Shavira Akmali Putri</t>
  </si>
  <si>
    <t>Konsumsi MC-0 Pendukuhan Jargas Sleman, Shavira Akmalia Putri</t>
  </si>
  <si>
    <t>Makan (Gula,Kopi &amp; Air Galon) Jargas Sleman, Shavira Akmalia Putri</t>
  </si>
  <si>
    <t>BSM250220</t>
  </si>
  <si>
    <t>Konsumsi MC-0 Jargas Sleman, Moura</t>
  </si>
  <si>
    <t>Transport Kereta a.n Rendra LPN-BKS, Moura</t>
  </si>
  <si>
    <t>Transport BBM a.n Akbar Jargas Sleman, Moura</t>
  </si>
  <si>
    <t>Makan &amp; Minum Pantry (Kopi,Gula,Air Galon) Jargas Sleman, Moura</t>
  </si>
  <si>
    <t>JP2511015</t>
  </si>
  <si>
    <t>Lalamove, Salisah</t>
  </si>
  <si>
    <t>BSM250220a</t>
  </si>
  <si>
    <t>Transport Pesawat a.n Faishol Aziz, Shavira Akmalia Putri</t>
  </si>
  <si>
    <t>BSM250221a</t>
  </si>
  <si>
    <t>Transport Pesawat a.n Faishol Aziz Jakarta-Bali, Moura</t>
  </si>
  <si>
    <t>Biaya Pengobatan a.n Adit &amp; Taufik, Moura</t>
  </si>
  <si>
    <t>BSM250222</t>
  </si>
  <si>
    <t>Hotel a.n Faishol Aziz, Adinda Naufianti Fadli</t>
  </si>
  <si>
    <t>Makan a.n Faishol Aziz Dengan Tim ITDC &amp; Laras, Adinda Naufianti Fadli</t>
  </si>
  <si>
    <t>Pengobatan a.n Dede Siswanto, Adinda Naufianti Fadli</t>
  </si>
  <si>
    <t>Transport BBM a.n Faishol Aziz, Adinda Naufianti Fadli</t>
  </si>
  <si>
    <t>Transport a.n Dede Siswanto, Adinda Naufinati Fadli</t>
  </si>
  <si>
    <t>JP2511018</t>
  </si>
  <si>
    <t>Sewa Mobil a.n Faishol Aziz @ 3 Hari Jargas Bali, Salisah</t>
  </si>
  <si>
    <t>PPH 23 2% Sewa Mobil a.n Faishol Aziz @ 3 Hari Jargas Bali, Salisah</t>
  </si>
  <si>
    <t>Pengobatan a.n Adit Jargas Bali, Salisah</t>
  </si>
  <si>
    <t>BMS250224b</t>
  </si>
  <si>
    <t>Material Lapangan (Bosh,Plastik Cor,Lem,Cat) PGN Klender, Moura</t>
  </si>
  <si>
    <t>Perlengkapan (Masker,Sarung Tangan) PGN Klender, Moura</t>
  </si>
  <si>
    <t>Makan Siang (Slamet &amp; PMO) PGN Klender, Moura</t>
  </si>
  <si>
    <t>BMS250226</t>
  </si>
  <si>
    <t>Pembelian Obat-obatan (Obat Luka Bakar, Betadinde, Bioplacenton, Double Spike Onemed, Kasa Steril, NACL), Adinda Naufianti Fadli</t>
  </si>
  <si>
    <t>Material (Bushing Matl 1/2" x 1/4" #3000) Jargas Bali, Adinda Naufianti Fadli</t>
  </si>
  <si>
    <t>BSK252162</t>
  </si>
  <si>
    <t>Pembayaran PO 25432 Inv.VSO251104808, PT.Valvindo Megah</t>
  </si>
  <si>
    <t>PPN Pembayaran PO 25432 Inv.VSO251104808, PT.Valvindo Megah</t>
  </si>
  <si>
    <t xml:space="preserve">Transfer Antar Bank, PT.Valvindo Megah </t>
  </si>
  <si>
    <t>BSK252167c</t>
  </si>
  <si>
    <t>Transport (Cargo Bandara) a.n Azyana, Shavira Akmalia</t>
  </si>
  <si>
    <t>BSK252178</t>
  </si>
  <si>
    <t>Transport Rumah-Bandara (PP) a.n Faishol Aziz, Faishol Aziz</t>
  </si>
  <si>
    <t>Transport Toll a.n Faishol Aziz, Faishol Aziz</t>
  </si>
  <si>
    <t>Transport Parkir a.n Faishol Aziz, Faishol Aziz</t>
  </si>
  <si>
    <t>Sumbangan Karohiman u/ Dede Siswanto (Adit) a.n Faishol Aziz, Faishol Aziz</t>
  </si>
  <si>
    <t>Makan &amp; Minum a.n Faishol Aziz, Faishol Aziz</t>
  </si>
  <si>
    <t>BSK252196</t>
  </si>
  <si>
    <t>BSK252259</t>
  </si>
  <si>
    <t>Pembayaran Pengiriman Barang - Adit Denpasar Bandung Inv.SPX-1450, CV.Sarana Pratama Expressindo</t>
  </si>
  <si>
    <t>PPH 23 2% Pembayaran Pengiriman Barang - Adit Denpasar Bandung Inv.SPX-1450, CV.Sarana Pratama Expressindo</t>
  </si>
  <si>
    <t>Pembayaran Pengiriman Barang - Denpasar Inv.SPX-1446, CV.Sarana Pratama Expressindo</t>
  </si>
  <si>
    <t>PPH 23 2% Pembayaran Pengiriman Barang - Denpasar Inv.SPX-1446, CV.Sarana Pratama Expressindo</t>
  </si>
  <si>
    <t>BK250164</t>
  </si>
  <si>
    <t>Pembayaran PO 25433 EUR 397,28 @ 19.549, BANDES SAS</t>
  </si>
  <si>
    <t>Biaya Transfer USD 35 @ 16.795, BANDES SAS</t>
  </si>
  <si>
    <t>BSK252258</t>
  </si>
  <si>
    <t>KSM25P122 &amp; KSM24P045</t>
  </si>
  <si>
    <t>PPH Import PO 25354, Direktorat Jenderal Bea &amp; Cukai</t>
  </si>
  <si>
    <t>PPN Import PO 25354, Direktorat Jenderal Bea &amp; Cukai</t>
  </si>
  <si>
    <t>Bea Masuk PO 25354, Direktorat Jenderal Bea &amp; Cukai</t>
  </si>
  <si>
    <t>Transport Taxi a.n Achmad Bayhaqi, Adinda Naufianti Fadli</t>
  </si>
  <si>
    <t>BSK252117b</t>
  </si>
  <si>
    <t>BSK252129</t>
  </si>
  <si>
    <t>Makan Lembur TGI Wetcall (Arfa,Dara,Wulan), Eko Waluyo</t>
  </si>
  <si>
    <t>BSK252143</t>
  </si>
  <si>
    <t>Pembayaran Komisi Penjualan Proyek a.n Fadjar Tri Ananda, Fadjar Tri Ananda</t>
  </si>
  <si>
    <t>BSK252155</t>
  </si>
  <si>
    <t>Pembayaran Pengiriman Barang Ke PT.TGI-Kab.Bengkalis Inv.BBI-2025-0010261, PT.Berkah Bersama Insani</t>
  </si>
  <si>
    <t>PPN 05002500353363071, PT.Berkah Bersama Insani</t>
  </si>
  <si>
    <t>PPH 23 2% Pembayaran Pengiriman Barang Ke PT.TGI-Kab.Bengkalis Inv.BBI-2025-0010261, PT.Berkah Bersama Insani</t>
  </si>
  <si>
    <t>Transfer Antar Bank, PT.Berkah Bersama Insani</t>
  </si>
  <si>
    <t>BSK252190</t>
  </si>
  <si>
    <t>Pembayaran Shipment P1 PO 25038 Inv.0298, PT.Kartika Eka Yudha Maritim</t>
  </si>
  <si>
    <t>PPN 040.006-25.22279430, PT.Kartika Eka Yudha Maritim</t>
  </si>
  <si>
    <t>PPH 23 2% Pembayaran Shipment P1 PO 25038 Inv.0298, PT.Kartika Eka Yudha Maritim</t>
  </si>
  <si>
    <t>Pembayaran Shipment P2 PO 25038 Inv.0251, PT.Kartika Eka Yudha Maritim</t>
  </si>
  <si>
    <t>PPN 050.006-25.22279431, PT.Kartika Eka Yudha Maritim</t>
  </si>
  <si>
    <t>PPH 23 2% Pembayaran Shipment P2 PO 25038 Inv.0251, PT.Kartika Eka Yudha Maritim</t>
  </si>
  <si>
    <t>Pembayaran Warehouse Cost PO 25038 Inv.0197, PT.Kartika Eka Yudha Maritim</t>
  </si>
  <si>
    <t>PPN 04002500325052621, Seacon Bintang Sejahtera</t>
  </si>
  <si>
    <t>PPH 23 2% Pembayaran Warehouse Cost PO 25038 Inv.0197, PT.Kartika Eka Yudha Maritim</t>
  </si>
  <si>
    <t>BSK252098a</t>
  </si>
  <si>
    <t>BSK252149</t>
  </si>
  <si>
    <t>Pembayaran MCU a.n Faishol Aziz &amp; Reli Nurfaiz Inv.BKS-2510003077, PT.Cakra Mitra Sentosa</t>
  </si>
  <si>
    <t>PPH 23 2% Pembayaran MCU a.n Faishol Aziz &amp; Reli Nurfaiz Inv.BKS-2510003077, PT.Cakra Mitra Sentosa</t>
  </si>
  <si>
    <t>KSM25P060 &amp; KSM24P085</t>
  </si>
  <si>
    <t>Transfer Antar Bank, PT.Cakra Mitra Sentosa</t>
  </si>
  <si>
    <t>KK250253</t>
  </si>
  <si>
    <t>KK250242a</t>
  </si>
  <si>
    <t>Pembayaran Komisi Yuli Irawati atas Penjualan Proyek For Melter and Forehearth Area dengan Kode Project KSM25P002</t>
  </si>
  <si>
    <t>Pembayaran Komisi Yuli Irawati atas Penjualan Proyek Gas Turbin Meter System dengan Kode Project KSM25P003</t>
  </si>
  <si>
    <t>BSK252236</t>
  </si>
  <si>
    <t>Transport BBM a.n M Rahman, M Rahman</t>
  </si>
  <si>
    <t>Transport Toll a.n M Rahman, M Rahman</t>
  </si>
  <si>
    <t>Makan &amp; Minum a.n M Rahman, M Rahman</t>
  </si>
  <si>
    <t>Pembayaran Pengiriman Barang - PT.Maslim Pratama Inv.SPX-1445, CV.Sarana Pratama Expressindo</t>
  </si>
  <si>
    <t>PPH 23 2% Pembayaran Pengiriman Barang - PT.Maslim Pratama Inv.SPX-1445, CV.Sarana Pratama Expressindo</t>
  </si>
  <si>
    <t>BSK252179</t>
  </si>
  <si>
    <t>BSK252214</t>
  </si>
  <si>
    <t>Kurang Potong PPH PO 25106, PT.Nurman Indoban Sentosa</t>
  </si>
  <si>
    <t>KK250244</t>
  </si>
  <si>
    <t>KSM25P060 &amp; KSM25P124</t>
  </si>
  <si>
    <t>Transport a.n Fadjar Tri Ananda, Tirtonoto, Rudi Hartono, Fajar Andik dan Nabila Inv. 0111, PT. Mulia Sujar Abadi</t>
  </si>
  <si>
    <t>BK250154</t>
  </si>
  <si>
    <t>Pembayaran DP 30% PO 25388 Inv.ZMT20251103 USD 466,20 @ 16.870, Zenner Metering Technology (Shanghai) Ltd</t>
  </si>
  <si>
    <t>Transfer Bank USD 25 @ 16.870, Zenner Metering Technology (Shanghai) Ltd</t>
  </si>
  <si>
    <t>BK250160</t>
  </si>
  <si>
    <t>Pembayaran Pelunasan 70% PO 25388 Inv.ZMT20251114001A USD 1.087,80 @ 16.860, Zenner Metering Technology (Shanghai) Ltd</t>
  </si>
  <si>
    <t>Transfer Bank USD 25 @ 16.860, Zenner Metering Technology (Shanghai) Ltd</t>
  </si>
  <si>
    <t>BK250166a</t>
  </si>
  <si>
    <t>Pembayaran Transport Harian Petugas Jerman a.n Aris Kusnandar @ 6 Hari x USD 368 x 16.780 No.SPUH : MR.04.01/141/PKTN 4.6/ST/11/2025, Direktorat Metrologi</t>
  </si>
  <si>
    <t>Transfer Antar Bank USD 25 @ 16.780, Direktorat Metrologi</t>
  </si>
  <si>
    <t>BSK252230</t>
  </si>
  <si>
    <t>Transport Toll a.n M.Fadlan, M.Fadlan</t>
  </si>
  <si>
    <t>Transport Parkir a.n M.Fadlan, M.Fadlan</t>
  </si>
  <si>
    <t>BSK252242</t>
  </si>
  <si>
    <t>Transport BBM a.n Faishol Aziz, Faishol Aziz</t>
  </si>
  <si>
    <t>Makan &amp; Minum a.n Faishol Aziz &amp; PMO, Faishol Aziz</t>
  </si>
  <si>
    <t>BSK252252</t>
  </si>
  <si>
    <t>Pembayaran Pelunasan PO 25301 Inv.MSAS-25-11-01393, PT.Mitra Satu Solusindo</t>
  </si>
  <si>
    <t>PPN 04002500387848245, PT.Mitra Satu Solusindo</t>
  </si>
  <si>
    <t>Biaya Transfer, PT.Mitra Satu Solusindo</t>
  </si>
  <si>
    <t>Perlengkapan (Jilid Lakban 4 Cm @ 2 Buku), Adinda Naufianti Fadli</t>
  </si>
  <si>
    <t>JNE Kirim Document, Adinda Naufianti Fadli</t>
  </si>
  <si>
    <t>BK250171</t>
  </si>
  <si>
    <t>Pembayaran Pelunasan 70% PO 25369 Inv.25476-PO25369 USD 1.470 @ 16.815, Flour Valve Co.Ltd</t>
  </si>
  <si>
    <t>KSM25P093,KSM25P141,Jargas ESDM &amp; KSM25P157</t>
  </si>
  <si>
    <t>Biaya Transfer USD 25 @ 16.815, Flour Valve Co.Ltd</t>
  </si>
  <si>
    <t>Sewa Mobil Jargas Sleman @ 1 Bulan, Salisah</t>
  </si>
  <si>
    <t>PPH 23 2% Sewa Mobil Jargas Sleman @ 1 Bulan, Salisah</t>
  </si>
  <si>
    <t>Pembelian Tinta Jargas Sleman, Salisah</t>
  </si>
  <si>
    <t>Pembelian Aqua Jargas Sleman, Salisah</t>
  </si>
  <si>
    <t>Pembelian Plastik Sampah Jargas Sleman, Salisah</t>
  </si>
  <si>
    <t>Makan Meeting Jargas Sleman, Salisah</t>
  </si>
  <si>
    <t>Sewa Mobil a.n Rudi Hartono, Salisah</t>
  </si>
  <si>
    <t>PPH 23 2% Sewa Mobil a.n Rudi Hartono, Salisah</t>
  </si>
  <si>
    <t>BSK252099c</t>
  </si>
  <si>
    <t>Jaminan Pelaksanaan MD2531740148 - Jaminan Kredit Pembangunan Jaringan Pipa Gas Rumah Tangga Kab.Sleman Tahap II, PT.Perusahaan Gas Negara Tbk</t>
  </si>
  <si>
    <t>Material (Dexcell 4" x 8" @ 5 Unit) Jargas Sleman, Shavira Akmalia Putri</t>
  </si>
  <si>
    <t>Makan (Air Galon,Kopi,Gula), Shavira Akmalia Putri</t>
  </si>
  <si>
    <t>Perlengkapan Tissu, Shavira Akmalia Putri</t>
  </si>
  <si>
    <t>Transport BBM a.n Edi Kurniawan Jargas Sleman, Shavira Akmalia Putri</t>
  </si>
  <si>
    <t>Transport BBM a.n Mustofa Jargas Sleman, Shavira Akmalia Putri</t>
  </si>
  <si>
    <t>Transport Kereta a.n Ekky &amp; Fahmi, Shavira Akmalia Putri</t>
  </si>
  <si>
    <t>Transport BBM Sleman, Moura</t>
  </si>
  <si>
    <t>Konsumsi Penyerahan Limbah Sleman, Moura</t>
  </si>
  <si>
    <t>Sumbangan Koordinasi BPJN Sleman, Moura</t>
  </si>
  <si>
    <t>Sumbangan Koordinasi Penempatan RS Sleman, Moura</t>
  </si>
  <si>
    <t>Pulsa a.n Apta Jargas Sleman, Moura</t>
  </si>
  <si>
    <t>Transport Sedot WC Dirkit Jargas Sleman, Moura</t>
  </si>
  <si>
    <t>Makan &amp; Minum Joint Survey Sleman, Moura</t>
  </si>
  <si>
    <t>Material Lapangan (pylox), Moura</t>
  </si>
  <si>
    <t>Makan &amp; Minum Pantry Dirkit (Gas &amp; Aqua), Moura</t>
  </si>
  <si>
    <t>Transport Toll a.n Achmad Purwanto, Adinda Naufianti Fadli</t>
  </si>
  <si>
    <t>Transport BBM a.n Achmad Purwanto, Adinda Naufianti Fadli</t>
  </si>
  <si>
    <t>Pembayaran Sewa Lahan Parkir Selama 1 Bulan Jargas Sleman a.n Joko Raharjo, Adinda Naufianti Fadli</t>
  </si>
  <si>
    <t>PPH Final 10% Pembayaran Sewa Lahan Parkir Selama 1 Bulan Jargas Sleman a.n Joko Raharjo, Adinda Naufianti Fadli</t>
  </si>
  <si>
    <t>Ticket Kereta a.n Sigit &amp; Razak Jargas Sleman, Salisah</t>
  </si>
  <si>
    <t>Transport a.n Fahmi Jargas Sleman, Salisah</t>
  </si>
  <si>
    <t>Makan a.n Razak,PU &amp; CGP Jargas Sleman, Salisah</t>
  </si>
  <si>
    <t>Transport a.n Akbar Jargas Sleman, Salisah</t>
  </si>
  <si>
    <t>Makan a.n Achmad &amp; CGP Jargas Sleman, Salisah</t>
  </si>
  <si>
    <t>BSK252120</t>
  </si>
  <si>
    <t>Pembayaran Pekerjaan CA PK-RS JIH Sleman a.n Mandor Herman, Mandor Herman</t>
  </si>
  <si>
    <t>PPH Final 4% Pembayaran Pekerjaan CA PK-RS JIH Sleman a.n Mandor Herman, Mandor Herman</t>
  </si>
  <si>
    <t>Retensi 5% Pembayaran Pekerjaan CA PK-RS JIH Sleman a.n Mandor Herman, Mandor Herman</t>
  </si>
  <si>
    <t>Transfer Antar Bank, Mandor Herman</t>
  </si>
  <si>
    <t>BSK252124</t>
  </si>
  <si>
    <t>Pembayaran Opname Ke VII Pekerjaan Galian &amp; Instalasi SK/SR Sleman Inv.001/25, Mandor Sugharto</t>
  </si>
  <si>
    <t>PPH Final 4% Pembayaran Opname Ke VII Pekerjaan Galian &amp; Instalasi SK/SR Sleman Inv.001/25, Mandor Sugharto</t>
  </si>
  <si>
    <t>Retensi 5% Pembayaran Opname Ke VII Pekerjaan Galian &amp; Instalasi SK/SR Sleman Inv.001/25, Mandor Sugharto</t>
  </si>
  <si>
    <t>Biaya Transfer, Mandor Sugiharto</t>
  </si>
  <si>
    <t>BSK252125</t>
  </si>
  <si>
    <t>Transport Toll a.n Sigit P, Sigit P</t>
  </si>
  <si>
    <t>Transport Parkir a.n Sigit P, Sigit P</t>
  </si>
  <si>
    <t>BSK252137</t>
  </si>
  <si>
    <t>Transport BBM, M Razak</t>
  </si>
  <si>
    <t>Makan &amp; Minum (Lembur Tagihan Di Kantor LPP PGN Pekerjaan Pretest Pipa), M Razak</t>
  </si>
  <si>
    <t>Makan &amp; Minum (Air Galon,Kopi), M Razak</t>
  </si>
  <si>
    <t>Sumbangan Koordinasi Pretest Pipa 180, M Razak</t>
  </si>
  <si>
    <t>Token Listrik, M Razak</t>
  </si>
  <si>
    <t>JNE, M Razak</t>
  </si>
  <si>
    <t>Sparepart (Ganti Keyboard Laptop,Grease,Seal,Slider), M Razak</t>
  </si>
  <si>
    <t>Perlengkapan (Tanda Gas,Baterai,ATK,Materai), M Razak</t>
  </si>
  <si>
    <t>BSM250222c</t>
  </si>
  <si>
    <t>Sewa Kendaraan Mobil @ 2 Hari a.n Sigit P, Shavira Akmalia Putri</t>
  </si>
  <si>
    <t>PPh 23 2% Sewa Kendaraan Mobil @ 2 Hari a.n Sigit P, Shavira Akmalia Putri</t>
  </si>
  <si>
    <t>Pembayaran Token Listrik Kontrakan Jargas Sleman, Shavira Akmalia Putri</t>
  </si>
  <si>
    <t>Perlengkapan (Batu Baterai) Jargas Sleman, Shavira Akmalia Putri</t>
  </si>
  <si>
    <t>Pulsa a.n Mustofa Jargas Sleman, Shavira Akmalia Putri</t>
  </si>
  <si>
    <t>BSM250222d</t>
  </si>
  <si>
    <t>Makan a.n Sigit Praptowo dengan CGP Sleman, Adinda Naufianti Fadli</t>
  </si>
  <si>
    <t>Transport Tiket Kereta a.n Sigit Praptowo &amp; Razak, Adinda Naufianti Fadli</t>
  </si>
  <si>
    <t>Transport Taxi a.n Sigit Praptowo, Adinda Naufianti Fadli</t>
  </si>
  <si>
    <t>Perlengkapan (Laminating) Jargas Sleman, Adinda Naufianti Fadli</t>
  </si>
  <si>
    <t>Makan Kantor (Aqua Galon, Kopi, Minyak Goreng) Jargas Sleman, Adinda Naufianti Fadli</t>
  </si>
  <si>
    <t>BSM250223a</t>
  </si>
  <si>
    <t>Transport Pesawat a.n Sigit Praptowo, Shavira Akmalia Putri</t>
  </si>
  <si>
    <t>Makan (Gula dan Air Mineral) Jargas Sleman, Shavira Akmalia Putri</t>
  </si>
  <si>
    <t>Peralatan (Nota Surat Jalan @ 2 Pcs) Jargas Sleman, Shavira Akmalia Putri</t>
  </si>
  <si>
    <t>Makan Kegiatan Survei dengan CGP Jargas Sleman, Shavira Akmalia Putri</t>
  </si>
  <si>
    <t>Makan Meeting Jargas Sleman, Moura</t>
  </si>
  <si>
    <t>BSK252161</t>
  </si>
  <si>
    <t>Transport Sosialisasi @ 45 org x 50.000 Pembangunan Jaringan Pipa Gas Rumah Tangga Sleman, Raden Panji Aryo Benowo</t>
  </si>
  <si>
    <t>BSK252165</t>
  </si>
  <si>
    <t>Pembayaran PO 25429 Inv.PI 01521/KPS/XI/2025, Karya Prima Suplindo</t>
  </si>
  <si>
    <t>PPN Pembayaran PO 25429 Inv.PI 01521/KPS/XI/2025, Karya Prima Suplindo</t>
  </si>
  <si>
    <t>Biaya Transfer, Karya Prima Suplindo</t>
  </si>
  <si>
    <t>Makan (Air Galon dan Kopi) Jargas Sleman, Shavira Akmalia</t>
  </si>
  <si>
    <t>Sparepart (Isi Angin) Jargas Sleman, Shavira Akmalia</t>
  </si>
  <si>
    <t>Perlengkapan (Sabun Cuci Piring) Jargas Sleman, Shavira Akmalia</t>
  </si>
  <si>
    <t>Makan Onboard Jargas Sleman, Shavira Akmalia</t>
  </si>
  <si>
    <t>BSK252173</t>
  </si>
  <si>
    <t>Transport Gojeck a.n Rendra B, Rendra B</t>
  </si>
  <si>
    <t>Software (Claude AI), Rendra B</t>
  </si>
  <si>
    <t>Perpanjang Storage Google Drive, Rendra B</t>
  </si>
  <si>
    <t>BSK252180a</t>
  </si>
  <si>
    <t>Pembayaran Opname Ke-1 002/SPK/KSM.CGP5/XI/2025 a.n Sugiharto Periode 27 November &amp; 2 Desember 2025, Adinda Naufianti Fadli</t>
  </si>
  <si>
    <t>PPh Final 4% Pembayaran Opname Ke-1 002/SPK/KSM.CGP5/XI/2025 a.n Sugiharto Periode 27 November &amp; 2 Desember 2025, Adinda Naufianti Fadli</t>
  </si>
  <si>
    <t>Retensi 5% Pembayaran Opname Ke-1 002/SPK/KSM.CGP5/XI/2025 a.n Sugiharto Periode 27 November &amp; 2 Desember 2025, Adinda Naufianti Fadli</t>
  </si>
  <si>
    <t>Pembayaran Opname Ke-8 001/SPK/KSM.CGP5/VII/2025 a.n Sugiharto Periode 21 November &amp; 1 Desember 2025, Adinda Naufianti Fadli</t>
  </si>
  <si>
    <t>PPh Final 4% Pembayaran Opname Ke-8 001/SPK/KSM.CGP5/VII/2025 a.n Sugiharto Periode 21 November &amp; 1 Desember 2025, Adinda Naufianti Fadli</t>
  </si>
  <si>
    <t>Retensi 5% Pembayaran Opname Ke-8 001/SPK/KSM.CGP5/VII/2025 a.n Sugiharto Periode 21 November &amp; 1 Desember 2025, Adinda Naufianti Fadli</t>
  </si>
  <si>
    <t>BSK252185</t>
  </si>
  <si>
    <t>Pembayaran DP 30% PO 25431 Inv.288-INV-PPN-XI-2025, PT.Bhirawa Metal Mandiri</t>
  </si>
  <si>
    <t>PPN 04002500389821695, PT.Bhirawa Metal Mandiri</t>
  </si>
  <si>
    <t>BSK252187</t>
  </si>
  <si>
    <t>Pembayaran PO 25394 Inv.051/KIS-INV/XI/2025, PT.Karya Instrumindo Simpati</t>
  </si>
  <si>
    <t>PPN 04002500369849718, PT.Karya Instrumindo Simpati</t>
  </si>
  <si>
    <t>BSK252191</t>
  </si>
  <si>
    <t>Pembayaran PO 25309 Inv.087/MSI/XI/25M, PT.Mayo Star Indonesia</t>
  </si>
  <si>
    <t>PPN 04002500365638550, PT.Mayo Star Indonesia</t>
  </si>
  <si>
    <t>Transfer Antar Bank, PT.Mayo Star Indonesia</t>
  </si>
  <si>
    <t>BSK252200</t>
  </si>
  <si>
    <t>Pembayaran PO 25441 Inv.065/PI-XII/ATS/2025, PT.Angka Teknik Sepadan</t>
  </si>
  <si>
    <t>Biaya Kalibrasi Metrologi PO 25441 Inv.065/PI-XII/ATS/2025, PT.Angka Teknik Sepadan</t>
  </si>
  <si>
    <t>PPN PO 25441 Inv.065/PI-XII/ATS/2025, PT.Angka Teknik Sepadan</t>
  </si>
  <si>
    <t>(Biaya Pajak/Kurang Bayar) PPH 23 2% PO 25441 Inv.065/PI-XII/ATS/2025, PT.Angka Teknik Sepadan</t>
  </si>
  <si>
    <t>Biaya Transfer, PT.Angka Teknik Sepadan</t>
  </si>
  <si>
    <t>BSK252204</t>
  </si>
  <si>
    <t>KSM25P093 &amp; Jargas</t>
  </si>
  <si>
    <t>Bea Masuk PO 25369 &amp; PO 25397, Direktorat Jenderal Bea &amp; Cukai</t>
  </si>
  <si>
    <t>PPN Import Bea Masuk PO 25369 &amp; PO 25397, Direktorat Jenderal Bea &amp; Cukai</t>
  </si>
  <si>
    <t>PPH Import Bea Masuk PO 25369 &amp; PO 25397, Direktorat Jenderal Bea &amp; Cukai</t>
  </si>
  <si>
    <t>Kurang Potong PPH PO 25380, PT.Nurman Indoban Sentosa</t>
  </si>
  <si>
    <t>BSK252232</t>
  </si>
  <si>
    <t xml:space="preserve">Pembayaran Claud AI Untuk Jargas Sleman, Andre </t>
  </si>
  <si>
    <t>BSK252235</t>
  </si>
  <si>
    <t>Transport BBM a.n M Razak, M Razak</t>
  </si>
  <si>
    <t>Makan &amp; Minum (Joint Survey UGM,CGP,CSMS), M Razak</t>
  </si>
  <si>
    <t>Makan &amp; Minum (Air Galon,Kopi,Minyak), M Razak</t>
  </si>
  <si>
    <t>Pulsa a.n M Razak Periode November 2025, M Razak</t>
  </si>
  <si>
    <t>Software (Install Windows), M Razak</t>
  </si>
  <si>
    <t>Perelengkapan (SSD Laptop Wahyu,Tissu,gas), M Razak</t>
  </si>
  <si>
    <t>BSK252237</t>
  </si>
  <si>
    <t>Transport BBM a.n Agung Sulistyono, Agung Sulistyono</t>
  </si>
  <si>
    <t>Transport Toll a.n Agung Sulistyono, Agung Sulistyono</t>
  </si>
  <si>
    <t>BSK252253</t>
  </si>
  <si>
    <t>Pembayaran PO 25339 Inv.045/KIS-INV/X/2025, PT.Karya Instrumindo Simpati</t>
  </si>
  <si>
    <t>PPN 04002500335170109, PT.Karya Instrumindo Simpati</t>
  </si>
  <si>
    <t>Pembayaran PO 25323 Inv.041/KIS-INV/X/2025, PT.Karya Instrumindo Simpati</t>
  </si>
  <si>
    <t>PPN 04002500314209506, PT.Karya Instrumindo Simpati</t>
  </si>
  <si>
    <t>Pembayaran PO 25255 Inv.042/KIS-INV/X/2025, PT.Karya Instrumindo Simpati</t>
  </si>
  <si>
    <t>PPN 04002500319045335, PT.Karya Instrumindo Simpati</t>
  </si>
  <si>
    <t>Pembayaran PO 25268 Inv.043/KIS-INV/X/2025, PT.Karya Instrumindo Simpati</t>
  </si>
  <si>
    <t>PPN 04002500319045361, PT.Karya Instrumindo Simpati</t>
  </si>
  <si>
    <t>Biaya Transfer, PT.Karya Instrumindo Simpati</t>
  </si>
  <si>
    <t>Pembayaran Pengiriman Barang - PT.PGN - Yoya Inv.SPX-1449, CV.Sarana Pratama Expressindo</t>
  </si>
  <si>
    <t>PPH 23 2% Pembayaran Pengiriman Barang - PT.PGN - Yoya Inv.SPX-1449, CV.Sarana Pratama Expressindo</t>
  </si>
  <si>
    <t>Pembayaran Pengiriman Barang - Site Jargas Sleman Inv.SPX-1447, CV.Sarana Pratama Expressindo</t>
  </si>
  <si>
    <t>PPH 23 2% Pembayaran Pengiriman Barang - Site Jargas Sleman Inv.SPX-1447, CV.Sarana Pratama Expressindo</t>
  </si>
  <si>
    <t>Pembayaran Pengiriman Barang - Site Jargas Sleman Inv.SPX-1442, CV.Sarana Pratama Expressindo</t>
  </si>
  <si>
    <t>PPH 23 2% Pembayaran Pengiriman Barang - Site Jargas Sleman Inv.SPX-1442, CV.Sarana Pratama Expressindo</t>
  </si>
  <si>
    <t>BK250146</t>
  </si>
  <si>
    <t>KSM25P121</t>
  </si>
  <si>
    <t>Pembayaran DP30% PO 25348 Inv.25456 USD 1.023 @ 16.710, Zhejiang Flour Valve Co Ltc</t>
  </si>
  <si>
    <t>BK250158</t>
  </si>
  <si>
    <t>Pembayaran Pelunasan 30% PO 25348 Inv.25456 USD 2.762 @ 16.850, Zhejiang Flour Valve Co.LTD</t>
  </si>
  <si>
    <t>KSM25P121 &amp; SEP</t>
  </si>
  <si>
    <t>Transfer Bank USD 25 @ 16.850, Zhejiang Flour Valve Co.LTD</t>
  </si>
  <si>
    <t>Makan &amp; Minum (Faishol,Agung,Dhani,Rahman &amp; Bayu), Faishol Aziz</t>
  </si>
  <si>
    <t>Makan Lembur BBG (Rizal,Arfa,Amry), Eko Waluyo</t>
  </si>
  <si>
    <t>Makan Lembur BBG (Amry), Eko Waluyo</t>
  </si>
  <si>
    <t>BSK251973</t>
  </si>
  <si>
    <t>Pembelian Flow Profiler 3" Ansi 150-2500 Sch 40 @ 2 Pcs Inv.0180/SMB/X/25, Sutarman</t>
  </si>
  <si>
    <t>BSK251999i</t>
  </si>
  <si>
    <t>Pembayaran Pembuatan Bank Garansi Jaminan Uang Muka MD2530146860, BSI</t>
  </si>
  <si>
    <t>Pembayaran DP 35% PO 25374 Inv.0711025, PT.Nurman Indoban Sentosa</t>
  </si>
  <si>
    <t>PPN 04002500349455338, PT.Nurman Indoban Sentosa</t>
  </si>
  <si>
    <t>PPh Final Psl 4 Ayat 2 2,65% Pembayaran DP 35% PO 25374 Inv.0711025, PT.Nurman Indoban Sentosa</t>
  </si>
  <si>
    <t>Transport Inspeksi Material Project BBG @4 Orang, Adinda Naufianti Fadli</t>
  </si>
  <si>
    <t>Makan Lembur BBG (Amry &amp; Arfa), Eko Waluyo</t>
  </si>
  <si>
    <t>BSK252101</t>
  </si>
  <si>
    <t>Pembayaran DP 30% PO 25383 Inv.272, PT.Bhirawa Metal Mandiri</t>
  </si>
  <si>
    <t>PPN 04002500363286369, PT.Bhirawa Metal Mandiri</t>
  </si>
  <si>
    <t>BSK252140</t>
  </si>
  <si>
    <t>Bea Masuk PO 25348 @ 46,3%</t>
  </si>
  <si>
    <t>KSM25P121,KSM25P141 &amp; KSM25P131</t>
  </si>
  <si>
    <t>PPN Import PO 25348,PO 25349 &amp; PO 25351</t>
  </si>
  <si>
    <t>PPH Import PO 25348,PO 25349 &amp; PO 25351</t>
  </si>
  <si>
    <t>BSK252199</t>
  </si>
  <si>
    <t>Pembayaran PO 25435 inv.1493/AF/XII/2025 UD Abadi Filter, Udin  Mulyana</t>
  </si>
  <si>
    <t>Kurang Potong PPH PO 25374, PT.Nurman Indoban Sentosa</t>
  </si>
  <si>
    <t>BSK252221</t>
  </si>
  <si>
    <t>Ops Kantor &amp; KSM25P121</t>
  </si>
  <si>
    <t>PPH Import PO 25258 &amp; PO 25347, Direktorat Jenderal Bea &amp; Cukai</t>
  </si>
  <si>
    <t>PPN Import PO 25258 &amp; PO 25347, Direktorat Jenderal Bea &amp; Cukai</t>
  </si>
  <si>
    <t>BSK252222</t>
  </si>
  <si>
    <t>KSM25P131,KSM25P121 &amp; KSM25P140</t>
  </si>
  <si>
    <t>PPH Import PO 25319, PO 25348 &amp; PO 25349, Direktorat Jenderal Bea &amp; Cukai</t>
  </si>
  <si>
    <t>PPN Import PO 25319, PO 25348 &amp; PO 25349, Direktorat Jenderal Bea &amp; Cukai</t>
  </si>
  <si>
    <t>Makan &amp; Minum a.n Faishol Aziz &amp; BBG, Faishol Aziz</t>
  </si>
  <si>
    <t>BSK252251</t>
  </si>
  <si>
    <t>Pembayaran PO 25389 Inv.3S/INV/25-11/561, PT.3S International</t>
  </si>
  <si>
    <t>PPN 04002500385739027, PT.3S International</t>
  </si>
  <si>
    <t>Biaya Transfer, PT.3S International</t>
  </si>
  <si>
    <t>KSM25P124</t>
  </si>
  <si>
    <t>Makan Lembur PKG (Faishol), Eko Waluyo</t>
  </si>
  <si>
    <t>Gocar a.n Fajar Andik Ke Bandara Halim Perdana Kusuma, Shavira Akmalia</t>
  </si>
  <si>
    <t>BSK251932</t>
  </si>
  <si>
    <t>Pembayaran PO 25350 Inv.AP-225225/PO/X, Altaprima Adhimandiri</t>
  </si>
  <si>
    <t>PPN Pembayaran PO 25350 Inv.AP-225225/PO/X, Altaprima Adhimandiri</t>
  </si>
  <si>
    <t>Transfer Antar Bank, Altaprima Adhimandiri</t>
  </si>
  <si>
    <t>Transport Parkir, Bayu Noor W</t>
  </si>
  <si>
    <t>Makan Lembur Jargas Cirebon (Suci &amp; Wulan), Eko Waluyo</t>
  </si>
  <si>
    <t>Makan Lembur PKG (Arfa,Amry), Eko Waluyo</t>
  </si>
  <si>
    <t>Sewa Mobil a.n Fajar Andik C @ 3 Hari, Salisah</t>
  </si>
  <si>
    <t>PPh 2% Sewa Mobil a.n Fajar Andik C @ 3 Hari, Salisah</t>
  </si>
  <si>
    <t>Transport BBM Antar Mobil a.n Fajar Andik C, Salisah</t>
  </si>
  <si>
    <t>Double Bayar Transport BBM Antar Mobil a.n Fajar Andik C, Salisah</t>
  </si>
  <si>
    <t>BSK251983</t>
  </si>
  <si>
    <t>Transport Taxi, Agung Sulistyono</t>
  </si>
  <si>
    <t>Transport Parkir, Agung Sulistyono</t>
  </si>
  <si>
    <t>Makan &amp; Minum (Faishol,Agung S,Bayu,Bayhaqi,Dio Nesta,Fajar Andik), Agung Sulistyono</t>
  </si>
  <si>
    <t>Transport a.n Fadjar Andik C, Salisah</t>
  </si>
  <si>
    <t>Sewa Mobil a.n Fajar Andik C, Salisah</t>
  </si>
  <si>
    <t>PPh 2% Sewa Mobil a.n Fajar Andik C, Salisah</t>
  </si>
  <si>
    <t>Makan Pertagas, Rizqi Aulia</t>
  </si>
  <si>
    <t>Transport loading Material Jargas Cirebon, Rizqi Aulia</t>
  </si>
  <si>
    <t>BSK252009</t>
  </si>
  <si>
    <t>Pembayaran DP 30% PO 25366 Inv.13/INV/AJP/X/2025, CV.Anita Jaya Perkasa</t>
  </si>
  <si>
    <t>PPN Pembayaran DP 30% PO 25366 Inv.13/INV/AJP/X/2025, CV.Anita Jaya Perkasa</t>
  </si>
  <si>
    <t>PPh 2% Pembayaran DP 30% PO 25366 Inv.13/INV/AJP/X/2025, CV.Anita Jaya Perkasa</t>
  </si>
  <si>
    <t>Transfer Bank, CV.Anita Jaya Perkasa</t>
  </si>
  <si>
    <t>BSK252034</t>
  </si>
  <si>
    <t>Pembayaran PO 25371 Inv.PI-CKR-2025-288, PT.Eonchemicals Putra</t>
  </si>
  <si>
    <t>PPN Pembayaran PO 25371 Inv.PI-CKR-2025-288, PT.Eonchemicals Putra</t>
  </si>
  <si>
    <t>Transfer Antar Bank, PT.Eonchemicals Putra</t>
  </si>
  <si>
    <t>BSK252048</t>
  </si>
  <si>
    <t>Transport Taxi &amp; Gocar, Faishol Aziz</t>
  </si>
  <si>
    <t>Makan &amp; Minum (Faishol A &amp; Pertagas), Faishol Aziz</t>
  </si>
  <si>
    <t>Entertain (Oleh-Oleh Untuk Pertagas), Faishol Aziz</t>
  </si>
  <si>
    <t>BSK252079a</t>
  </si>
  <si>
    <t>Hotel a.n Fajar Andik C</t>
  </si>
  <si>
    <t>Tiket Pesawat a.n Fajar Andik dan Rudi Hartono</t>
  </si>
  <si>
    <t>Transport Gosend (Passport Nabila), Adinda Naufianti Fadli</t>
  </si>
  <si>
    <t>Makan Lembur PKG (Isna,Hetty), Eko Waluyo</t>
  </si>
  <si>
    <t>Transport Appoinment Visa a.n Aep Riyadi, Diah, Zuhruff, dan Febrian (Pertagas), Adinda Naufianti Fadli</t>
  </si>
  <si>
    <t>Transport Visa a.n Herosubroto Ditmet, Shavira Akmalia Putri</t>
  </si>
  <si>
    <t>Transport Visa China Jargas ESDM, Moura</t>
  </si>
  <si>
    <t>Hotel a.n Hero S Ditmet, Moura</t>
  </si>
  <si>
    <t>Makan &amp; Minum (Hetty &amp; Hero Ditmet), Moura</t>
  </si>
  <si>
    <t>Transport Whoosh a.n Hero S Ditmet, Moura</t>
  </si>
  <si>
    <t>BSK252156</t>
  </si>
  <si>
    <t>Pembayaran Pengurusan dan Pengambilan Visa @ 5 Orang a.n (Aep,Ika,Herosobroto,Febriyan,Zhuhruf), Nurjanah Luthfiyah S</t>
  </si>
  <si>
    <t>KSM25P060&amp;KSM25P124</t>
  </si>
  <si>
    <t>Transfer Antar Bank, Nurjanah Luthfiyah S</t>
  </si>
  <si>
    <t>BSK252158</t>
  </si>
  <si>
    <t>Pembayaran Ansuransi Perjalan Luar Negeri @ 5 Orang a.n (Aep,Ika,Herosobroto,Febriyan,Zhuhruf) Inv.INV/2025/0115, PT.Mulia Sujar Abadi</t>
  </si>
  <si>
    <t>Transfer Antar Bank, PT.Mulia Sujar Abadi</t>
  </si>
  <si>
    <t>Transport Tiket Kereta a.n Ibu Winarto (Agen Visa), Adinda Naufianti Fadli</t>
  </si>
  <si>
    <t>Makan a.n Ibu Winarto (Agen Visa), Adinda Naufianti Fadli</t>
  </si>
  <si>
    <t>Makan a.n Hetti &amp; Roy, Adinda Naufianti Fadli</t>
  </si>
  <si>
    <t>Pembelian Token Listrik Gudang Jargas Cirebon, Adinda Naufianti Fadli</t>
  </si>
  <si>
    <t>Transport Lokal Agen Visa Ke Surabaya a.n Ibnu Winarto, Adinda Naufianti Fadli</t>
  </si>
  <si>
    <t>BSK252184</t>
  </si>
  <si>
    <t>Pembayaran Pelunasan PO 25350 Inv.AP-225225/PO/X, PT.Altaprima Adhimandiri</t>
  </si>
  <si>
    <t>PPN Pembayaran Pelunasan PO 25350 Inv.AP-225225/PO/X, PT.Altaprima Adhimandiri</t>
  </si>
  <si>
    <t>Transfer Antar Bank, PT.Altaprima Adhimandiri</t>
  </si>
  <si>
    <t>Pembayaran Pengiriman Barang - CV AJP Sidoarjo Inv.SPX-1452, CV.Sarana Pratama Expressindo</t>
  </si>
  <si>
    <t>PPH 23 2% Pembayaran Pengiriman Barang - CV AJP Sidoarjo Inv.SPX-1452, CV.Sarana Pratama Expressindo</t>
  </si>
  <si>
    <t>KSM25P128</t>
  </si>
  <si>
    <t>Makan Lembur (Isna,Hetty,Anjani,Nabila), Eko Waluyo</t>
  </si>
  <si>
    <t>Pembayaran PNBP Plat Orifice, Direktorat Metrologi, Adinda Naufianti Fadli</t>
  </si>
  <si>
    <t>Pembayaran Pengiriman Barang - PT.TGI Indragiri Hulu-Riau Inv.SPX-1448, CV.Sarana Pratama Expressindo</t>
  </si>
  <si>
    <t>PPH 23 2% Pembayaran Pengiriman Barang - PT.TGI Indragiri Hulu-Riau Inv.SPX-1448, CV.Sarana Pratama Expressindo</t>
  </si>
  <si>
    <t>KSM25P131</t>
  </si>
  <si>
    <t>Pembelian Flow Profiler 3" Ansi 150-2500 Sch 40 @ 2 Pcs Inv.0181/SMB/X/25, Sutarman</t>
  </si>
  <si>
    <t>Pembelian Flow Profiler 4" Ansi 150-2500 Sch 40 @ 2 Pcs Inv.0181/SMB/X/25, Sutarman</t>
  </si>
  <si>
    <t>Perlengkapan (Terpal 8x8 @4 Lembar), Adinda Naufianti Fadli</t>
  </si>
  <si>
    <t>Makan a.n Agung dengan Pak Kamil (SEP), Adinda Naufianti Fadli</t>
  </si>
  <si>
    <t>Transport Inspeksi Material Project SEP a.n Pak Kamil, Adinda Naufianti Fadli</t>
  </si>
  <si>
    <t>Peralatan &amp; Perlengkapan (Tali Rapiah), Eko Waluyo</t>
  </si>
  <si>
    <t>Makan Lembur SEP (Arfa,Rudi H,Agung,Faishol), Eko Waluyo</t>
  </si>
  <si>
    <t>BSK252064</t>
  </si>
  <si>
    <t>Pembayaran PO 25385 Inv.01/SR/XI/25/KSMT, CV.Sumber Rezeki</t>
  </si>
  <si>
    <t>PPN Pembayaran PO 25385 Inv.01/SR/XI/25/KSMT, CV.Sumber Rezeki</t>
  </si>
  <si>
    <t>PPh 23 2% Pembayaran PO 25385 Inv.01/SR/XI/25/KSMT, CV.Sumber Rezeki</t>
  </si>
  <si>
    <t>Transfer Bank, CV.Sumber Rezeki</t>
  </si>
  <si>
    <t>Makan a.n Fajar Andik dengan Tim SEP, Adinda Naufianti Fadli</t>
  </si>
  <si>
    <t>BSK252090</t>
  </si>
  <si>
    <t>Pembayaran PO 25410 Inv.INV-SUG/XI/2025, PT.Sinar Utama Grounding</t>
  </si>
  <si>
    <t>PPN Pembayaran PO 25410 Inv.INV-SUG/XI/2025, PT.Sinar Utama Grounding</t>
  </si>
  <si>
    <t>Biaya Transfer, PT.Sinar Utama Grounding</t>
  </si>
  <si>
    <t>Transport Toll a.n Rudi Hartono</t>
  </si>
  <si>
    <t>Makan a.n Fajar Andik C &amp; Tim SEP @ 15 Org, Shavira Akmalia Putri</t>
  </si>
  <si>
    <t>BSK252102</t>
  </si>
  <si>
    <t>Pembayaran DP 30% PO 25384 Inv.273 @ 0,00342%, PT.Bhirawa Metal Mandiri</t>
  </si>
  <si>
    <t>KSM25P131,KSM25P140 &amp; KSM25P141</t>
  </si>
  <si>
    <t>PPN 04002500363286371, PT.Bhirawa Metal Mandiri</t>
  </si>
  <si>
    <t>Bea Masuk PO 25351 @ 13,4%</t>
  </si>
  <si>
    <t>Pembayaran PNBP UTTP Meter Gas Turbin dan EVC Kementerian Perdagangan, Shavira Akmalia Putri</t>
  </si>
  <si>
    <t>BSK252153</t>
  </si>
  <si>
    <t>Pembelian Thermowell 3" SCH 40 @ 4 Ea Inv.0114/SMB/XI/25 Saudara Mandiri Bangkit, Sutarman</t>
  </si>
  <si>
    <t>KSM25P140,SEP &amp; KSM25P131</t>
  </si>
  <si>
    <t>BSM250227b</t>
  </si>
  <si>
    <t>Penerimaan Pembayaran DP 45% Inv. 220, PT. Surya Energi Parahita</t>
  </si>
  <si>
    <t>PPN 11% Penerimaan Pembayaran DP 45% Inv. 220, PT. Surya Energi Parahita</t>
  </si>
  <si>
    <t>BSK252180</t>
  </si>
  <si>
    <t>BSK252201</t>
  </si>
  <si>
    <t>Makan Lembur, Eko Waluyo</t>
  </si>
  <si>
    <t>Kurang Potong PPH PO 25373, PT.Nurman Indoban Sentosa</t>
  </si>
  <si>
    <t>BSK252262</t>
  </si>
  <si>
    <t>KSM25P152</t>
  </si>
  <si>
    <t>Transport Grab a.n M Rahman, M Rahman</t>
  </si>
  <si>
    <t>BSK252300</t>
  </si>
  <si>
    <t>Transport Gojek a.n M Rahman, M Rahman</t>
  </si>
  <si>
    <t>Transport Kereta a.n M Rahman</t>
  </si>
  <si>
    <t>BSK252293</t>
  </si>
  <si>
    <t>Material Lapangan (Dinabolt,KWT Las,Batu Pot), Azyana Febri Rumpaka</t>
  </si>
  <si>
    <t>Sewa Mobil Innova @ 14 Hari, Azyana Febri Rumpaka</t>
  </si>
  <si>
    <t>PPH 23 2% Sewa Mobil Innova @ 14 Hari, Azyana Febri Rumpaka</t>
  </si>
  <si>
    <t>Laundry a.n Azyana Febri Rumpaka, Azyana Febri Rumpaka</t>
  </si>
  <si>
    <t>Makan a.n (Azyana Febri Rumpaka &amp; Laras), Azyana Febri Rumpaka</t>
  </si>
  <si>
    <t>BSK252294</t>
  </si>
  <si>
    <t>Transport Helper @ 4 Org Periode 23 Nov sd 11 Des 2025, Azyana Febri Rumpaka</t>
  </si>
  <si>
    <t>Transport Kapal a.n Azyana Febri Rumpaka, Azyana Febri Rumpaka</t>
  </si>
  <si>
    <t>BSK252311</t>
  </si>
  <si>
    <t>Pembayaran PO 25439 Inv.611/INV/KSM/XII/25, PT.Elektra Sinergi Indonesia</t>
  </si>
  <si>
    <t>PPN 04002500402511184, PT.Elektra Sinergi Indonesia</t>
  </si>
  <si>
    <t>Biaya Transfer, PT.Elektra Sinergi Indonesia</t>
  </si>
  <si>
    <t>02 Des 2025</t>
  </si>
  <si>
    <t>03 Des 2025</t>
  </si>
  <si>
    <t>05 Des 2025</t>
  </si>
  <si>
    <t>31 Des 2025</t>
  </si>
  <si>
    <t>JP-2512012b</t>
  </si>
  <si>
    <t>Transport Dio Jargas Bali, KSO Noorel - KSM</t>
  </si>
  <si>
    <t>JP-2512012d</t>
  </si>
  <si>
    <t>Material Lapangan (Seal Tape, Threebond), KSO Noorel - KSM</t>
  </si>
  <si>
    <t>Listrik Bali, KSO Noorel - KSM</t>
  </si>
  <si>
    <t>Biaya Transfer, KSO Noorel - KSM</t>
  </si>
  <si>
    <t>JP-2512014</t>
  </si>
  <si>
    <t>Penginapan a.n Azyana@2 kamar</t>
  </si>
  <si>
    <t>JP-2512016</t>
  </si>
  <si>
    <t>Mateiral U-Bolt dan Kuas Jargas Bali</t>
  </si>
  <si>
    <t>JP-2512021</t>
  </si>
  <si>
    <t xml:space="preserve">Bea Masuk PO 25358 dan 25433 Dirjen Pajak, KSO Noorel - KSM </t>
  </si>
  <si>
    <t>JP-2512039</t>
  </si>
  <si>
    <t>Material (Ball Valve Kuningan 1/2" Kitz) Jargas Bali</t>
  </si>
  <si>
    <t>JP-2512067</t>
  </si>
  <si>
    <t>HPP Gaji Jargas Bali Desember 2025</t>
  </si>
  <si>
    <t>Tarnspory a.n Achmad Bayhaqi</t>
  </si>
  <si>
    <t>Transport a.n Achmad Bayhaqi</t>
  </si>
  <si>
    <t>HPP Gaji TGI Wetcal Desember 2025</t>
  </si>
  <si>
    <t>KK250256</t>
  </si>
  <si>
    <t>Pembayaran Komisi Yuli Irawati atas Penjualan Proyek Pekerjaan Wet Calibration Ultrasonic Duri 2 Metering Station</t>
  </si>
  <si>
    <t>BSM250227m</t>
  </si>
  <si>
    <t>Transport Tiket Pesawat a.n Achmad Bayhaqi,Relli Nurfaiz,Arif Budiman, Rizqi Aulia</t>
  </si>
  <si>
    <t>Biaya Admin, Rizqi Aulia</t>
  </si>
  <si>
    <t>Dakota Kirim Document, Rizqi Aulia</t>
  </si>
  <si>
    <t>Makan Tim TGI Duri, Rizqi Aulia</t>
  </si>
  <si>
    <t>BSK252244a</t>
  </si>
  <si>
    <t>BSK252321</t>
  </si>
  <si>
    <t>Material Lapangan (Flowstraigner 4"), Rudi Hartono</t>
  </si>
  <si>
    <t>JP-2512072</t>
  </si>
  <si>
    <t xml:space="preserve">Parkir, Fajar Andik </t>
  </si>
  <si>
    <t xml:space="preserve">Toll, Fajar Andik </t>
  </si>
  <si>
    <t xml:space="preserve">BBM, Fajar Andik </t>
  </si>
  <si>
    <t>Pembayaran Komisi Yuli Irawati atas Penjualan Proyek Metering Orifice 4 Inch den</t>
  </si>
  <si>
    <t>Pembayaran Komisi Yuli Irawati atas Penjualan Proyek Scada Metering Subang denga</t>
  </si>
  <si>
    <t>Pembayaran Komisi Yuli Irawati atas Penjualan Proyek MRS G-650 dengan Kode Proje</t>
  </si>
  <si>
    <t>JP-2512004</t>
  </si>
  <si>
    <t>Transport LRT, Yuanita</t>
  </si>
  <si>
    <t>Transport Gojek, Yuanita</t>
  </si>
  <si>
    <t>Makan dan Minum, Yuanita</t>
  </si>
  <si>
    <t>JP-2512002</t>
  </si>
  <si>
    <t>Transport Toll, Azyana Febri</t>
  </si>
  <si>
    <t>Transport BBM, Azyana Febri</t>
  </si>
  <si>
    <t>Makan dan Minum (Azyana dan PMO), Azyana Febri</t>
  </si>
  <si>
    <t>JP-2512012</t>
  </si>
  <si>
    <t>Pembelian Cat dan Amplas</t>
  </si>
  <si>
    <t>Makan dengan PMO Klender</t>
  </si>
  <si>
    <t>biaya transfer</t>
  </si>
  <si>
    <t>Material Klender, KSO Noorel - KSM</t>
  </si>
  <si>
    <t>Lalamove Pengiriman Material Klender, KSO Noorel - KSM</t>
  </si>
  <si>
    <t>Makan Slamet dan PMO Klender, KSO Noorel - KSM</t>
  </si>
  <si>
    <t>Transport Visa @3 Orang, KSO Noorel - KSM</t>
  </si>
  <si>
    <t>04 Des 2025</t>
  </si>
  <si>
    <t>JP-2512013</t>
  </si>
  <si>
    <t xml:space="preserve">Transport Penerjemah 3 Kartu Keluarga </t>
  </si>
  <si>
    <t>Transport Visa a.n Novi Firmansyah (PGAS)</t>
  </si>
  <si>
    <t>Transport Gocar Hetti</t>
  </si>
  <si>
    <t xml:space="preserve">Transport HSE a.n Titan Teana </t>
  </si>
  <si>
    <t>Makan Hetti dengan Pak Novi (PGAS)</t>
  </si>
  <si>
    <t>Material (Tutup Got &amp; Tiang Holo) Klender</t>
  </si>
  <si>
    <t>Prnt NIB</t>
  </si>
  <si>
    <t>15 Des 2025</t>
  </si>
  <si>
    <t>JP-2512018</t>
  </si>
  <si>
    <t>Toll Bayhaqy, KSO Noorel - KSM</t>
  </si>
  <si>
    <t>Gocar Bayhaqy, KSO Noorel - KSM</t>
  </si>
  <si>
    <t>JP-2512019</t>
  </si>
  <si>
    <t>Transport Pengurusan Visa Migas, KSO Noorel - KSM</t>
  </si>
  <si>
    <t>22 Des 2025</t>
  </si>
  <si>
    <t>JP-2512023a</t>
  </si>
  <si>
    <t>Transport Pengurusan Visa a.n Novi, KSO Noorel - KSM</t>
  </si>
  <si>
    <t>23 Des 2025</t>
  </si>
  <si>
    <t>JP-2512024</t>
  </si>
  <si>
    <t>Transport Toll a.n Dio Nesta</t>
  </si>
  <si>
    <t>Transport gocar a.n Dio Nesta</t>
  </si>
  <si>
    <t>Perlengkapan (Micro 16 gb, sarung tangan dan helm safety)</t>
  </si>
  <si>
    <t>Makan Tim Klender</t>
  </si>
  <si>
    <t>24 Des 2025</t>
  </si>
  <si>
    <t>JP-2512025a</t>
  </si>
  <si>
    <t>Gosen Hydro ke Klender, KSO Noorel - KSM</t>
  </si>
  <si>
    <t>Makan a.n Dio dan PMO PGN, KSO Noorel - KSM</t>
  </si>
  <si>
    <t>JP-2512026a</t>
  </si>
  <si>
    <t>Makan Dio Nesta dan PMO, KSO Noorel - KSM</t>
  </si>
  <si>
    <t>Snack PGN, KSO Noorel - KSM</t>
  </si>
  <si>
    <t>28 Des 2025</t>
  </si>
  <si>
    <t>JP-2512027a</t>
  </si>
  <si>
    <t>Makan a.n Dio Bersama PMO PGN</t>
  </si>
  <si>
    <t>29 Des 2025</t>
  </si>
  <si>
    <t>JP-2512031</t>
  </si>
  <si>
    <t>Transport a.n Bayhaqy</t>
  </si>
  <si>
    <t>Makan Klender</t>
  </si>
  <si>
    <t>HPP Gaji PGAS Klender Desember 2025</t>
  </si>
  <si>
    <t>HPP Tunjangan PPh 21 PGAS Klender Masa Desember 2025</t>
  </si>
  <si>
    <t>BSK252270</t>
  </si>
  <si>
    <t>Pembayaran Pelunasan 75% PO 25339 Inv.045/KIS-INV/X/2025, PT.Karya Instrumindo Simpati</t>
  </si>
  <si>
    <t>BSK252271</t>
  </si>
  <si>
    <t>Pembayaran Opname Ke 2 a.n Mandor Sugiharto Periode 3 Desember sd 19 Desember 2025 No.SPK : 002/SPK/KSM.CGP5/XI/2025 Jargas Sleman, Mandor Sugiharto</t>
  </si>
  <si>
    <t>Retensi 5% Pembayaran Opname Ke 2 a.n Mandor Sugiharto Periode 3 Desember sd 19 Desember 2025 No.SPK : 002/SPK/KSM.CGP5/XI/2025 Jargas Sleman, Mandor Sugiharto</t>
  </si>
  <si>
    <t>PPH Final 4% Pembayaran Opname Ke 2 a.n Mandor Sugiharto Periode 3 Desember sd 19 Desember 2025 No.SPK : 002/SPK/KSM.CGP5/XI/2025 Jargas Sleman, Mandor Sugiharto</t>
  </si>
  <si>
    <t>BSK252272</t>
  </si>
  <si>
    <t>Pembayaran Opname Ke 8 a.n Mandor Sugiharto Periode 3 Desember sd 19 Desember 2025 No.SPK : 001/SPK/KSM.CGP5/VII/2025 Jargas Sleman, Mandor Sugiharto</t>
  </si>
  <si>
    <t>Retensi 5% Pembayaran Opname Ke 8 a.n Mandor Sugiharto Periode 3 Desember sd 19 Desember 2025 No.SPK : 001/SPK/KSM.CGP5/VII/2025 Jargas Sleman, Mandor Sugiharto</t>
  </si>
  <si>
    <t>PPH Final 4% Pembayaran Opname Ke 8 a.n Mandor Sugiharto Periode 3 Desember sd 19 Desember 2025 No.SPK : 001/SPK/KSM.CGP5/VII/2025 Jargas Sleman, Mandor Sugiharto</t>
  </si>
  <si>
    <t>BSK252296</t>
  </si>
  <si>
    <t>BSK252297</t>
  </si>
  <si>
    <t>Transport BBM a.n Faishol Aziz</t>
  </si>
  <si>
    <t>Makan a.n Faishol Aziz</t>
  </si>
  <si>
    <t>BSK252320</t>
  </si>
  <si>
    <t>Jaminan Pemeliharaan MD2536597902 - Pekerjaan Pembangunan JarGas GasKita di Kabupaten Sleman</t>
  </si>
  <si>
    <t>BBM Jargas Sleman</t>
  </si>
  <si>
    <t>BBM Mobil Sleman</t>
  </si>
  <si>
    <t>Kereta Pak Edy Nurhamid Amin</t>
  </si>
  <si>
    <t xml:space="preserve">Pembersih Lantai,Sabun Mandi,Kamper </t>
  </si>
  <si>
    <t>Makan Gladi Emergency Drill Jargas Sleman</t>
  </si>
  <si>
    <t>Pembelian Air Galon Sleman</t>
  </si>
  <si>
    <t>MCU @ 8 Orang Jargas Sleman</t>
  </si>
  <si>
    <t>Material Lapangan Sleman, KSO Noorel - KSM</t>
  </si>
  <si>
    <t>Pengiriman Barang Material Sleman, KSO Noorel - KSM\</t>
  </si>
  <si>
    <t>Sparepart Motor Sleman, KSO Noorel - KSM</t>
  </si>
  <si>
    <t>Konsumsi Team Sleman dan CGP, KSO Noorel - KSM</t>
  </si>
  <si>
    <t>Snackbox Sosialisasi Sleman, KSO Noorel - KSM</t>
  </si>
  <si>
    <t>JP-2512012c</t>
  </si>
  <si>
    <t>Perlengkapan (Gula Pasir, Kopi, Aqua Galon) Sleman, KSO Noorel - KSM</t>
  </si>
  <si>
    <t>Konsumsi Kegiatan Emergency Drill Sleman, KSO Noorel - KSM</t>
  </si>
  <si>
    <t>Token Listrik Dirkit Sleman, KSO Noorel - KSM</t>
  </si>
  <si>
    <t>PNBP Meter Gas Diaphragm G4 Zenner, KSO Noorel - KSM</t>
  </si>
  <si>
    <t>Transport Loading Material Pipa 90 Sleman, KSO Noorel - KSM</t>
  </si>
  <si>
    <t>BBM Sleman, KSO Noorel - KSM</t>
  </si>
  <si>
    <t>Konsumsi Emergency Drill Sleman, KSO Noorel - KSM</t>
  </si>
  <si>
    <t>Pulsa Danang, KSO Noorel - KSM</t>
  </si>
  <si>
    <t>JNE Kirim Dokumen</t>
  </si>
  <si>
    <t>Transport BBM Dwi</t>
  </si>
  <si>
    <t>Transport Unloading Pipe 90 Jargas Sleman</t>
  </si>
  <si>
    <t>Pembelian HVS,Spidol,Paper Clip,Binder Clip,Sticky Note) Sleman</t>
  </si>
  <si>
    <t>BBM Edy Sleman</t>
  </si>
  <si>
    <t>Sparepart (Oli Mesin,Busi,Baut Filter) Jargas Sleman</t>
  </si>
  <si>
    <t>Makan Dirkit (Cristaline,Air Mineral,Kopi) Sleman</t>
  </si>
  <si>
    <t>JP-2512015</t>
  </si>
  <si>
    <t>Gosend Dokumen Jargas Sleman ke BBPJN</t>
  </si>
  <si>
    <t>BBM Edi</t>
  </si>
  <si>
    <t>BBM Zaki</t>
  </si>
  <si>
    <t>Transport Unloading Pipe 63 Jargas Sleman</t>
  </si>
  <si>
    <t>BBM Adhi</t>
  </si>
  <si>
    <t>Pembelian Tissue dan Banner</t>
  </si>
  <si>
    <t>Pembelian Aqua Galon,Kopi,Minyak Goreng</t>
  </si>
  <si>
    <t>Konsumsi Onboard &amp; Weekly CGP Jargas Sleman dan Kegiatan PSSR dengan OMM dan CGP</t>
  </si>
  <si>
    <t>Lalamove</t>
  </si>
  <si>
    <t>Transport Porbo Dewantorogo (CGP)</t>
  </si>
  <si>
    <t>HVS,Sheet Protectord dan Notebook) Sleman</t>
  </si>
  <si>
    <t>Makan Agung Sulistyono dan Jargas Sleman</t>
  </si>
  <si>
    <t>Pembelian Listrik Sleman</t>
  </si>
  <si>
    <t>JP-2512017</t>
  </si>
  <si>
    <t>JNT (Kirim Dokumen)</t>
  </si>
  <si>
    <t>Pembelian Manifold,Thermowell,Pressure Gauge) Jargas Sleman</t>
  </si>
  <si>
    <t>JNE Dokumen, KSO Noorel - KSM</t>
  </si>
  <si>
    <t>Perlengkapan (Container Box) Sleman,, KSO Noorel - KSM</t>
  </si>
  <si>
    <t>Transport Taksi ke Gambil Sigit, KSO Noorel - KSM</t>
  </si>
  <si>
    <t>Transport Kereta a.n Sigit, KSO Noorel - KSM</t>
  </si>
  <si>
    <t>Hotel a.n Sigit, KSO Noorel - KSM</t>
  </si>
  <si>
    <t>JP-2512022a</t>
  </si>
  <si>
    <t>Sewa Mobil Jargas Sleman 14 Des - 14 Jan, KSO Noorel - KSM</t>
  </si>
  <si>
    <t>JP-2512023</t>
  </si>
  <si>
    <t>JNE Dokumen Sleman, KSO Noorel - KSM</t>
  </si>
  <si>
    <t>Transport Tenda Pneumatik Sleman, KSO Noorel - KSM</t>
  </si>
  <si>
    <t>Makan Meeting CGP Sleman, KSO Noorel - KSM</t>
  </si>
  <si>
    <t>BBM Mobil KOM Sleman, KSO Noorel - KSM</t>
  </si>
  <si>
    <t>Transport Unloading Material Pipa PE 63 Sleman, KSO Noorel - KSM</t>
  </si>
  <si>
    <t>Transport Unloading Material a.n Ariffiana Sleman, KSO Noorel - KSM</t>
  </si>
  <si>
    <t>Perlengkapan (ATK) Sleman, KSO Noorel - KSM</t>
  </si>
  <si>
    <t>Makan Kegiatan KOM Sleman, KSO Noorel - KSM</t>
  </si>
  <si>
    <t>Pengiriman material ke workshop nurman</t>
  </si>
  <si>
    <t xml:space="preserve">Transport Toll a.n Fadjar andik </t>
  </si>
  <si>
    <t>Makan Lembur a.n Danang, Akbar, dan Kelvin</t>
  </si>
  <si>
    <t>Makan onboard dan koordinasi dokumen dan perizinan</t>
  </si>
  <si>
    <t>Makan a.n Fajar Andik dan CGP Sleman</t>
  </si>
  <si>
    <t>Taxi a.n Sigit, KSO Noorel - KSM</t>
  </si>
  <si>
    <t>Makan a.n Sigit dan CGP Sleman, KSO Noorel - KSM</t>
  </si>
  <si>
    <t>Material (Vlock Shock) Sleman, KSO Noorel - KSM</t>
  </si>
  <si>
    <t>Transport Travel Faisal Sleman, KSO Noorel - KSM</t>
  </si>
  <si>
    <t>Toll a.n Agung S Sleman, KSO Noorel - KSM</t>
  </si>
  <si>
    <t>Perlengkapan (Lampu) Sleman, KSO Noorel - KSM</t>
  </si>
  <si>
    <t>Makan a.n Agung S Jargas Sleman, KSO Noorel - KSM</t>
  </si>
  <si>
    <t>Makan Kegiatan Witness dan Overtime Sleman, KSO Noorel - KSM</t>
  </si>
  <si>
    <t>Hotel a.n M Razak Sleman, KSO Noorel - KSM</t>
  </si>
  <si>
    <t>Hotel a.n Rudi Hartono dan Faisal Ardi @2 Malam Sleman, KSO Noorel - KSM</t>
  </si>
  <si>
    <t>Makan a.n Sigit Praptowo</t>
  </si>
  <si>
    <t>JP-2512028a</t>
  </si>
  <si>
    <t>Transport Toll  Jargas Sleman</t>
  </si>
  <si>
    <t xml:space="preserve">Makan a.n Wildan </t>
  </si>
  <si>
    <t>30 Des 2025</t>
  </si>
  <si>
    <t>JP-2512034</t>
  </si>
  <si>
    <t>Pembayaran DP Material Kaki Panel Jargas Sleman</t>
  </si>
  <si>
    <t>Transport Toll Jargas Sleman</t>
  </si>
  <si>
    <t>JP-2512036</t>
  </si>
  <si>
    <t>Transport Pesawat a.n Sigit P Jargas Sleman</t>
  </si>
  <si>
    <t>Makan a.n Sigit P dan CGP Jargas Sleman</t>
  </si>
  <si>
    <t>Hotel a.n Sigit P jargas Sleman</t>
  </si>
  <si>
    <t>11 Des 2025</t>
  </si>
  <si>
    <t>JP-2512039a</t>
  </si>
  <si>
    <t>Material (Banner) Sleman, KSO Noorel - KSM</t>
  </si>
  <si>
    <t>Material (Kayu u/ Banner) Sleman, KSO Noorel - KSM</t>
  </si>
  <si>
    <t>Transport Pesawat a.n Porbo Sleman, KSO Noorel - KSM</t>
  </si>
  <si>
    <t>BBM Dzaki Sleman, KSO Noorel - KSM</t>
  </si>
  <si>
    <t>BBM a.n Arya Sleman, KSO Noorel - KSM</t>
  </si>
  <si>
    <t>BBM a.n Dwi Sleman, KSO Noorel - KSM</t>
  </si>
  <si>
    <t>Transport Maxim CGP Sleman, KSO Noorel - KSM</t>
  </si>
  <si>
    <t>Laminating Dzaki Sleman, KSO Noorel - KSM</t>
  </si>
  <si>
    <t>Makan dan Minum Dirkit Sleman, KSO Noorel - KSM</t>
  </si>
  <si>
    <t>Pulsa a.n Dwi Sleman, KSO Noorel - KSM</t>
  </si>
  <si>
    <t>Biaya Transefr, KSO Noorel - KSM</t>
  </si>
  <si>
    <t>Hotel u/ Team CGP Sleman, KSO Noorel - KSM</t>
  </si>
  <si>
    <t>JP-2512047a</t>
  </si>
  <si>
    <t>Adj penyesuain uang muka kerja mandor per 31 Desember 2025</t>
  </si>
  <si>
    <t>HPP Gaji Jargas Sleman Desember 2025</t>
  </si>
  <si>
    <t>JP-2512074</t>
  </si>
  <si>
    <t>Transport BBM, Moh Razak</t>
  </si>
  <si>
    <t>Perlengkapan (SSD Laptop Wahyu, Tissue, Gas), Moh Razak</t>
  </si>
  <si>
    <t>Software (Install Windows), Moh Razak</t>
  </si>
  <si>
    <t>Makan dan Minum (Air Galon, Kopi, dan Minyak), Moh Razak</t>
  </si>
  <si>
    <t>Makan dan Minum Kegiatan Meeting CGP dan CSMS, Moh Razak</t>
  </si>
  <si>
    <t>Pulsa Razak, Moh Razak</t>
  </si>
  <si>
    <t>JP-2512075</t>
  </si>
  <si>
    <t>Saprepart (Steam dan Nitrogen), Rudi Hartono</t>
  </si>
  <si>
    <t>Makan dan Minum (CGP), Rudi Hartono</t>
  </si>
  <si>
    <t>Makan dan Minum (Rudi dan Ardi), Rudi Hartono</t>
  </si>
  <si>
    <t>KK250254</t>
  </si>
  <si>
    <t>Pembayaran PO 25347 Inv. 235 USD 7.050,60 @ 16.716, Tormene Industriale</t>
  </si>
  <si>
    <t>Pembayaran Komisi Yuli Irawati atas Penjualan Proyek MRS G.160</t>
  </si>
  <si>
    <t>BSK252315</t>
  </si>
  <si>
    <t>Pembayaran PO 25451 Inv.0094/KEI/INV/12/25, PT.Kensa Enzi International</t>
  </si>
  <si>
    <t>PPN 04002500427254267, PT.Kensa Enzi International</t>
  </si>
  <si>
    <t>Biaya Transfer, PT.Kensa Enzi International</t>
  </si>
  <si>
    <t>Sparepart Cuci Mobilio, KSO Noorel - KSM</t>
  </si>
  <si>
    <t>Makan Rahman dan BBG, KSO Noorel - KSM</t>
  </si>
  <si>
    <t>Makan a.n Bayhaqy dan BBG, KSO Noorel - KSM</t>
  </si>
  <si>
    <t>BBM a.n Agung S Sleman, KSO Noorel - KSM</t>
  </si>
  <si>
    <t>Material Lapangan (Senai Pipa), KSO Noorel - KSM</t>
  </si>
  <si>
    <t>BSK252265</t>
  </si>
  <si>
    <t>Transport Grab a.n Anjani Dwi Syabani, Anjani Dwi Syabani</t>
  </si>
  <si>
    <t>Transport Visa Migas a.n Pak Deny dan Istri, KSO Noorel - KSM</t>
  </si>
  <si>
    <t>BSK252282</t>
  </si>
  <si>
    <t>Pembayaran PO 25458 Inv.024/ANS/XII/2025, PT.Amanah Nusantara Sejahtera</t>
  </si>
  <si>
    <t>PPN Pembayaran PO 25458 Inv.024/ANS/XII/2025, PT.Amanah Nusantara Sejahtera</t>
  </si>
  <si>
    <t>Biaya Transfer, PT.Amanah Nusantara Sejahtera</t>
  </si>
  <si>
    <t>BSK252317</t>
  </si>
  <si>
    <t>Pembayaran Term II PO 25373 Inv.0841225, PT.Nurman Indoban Sentosa</t>
  </si>
  <si>
    <t>PPN 04002500424423475, PT.Nurman Indoban Sentosa</t>
  </si>
  <si>
    <t>PPH Final 4% Pembayaran Term II PO 25373 Inv.0841225, PT.Nurman Indoban Sentosa</t>
  </si>
  <si>
    <t>Biaya Transfer, PT.Nurman Indoban Sentosa</t>
  </si>
  <si>
    <t>BSK252318</t>
  </si>
  <si>
    <t>Pembayaran PO 25476 INV-SUG/XII/2025, PT.Sinar Utama Grounding</t>
  </si>
  <si>
    <t>PPN Pembayaran PO 25476 INV-SUG/XII/2025, PT.Sinar Utama Grounding</t>
  </si>
  <si>
    <t>JP-2512001</t>
  </si>
  <si>
    <t>Makan dan Minum Lembur (Arfa), Eko Waluyo</t>
  </si>
  <si>
    <t>Kirim Dokumen</t>
  </si>
  <si>
    <t>Material (Pipa Tubbing @ 1 Btg)</t>
  </si>
  <si>
    <t>Makan a.n Agung S dan SEP, KSO Noorel - KSM</t>
  </si>
  <si>
    <t>Transport Toll a.n Fajar</t>
  </si>
  <si>
    <t>Transport BBM a.n Fajar</t>
  </si>
  <si>
    <t>Makan a.n Fajar Andik dengan Tim SEP</t>
  </si>
  <si>
    <t>JP-2512035</t>
  </si>
  <si>
    <t>Makan SEP a.n Bekti Nurminto</t>
  </si>
  <si>
    <t>Makan Siang SEP a.n Tri purwanto</t>
  </si>
  <si>
    <t>BSK252167d</t>
  </si>
  <si>
    <t xml:space="preserve">KSM25P152 </t>
  </si>
  <si>
    <t>MD2533503050 - Jaminan Uang Muka Pekerjaan Pelaksanaan Pembangunan Jargas Gasita di Kab. Sleman Tahap 2</t>
  </si>
  <si>
    <t>Makan lembur a.n dwi fahmi dan mustofa</t>
  </si>
  <si>
    <t>Terminal Listrik, KSO Noorel - KSM</t>
  </si>
  <si>
    <t>Makan Lembur dan Pantry Sleman, KSO Noorel - KSM</t>
  </si>
  <si>
    <t>Pulsa a.n Mustofa Sleman, KSO Noorel - KSM</t>
  </si>
  <si>
    <t>Material (Dynabolt M16 5/8) Jargas Sleman</t>
  </si>
  <si>
    <t>Transport Grabcar a.n Faisal</t>
  </si>
  <si>
    <t>Material (Mata Bor) Jargas Sleman</t>
  </si>
  <si>
    <t>Transport BBM a.n Edy Jargas Sleman</t>
  </si>
  <si>
    <t>Transport BBM a.n Dwi Jargas Sleman</t>
  </si>
  <si>
    <t>Transport BBM a.n Danang Jargas Sleman</t>
  </si>
  <si>
    <t>Perlengkapan (Fotocopy) jargas Sleman</t>
  </si>
  <si>
    <t>Sparepart (Ganti Oli) Jargas Sleman</t>
  </si>
  <si>
    <t>Makan (Aqua Galon dan Gula) Jargas Sleman</t>
  </si>
  <si>
    <t>Makan (KSM &amp; CGP Kegiatan CSMS) Jargas Sleman</t>
  </si>
  <si>
    <t>Makan Kegiatan Pneumatic DWT, Cut &amp; Connect Pipa Jargas Sleman</t>
  </si>
  <si>
    <t>Token Listrik Mess Jargas Sleman</t>
  </si>
  <si>
    <t>Material (Ball Valve Screw Class) PT Sinar Mas Sakti</t>
  </si>
  <si>
    <t>Transport BBM a.n Andre jargas Sleman</t>
  </si>
  <si>
    <t>Transport Unloding Material (MGRT, Pipa Casing, Fitting HDPE) Jargas Sleman</t>
  </si>
  <si>
    <t>Transport Koordinasi Perizinan dengan Dinas PUPKP Jargas Sleman</t>
  </si>
  <si>
    <t>Perlengkapan (Tinta) Jargas Sleman</t>
  </si>
  <si>
    <t>Makan Dirkeet a.n Edy Jargas Sleman</t>
  </si>
  <si>
    <t>Makan koordinasi lapangan CGP-KSM jargas sleman</t>
  </si>
  <si>
    <t>Makan Lembur @ 6 Org Jargas Sleman</t>
  </si>
  <si>
    <t>makan a.n Danang Kegiatan Gas Inn Jalur Susulan Jargas sleman</t>
  </si>
  <si>
    <t>BSK260058</t>
  </si>
  <si>
    <t>Transport BBM a.n Achmad Bayhaqi</t>
  </si>
  <si>
    <t>Transport Toll a.n Achmad Bayhaqi</t>
  </si>
  <si>
    <t>Transport Parkir a.n Achmad Bayhaqi</t>
  </si>
  <si>
    <t>Transport Over &amp; Packing Bagasi a.n Achmad Bayhaqi</t>
  </si>
  <si>
    <t>Transport Repair Painting Spool USM a.n Achmad Bayhaqi</t>
  </si>
  <si>
    <t>Makan a.n Achmad Bayhaqi</t>
  </si>
  <si>
    <t>BSK260066</t>
  </si>
  <si>
    <t>Pembayaran Shipment P1 PO 25288 Inv.0056, PT.Kartika Eka Yudha Maritim</t>
  </si>
  <si>
    <t>PPN 04002500377088163, PT.Kartika Eka Yudha Maritim</t>
  </si>
  <si>
    <t>PPH 23 2% Pembayaran Shipment P1 PO 25288 Inv.0056, PT.Kartika Eka Yudha Maritim</t>
  </si>
  <si>
    <t>Pembayaran Shipment P2 PO 25288 Inv.0050, PT.Kartika Eka Yudha Maritim</t>
  </si>
  <si>
    <t>PPN 05002500377088162, PT.Kartika Eka Yudha Maritim</t>
  </si>
  <si>
    <t>PPH 23 2% Pembayaran Shipment P2 PO 25288 Inv.0050, PT.Kartika Eka Yudha Maritim</t>
  </si>
  <si>
    <t>Pembayaran Warehouse Cost PO 25288 Inv.0035, PT.Kartika Eka Yudha Maritim</t>
  </si>
  <si>
    <t>PPN AE7480270, PT.Garuda Indonesia</t>
  </si>
  <si>
    <t>PPH 23 2% Pembayaran Warehouse Cost PO 25288 Inv.0035, PT.Kartika Eka Yudha Maritim</t>
  </si>
  <si>
    <t>Biaya Transfer, PT.Kartika Eka Yudha Maritim</t>
  </si>
  <si>
    <t>JP-2601004</t>
  </si>
  <si>
    <t>MCU a.n Faisal Ardiyanto, Rizqi Auliya Moura</t>
  </si>
  <si>
    <t>Biaya Transfer, Rizqi Auliya Moura</t>
  </si>
  <si>
    <t>BSK260038</t>
  </si>
  <si>
    <t>Transport BBM a.n Dio Nesta H</t>
  </si>
  <si>
    <t>Transport Toll a.n Dio Nesta H</t>
  </si>
  <si>
    <t>Transport Taxi a.n Dio Nesta H</t>
  </si>
  <si>
    <t>Makan &amp; Minum (PGN-PGAS) a.n Dio Nesta H</t>
  </si>
  <si>
    <t>BSK260043</t>
  </si>
  <si>
    <t>Perlengkapan Laminating, Eko Waluyo</t>
  </si>
  <si>
    <t>BSK260059</t>
  </si>
  <si>
    <t>Makan Lembur (Anjani,Faishol,Yuanita,Agung S,Tirto,Arfa,Isna,Hetty), Eko Waluyo</t>
  </si>
  <si>
    <t>JP-2601006</t>
  </si>
  <si>
    <t>Transport BBM Dio Klender, Shavira Akmalia Putri</t>
  </si>
  <si>
    <t>Konsumsi PGAS Klender, Shavira Akmalia Putri</t>
  </si>
  <si>
    <t>JP-2601013</t>
  </si>
  <si>
    <t>Makan a.n Azy dan Dio, Shavira Akmalia Putri</t>
  </si>
  <si>
    <t>Laminating dan Cetak Gambar, Shavira Akmalia Putri</t>
  </si>
  <si>
    <t>JP-2601014</t>
  </si>
  <si>
    <t>Makan , Rizqi Aulia</t>
  </si>
  <si>
    <t>Material (Hollo 2x4,Kompon,Kafe,Lem Fox), Rizqi Aulia</t>
  </si>
  <si>
    <t>JP-2601015</t>
  </si>
  <si>
    <t>Material (Matex Putty Plamur,Oldfield Campion White Brush,Oldfield All Paint Roller,Dexstone Cilicone), Rizqi Auliya Moura</t>
  </si>
  <si>
    <t>Makan a.n Sintya,Dio Nesta,Azyana, Rizqi Auliya Moura</t>
  </si>
  <si>
    <t>Makan, Rizqi Auliya Moura</t>
  </si>
  <si>
    <t>Material (Roll Ace &amp; Bak Cat), Rizqi Auliya Moura</t>
  </si>
  <si>
    <t>JP-2601017</t>
  </si>
  <si>
    <t>Transport BBM &amp; Toll a.n Dio Nesta H Klender, Salisah</t>
  </si>
  <si>
    <t>JP-2601019</t>
  </si>
  <si>
    <t>Perlengkapan (Tempat Penyimpanan Remote AC) Klender, Shavira Akmalia Putri</t>
  </si>
  <si>
    <t>Material (Penutup Box) Jargas Klender, Shavira Akmalia Putri</t>
  </si>
  <si>
    <t>Transport Helper Klender, Shavira Akmalia Putri</t>
  </si>
  <si>
    <t>JP-2601020</t>
  </si>
  <si>
    <t>Makan (Kopi PMO) a.n Dio Nesta Herdiansyah, Rizqi Auliya Moura</t>
  </si>
  <si>
    <t>Makan a.n Anjani Dwi Syabani, Rizqi Auliya Moura</t>
  </si>
  <si>
    <t>Makan a.n Dio Nesta Herdiansyah, Rizqi Auliya Moura</t>
  </si>
  <si>
    <t>Biaya Admin, Rizqi Auliya Moura</t>
  </si>
  <si>
    <t>Transport BBM a.n Azyana Febri Rumpaka, Rizqi Auliya Moura</t>
  </si>
  <si>
    <t>BSK260014</t>
  </si>
  <si>
    <t>KSM25P093,KSM25P141,KSM25P160,KSM25P157</t>
  </si>
  <si>
    <t>PPH Import PO 25369,25392,25397,25427, Direktorat Jenderal Bea &amp; Cukai</t>
  </si>
  <si>
    <t>PPN Import PO 25369,25392,25397,25427, Direktorat Jenderal Bea &amp; Cukai</t>
  </si>
  <si>
    <t>BSK260021</t>
  </si>
  <si>
    <t>Pembayaran PO 25447 Inv.614/INV/KSM/XII/25, PT.Elektra Sinergi Indonesia</t>
  </si>
  <si>
    <t>PPN 04002500402567244, PT.Elektra Sinergi Indonesia</t>
  </si>
  <si>
    <t>Pembayaran PO 25443 Inv.612/INV/KSM/XII/25, PT.Elektra Sinergi Indonesia</t>
  </si>
  <si>
    <t>PPN 04002500402518023, PT.Elektra Sinergi Indonesia</t>
  </si>
  <si>
    <t>BSK260045</t>
  </si>
  <si>
    <t>Pembayaran PO 25446 Inv.0861225, PT.Nurman Indoban Sentosa</t>
  </si>
  <si>
    <t>PPN 04002500433481577, PT.Nurman Indoban Sentosa</t>
  </si>
  <si>
    <t>PPH Final 4% Pembayaran PO 25446 Inv.0861225, PT.Nurman Indoban Sentosa</t>
  </si>
  <si>
    <t>JargasESDM &amp; KSM25P093</t>
  </si>
  <si>
    <t>BSK260049</t>
  </si>
  <si>
    <t>Pembayaran PO 25351 Inv.V-KH/2025/00144, PT.Kita Hokki</t>
  </si>
  <si>
    <t>PPN 04002500416294473, PT.Kita Hokki</t>
  </si>
  <si>
    <t>KSM25P121 &amp; KSM25P093</t>
  </si>
  <si>
    <t>Biaya Transfer, PT.Kita Hokki</t>
  </si>
  <si>
    <t>BSK260050</t>
  </si>
  <si>
    <t>Pembayaran PO 25452 Inv.BBI-2025-0010322, PT.Berkah Bersama Insani</t>
  </si>
  <si>
    <t>PPN 05002500419563571, PT.Berkah Bersama Insani</t>
  </si>
  <si>
    <t>PPH 23 2% Pembayaran PO 25452 Inv.BBI-2025-0010322, PT.Berkah Bersama Insani</t>
  </si>
  <si>
    <t>Biaya Admin (Materai), PT.Berkah Bersama Insani</t>
  </si>
  <si>
    <t>BSK260060</t>
  </si>
  <si>
    <t>Pembayaran Opname Ke-3 a.n Mandor Sugiharto No.SPK.002-/SPK/KSM.CGP5/XI/2025 Periode 20 Des 2025 sd 14 Jan 2026, Sugiharto</t>
  </si>
  <si>
    <t>Retensi 5% Pembayaran Opname Ke-3 a.n Mandor Sugiharto No.SPK.002-/SPK/KSM.CGP5/XI/2025 Periode 20 Des 2025 sd 14 Jan 2026, Sugiharto</t>
  </si>
  <si>
    <t>PPH Final 4% Pembayaran Opname Ke-3 a.n Mandor Sugiharto No.SPK.002-/SPK/KSM.CGP5/XI/2025 Periode 20 Des 2025 sd 14 Jan 2026, Sugiharto</t>
  </si>
  <si>
    <t>Pengembalian Lbh Bayar Opname Sebelumnya a.n Mandor Sugiharto, Sugiharto</t>
  </si>
  <si>
    <t>JP-2601002</t>
  </si>
  <si>
    <t>Perlengkapan (Karburator Sapu Elektrik), Salisah</t>
  </si>
  <si>
    <t>Pelunasan Material (Panel Box) Jargas Sleman, Salisah</t>
  </si>
  <si>
    <t>Transport BBM Motor Operasional Jargas Sleman, Salisah</t>
  </si>
  <si>
    <t>JP-2601003</t>
  </si>
  <si>
    <t>Lalamove, Rizqi Auliya Moura</t>
  </si>
  <si>
    <t>Perlengkapan ATK (HVS Sidu A3 &amp; A4) Jargas Sleman, Rizqi Auliya Moura</t>
  </si>
  <si>
    <t>JNE, Shavira Akmalia Putri</t>
  </si>
  <si>
    <t>Pengiriman Barang Sleman, Shavira Akmalia Putri</t>
  </si>
  <si>
    <t>JP-2601009</t>
  </si>
  <si>
    <t>Makan Koordinasi Persiapan Serah Terima &amp; Pemeriksaan Document SPK 1 a.n Achmad Purwanto Jargas Sleman, Rizqi Auliya Moura</t>
  </si>
  <si>
    <t>Pembayaran PO 26001 Inv.00015 PT.Karya Prima Supplindo, Rizqi Auliya Moura</t>
  </si>
  <si>
    <t>PPN Pembayaran PO 26001 Inv.00015 PT.Karya Prima Supplindo, Rizqi Auliya Moura</t>
  </si>
  <si>
    <t>JP-2601011</t>
  </si>
  <si>
    <t>Makan PSSR KSM-CGP-OMM a.n Achmad Purwanto, Adinda Naufianti Fadli</t>
  </si>
  <si>
    <t>Makan Kegiatan Cut &amp; Giomos a.n Achmad Purwanto, Adinda Naufianti Fadli</t>
  </si>
  <si>
    <t>Makan a.n Sigit P Jargas Sleman, Adinda Naufianti Fadli</t>
  </si>
  <si>
    <t>Hotel a.n Sigit P &amp; Cahyo T Jargas Sleman, Adinda Naufianti Fadli</t>
  </si>
  <si>
    <t>JP-2601012</t>
  </si>
  <si>
    <t>Makan a.n Sigit P, Rizqi Auliya Moura</t>
  </si>
  <si>
    <t>Perlengkapan Sticker Jargas Sleman, Rizqi Auliya Moura</t>
  </si>
  <si>
    <t>Transport Grab Ke Gambir a.n Cahyo Triyogo, Shavira Akmalia Putri</t>
  </si>
  <si>
    <t>Makan a.n Sigit Praptowo dan Cahyo Triyogo, Shavira Akmalia Putri</t>
  </si>
  <si>
    <t>Makan Koordinasi KSM-CGP-OMM Jargas Sleman, Rizqi Aulia</t>
  </si>
  <si>
    <t>Material Lapangan (Elbow 1" &amp; Double Nipple 1") Jargas Sleman, Rizqi Aulia</t>
  </si>
  <si>
    <t>UM Lembur @ 4 Org Jargas Sleman, Rizqi Aulia</t>
  </si>
  <si>
    <t>Perlengkapan (Tabung N2) Kegiatan Pneumatik SAT MRS Jargas Sleman a.n Achmad Purwanto, Salisah</t>
  </si>
  <si>
    <t>Makan Kegiatan Pneumatik SAT MRS Jargas Sleman a.n Achmad Purwanto, Salisah</t>
  </si>
  <si>
    <t>UM Lembur @ 4 Org Jargas Sleman, Salisah</t>
  </si>
  <si>
    <t>Perpanjangan Could AI Jargas Sleman, Rizqi Auliya Moura</t>
  </si>
  <si>
    <t>Hotel a.n Edy Nurhamid Amin Jargas Sleman, Rizqi Auliya Moura</t>
  </si>
  <si>
    <t>Hotel a.n Fadjar Tri Ananda Jargas Sleman, Rizqi Auliya Moura</t>
  </si>
  <si>
    <t>JP-2601021</t>
  </si>
  <si>
    <t>Material Lapangan (Vlog Ring) Jargas Sleman, Rizqi Aulia</t>
  </si>
  <si>
    <t>Material Lapangan (Dexcel TR TM) Inv.016 Symbiosis Teknik Jargas Sleman, Rizqi Aulia</t>
  </si>
  <si>
    <t>JP-2601022</t>
  </si>
  <si>
    <t>Makan a.n Achmad Purwanto Kegiatan Witness Pneumatic Test CGP-KSM Jargas Sleman, Adinda Naufianti Fadli</t>
  </si>
  <si>
    <t>Pembayaran PO 25355 Inv.V-KH/2025/00143, PT.Kita Hokki</t>
  </si>
  <si>
    <t>PPN 04002500416296810, PT.Kita Hokki</t>
  </si>
  <si>
    <t>BSK260061</t>
  </si>
  <si>
    <t>Pembayaran Pelunasan PO 25383 Inv.317-INV-PPN-XII-2025, PT.Bhirawa Metal Mandiri</t>
  </si>
  <si>
    <t>PPN 04002500433443978, PT.Bhirawa Metal Mandiri</t>
  </si>
  <si>
    <t>Biaya Transfer, PT.Bhirawa Metal Mandiri</t>
  </si>
  <si>
    <t>BSK260062</t>
  </si>
  <si>
    <t>Pembayaran Term II PO 25374 Inv.0851225, PT.Nurman Indoban Sentosa</t>
  </si>
  <si>
    <t>PPN 04002500433481576, PT.Nurman Indoban Sentosa</t>
  </si>
  <si>
    <t>PPH Final 4% Pembayaran Term II PO 25374 Inv.0851225, PT.Nurman Indoban Sentosa</t>
  </si>
  <si>
    <t>JP-2601005</t>
  </si>
  <si>
    <t>Material (Per Tekan Kawat 5.5 Baja), Adinda Naufianti Fadli</t>
  </si>
  <si>
    <t>Material BBG, Shavira Akmalia Putri</t>
  </si>
  <si>
    <t>JP-2601007</t>
  </si>
  <si>
    <t>Lalamove Kirim Document, Rizqi Aulia</t>
  </si>
  <si>
    <t>Transport GoRide ke Nurman a.n Rahman, Shavira Akmalia Putri</t>
  </si>
  <si>
    <t>Transport BBM a.n M Rahman, Rizqi Aulia</t>
  </si>
  <si>
    <t>Makan a.n M Rahman, Rizqi Aulia</t>
  </si>
  <si>
    <t>Transport Toll a.n M Rahman, Rizqi Auliya Moura</t>
  </si>
  <si>
    <t>Material Lapangan BBG, Shavira Akmalia Putri</t>
  </si>
  <si>
    <t>Makan a.n Rahman, Arief, Murdiyato, Abdul Aziz, Shavira Akmalia Putri</t>
  </si>
  <si>
    <t>Transport Toll dan Makan Rahman BBG, Shavira Akmalia Putri</t>
  </si>
  <si>
    <t>Transport BBM Rahman BBG, Shavira Akmalia Putri</t>
  </si>
  <si>
    <t>Material Lapangan (Double Nipple), Adinda Naufianti Fadli</t>
  </si>
  <si>
    <t>KK260004a</t>
  </si>
  <si>
    <t>Transport FAT a.n Nabila EUR 28.200 @ 19.800</t>
  </si>
  <si>
    <t>Transport FAT a.n Nabila</t>
  </si>
  <si>
    <t>BSK260033</t>
  </si>
  <si>
    <t>Transport Tiket Pesawat a.n Nabila Nabila Assalamah,Renyut Nugraha,Ika Firdaus &amp; Fajar Andik C Inv.0004, PT.Mulia Sujar Abadi</t>
  </si>
  <si>
    <t>Penerimaan Dari Lebih Bayar Transport Tiket Pesawat a.n Nabila Nabila Assalamah,Renyut Nugraha,Ika Firdaus &amp; Fajar Andik C Inv.0004, PT.Mulia Sujar Abadi</t>
  </si>
  <si>
    <t>Biaya Transfer, PT.Mulia Sujar Abadi</t>
  </si>
  <si>
    <t>BSK260035</t>
  </si>
  <si>
    <t>Transport Perjalanan Dinas a.n Nabila Assalamah Untuk FAT (Ditmet) Selama 8 Hari- Belanda, Nabila Assalamah</t>
  </si>
  <si>
    <t>JP-2601008</t>
  </si>
  <si>
    <t>Pulsa a.n Nabila Assalamah, Adinda Naufianti Fadli</t>
  </si>
  <si>
    <t>Transport Toll a.n Rudi Hartono, Adinda Naufianti Fadli</t>
  </si>
  <si>
    <t>Biaya Transfer, Rudi Hartono, Adinda Naufianti Fadli</t>
  </si>
  <si>
    <t>Transport Asistensi Bandara a.n Nurzaen Mutiarto, Rizqi Auliya Moura</t>
  </si>
  <si>
    <t>Hotel a.n (Nabilla Assalamah,Fajar Andik C,Herosobroto,M Febriyan Firdaus,Denni Nugraha &amp; Veronica Orchid) Inv.0007 PT.Mulia Sujar Abadi, Rizqi Aulia</t>
  </si>
  <si>
    <t>Pulsa a.n Nabilla Assalamah, Rizqi Aulia</t>
  </si>
  <si>
    <t>Transport Tiket Kereta, Rizqi Aulia</t>
  </si>
  <si>
    <t>JP-2601016</t>
  </si>
  <si>
    <t>Makan a.n Hetti, Nawawi dan Royyan, Shavira Akmalia Putri</t>
  </si>
  <si>
    <t>Makan a.n Fajar Andik, Ditmet dan Migas, Shavira Akmalia Putri</t>
  </si>
  <si>
    <t>Transport Whoosh a.n Hero Subroto, Shavira Akmalia Putri</t>
  </si>
  <si>
    <t>Transport Taksi Bandara a.n Fajar Andik, Shavira Akmalia Putri</t>
  </si>
  <si>
    <t>Reimbersment a.n Hetty, Shavira Akmalia Putri</t>
  </si>
  <si>
    <t>JP-2601018</t>
  </si>
  <si>
    <t>Hotel a.n Nabila Assalamah, Salisah</t>
  </si>
  <si>
    <t>BSK260006</t>
  </si>
  <si>
    <t>Makan Lembur (Arfa), Eko Waluyo</t>
  </si>
  <si>
    <t>BSK260048</t>
  </si>
  <si>
    <t>Pembayaran Pelunasan PO 25384 Inv.318-INV-PPN-XII-2025, PT.Bhirawa Metal Mandiri</t>
  </si>
  <si>
    <t>PPN 04002500433443967, PT.Bhirawa Metal Mandiri</t>
  </si>
  <si>
    <t>Makan Meeting SEP, Rizqi Auliya Moura</t>
  </si>
  <si>
    <t>Transport a.n Arief Budiman, Salisah</t>
  </si>
  <si>
    <t>Material Lapangan (Needle Valve) BBG, Adinda Naufianti Fadli</t>
  </si>
  <si>
    <t>Pembayaran PO 25459 Inv.628/INV/KSMXII/25, PT.Elektra Sinergi Indonesia</t>
  </si>
  <si>
    <t>PPN 04002500410641330, PT.Elektra Sinergi Indonesia</t>
  </si>
  <si>
    <t>BSK260034</t>
  </si>
  <si>
    <t>Material Lapangan (Orifies @ 2 Ea) Saudara Mandiri Bangkit, Sutarman</t>
  </si>
  <si>
    <t>Biaya Transfer, Sutarman</t>
  </si>
  <si>
    <t>UM Tahun Baru a.n Purwanto Jargas Sleman, Rizqi Auliya Moura</t>
  </si>
  <si>
    <t>Material Lapangan (Klem) Jargas Sleman, Rizqi Auliya Moura</t>
  </si>
  <si>
    <t>Perlengkapan (Sheet Protector, HVS A4) Jargas Sleman, Adinda Naufianti Fadli</t>
  </si>
  <si>
    <t>Transport BBM a.n Kevin Leo, Adinda Naufianti Fadli</t>
  </si>
  <si>
    <t>Pulsa a.n Kevin Leo, Adinda Naufianti Fadli</t>
  </si>
  <si>
    <t>Sparepart Mobil Jargas Sleman (Isi Nitrogen), Adinda Naufianti Fadli</t>
  </si>
  <si>
    <t>Transport BBM a.n Edi, Adinda Naufianti Fadli</t>
  </si>
  <si>
    <t>Reimburse Sleman, Shavira Akmalia Putri</t>
  </si>
  <si>
    <t>KSM25PP152</t>
  </si>
  <si>
    <t>Transport Unloading Material Jargas Sleman, Rizqi Auliya Moura</t>
  </si>
  <si>
    <t>Transport BBM Jargas Sleman, Rizqi Auliya Moura</t>
  </si>
  <si>
    <t>Perlengkapan (Tissu &amp; Air Galon) Jargas Sleman, Rizqi Auliya Moura</t>
  </si>
  <si>
    <t>Transport Perizinan Jargas Sleman a.m Achmad Purwanto, Rizqi Auliya Moura</t>
  </si>
  <si>
    <t>JP-2601010</t>
  </si>
  <si>
    <t>Material (Spring Regulator) Jargas Sleman, Salisah</t>
  </si>
  <si>
    <t>Reumbersment @ 7 Jan 2026 Jargas Sleman, Salisah</t>
  </si>
  <si>
    <t>Hotel a.n Rudi Hartono, Adinda Naufianti Fadli</t>
  </si>
  <si>
    <t>Transport GoCar Weekly Meeting SPK.1 &amp; 2 a.n Achmad Purwanto, Adinda Naufianti Fadli</t>
  </si>
  <si>
    <t>Transport BBM Mobil Operasional Jargas Sleman a.n Achmad Purwanto, Adinda Naufianti Fadli</t>
  </si>
  <si>
    <t>Token Listrik Mess II Jargas Sleman a.n Achmad Purwanto, Adinda Naufianti Fadli</t>
  </si>
  <si>
    <t>Perlengkapan HSE Banner Galery Walk MWT a.n Achmad Purwanto, Adinda Naufianti Fadli</t>
  </si>
  <si>
    <t>UM Lembur Jargas Sleman (Rekondisi,Jalur Pipa 63,Pengecoran Jembatan) @ 4 Org a.n Achmad Purwanto, Adinda Naufianti Fadli</t>
  </si>
  <si>
    <t>Transport BBM a.n Arya, Adinda Naufianti Fadli</t>
  </si>
  <si>
    <t>Makan Dirkit (Aqua Galon a.n Edy Kurniawan) Jargas Sleman, Adinda Naufianti Fadli</t>
  </si>
  <si>
    <t>Sewa Forklift Jargas Sleman, Adinda Naufianti Fadli</t>
  </si>
  <si>
    <t>PPH 23 2% Sewa Forklift Jargas Sleman (Rosidin 3329121108860003), Adinda Naufianti Fadli</t>
  </si>
  <si>
    <t>Transport Kereta a.n Sigit P &amp; Cahyo T, Rizqi Auliya Moura</t>
  </si>
  <si>
    <t>Pembelian Karangan Bunga Jargas Sleman, Rizqi Auliya Moura</t>
  </si>
  <si>
    <t>Material (Kayu) Jargas Sleman, Rizqi Auliya Moura</t>
  </si>
  <si>
    <t>Pengiriman Barang ke Jogja (Amirrul Sidiq)Inv.006/INV/AC/I/2026, Shavira Akmalia Putri</t>
  </si>
  <si>
    <t>PPH 21 2,5% Pengiriman Barang ke Jogja (Amirrul Sidiq)Inv.006/INV/AC/I/2026, Shavira Akmalia Putri</t>
  </si>
  <si>
    <t>Material (Pressure Gauge), Shavira Akmalia Putri</t>
  </si>
  <si>
    <t>Transport BBM a.n Rudi Hartono, Shavira Akmalia Putri</t>
  </si>
  <si>
    <t>JNT (Kirim Laptop ke Jargas Sleman), Shavira Akmalia Putri</t>
  </si>
  <si>
    <t>JNE Laptop Sleman, Shavira Akmalia Putri</t>
  </si>
  <si>
    <t>Makan Tim Jargas Sleman, Shavira Akmalia Putri</t>
  </si>
  <si>
    <t>Hotel a.n Rudi Hartono dan Faisal Ardi, Shavira Akmalia Putri</t>
  </si>
  <si>
    <t>Reimburse Ardi Sleman, Shavira Akmalia Putri</t>
  </si>
  <si>
    <t>Makan Tim Gali @ 15 Orang Jargas Sleman, Shavira Akmalia Putri</t>
  </si>
  <si>
    <t>Transport BBM a.n Achmad Purwanto Jargas Sleman, Rizqi Aulia</t>
  </si>
  <si>
    <t>Material Fabrikasi Banner (Kayu 4x6) Jargas Sleman, Rizqi Aulia</t>
  </si>
  <si>
    <t>Transport Fabrikasi Banner Jargas Sleman, Rizqi Aulia</t>
  </si>
  <si>
    <t>Perlengkapan Test Pen Jargas Sleman, Rizqi Aulia</t>
  </si>
  <si>
    <t>UM Lembur @ 2 Org Jargas Sleman, Rizqi Aulia</t>
  </si>
  <si>
    <t>Transport BBM a.n Akbar Fauzi Jargas Sleman, Rizqi Aulia</t>
  </si>
  <si>
    <t>Perlengkapan HSE (Stick Lamp) Jargas Sleman, Rizqi Aulia</t>
  </si>
  <si>
    <t>Perlengkapan Dirkit (Sunlight,Minyak Goreng,Air Mineral,Obat Rumout,Spayer,Sendok,Pisau,Lampu,Gas LPG) a.n Edy Kurniawan Jargas Sleman, Rizqi Aulia</t>
  </si>
  <si>
    <t>Transport BBM a.n Edy Kurniawan Jargas Sleman, Rizqi Aulia</t>
  </si>
  <si>
    <t>Perlengkapan HSE Reward Kegiatan MWT Jargas Sleman, Rizqi Auliya Moura</t>
  </si>
  <si>
    <t>JNE (Kurir) Kirim Document Jargas Sleman, Rizqi Auliya Moura</t>
  </si>
  <si>
    <t>UM Lembur SPV @ 3 Org Jargas Sleman, Rizqi Auliya Moura</t>
  </si>
  <si>
    <t>Makan Dirkit (Air Mineral,Kapal Api) Jargas Sleman, Rizqi Auliya Moura</t>
  </si>
  <si>
    <t>Perlengkapan Dirkit (Tissu,Tali Rapiah,Sabun Cuci,Alat Pel) Jargas Sleman, Rizqi Auliya Moura</t>
  </si>
  <si>
    <t>Transport BBM Jargas Sleman, Rizqi Aulia Moura</t>
  </si>
  <si>
    <t>Trans.BUS Kirim Paket Sparepart Jargas Sleman, Rizqi Auliya Moura</t>
  </si>
  <si>
    <t>Transport BBM a.n Achmad Purwanto Jargas Sleman, Shavira Akmalia Putri</t>
  </si>
  <si>
    <t>Transport Toll a.n Achmad Purwanto Jargas Sleman, Shaviara Akmalia Putri</t>
  </si>
  <si>
    <t>Makan a.n Achmad Purwanto &amp; CGP 5 Jargas Sleman, Shavira Akmalia Putri</t>
  </si>
  <si>
    <t>Makan a.n Sigit Praptowo dan Tim Jargas Sleman, Shavira Akmalia Putri</t>
  </si>
  <si>
    <t>Perlengkapan ATK Jargas Sleman, Shavira Akmalia Putri</t>
  </si>
  <si>
    <t>Internet Dirkit Jargas Sleman, Salisah</t>
  </si>
  <si>
    <t>Sparepart Mobil Rental a.n Achmad Purwanto, Salisah</t>
  </si>
  <si>
    <t>Transport BBM a.n Ifni Adhi Brata Jargas Sleman, Salisah</t>
  </si>
  <si>
    <t>Transport Gocar a.n Rika Putri Jargas Sleman, Salisah</t>
  </si>
  <si>
    <t>Transport BBM a.n Mustofa Jargas Sleman, Salisah</t>
  </si>
  <si>
    <t>Transport BBM a.n Edy Kurniawan Jargas Sleman, Salisah</t>
  </si>
  <si>
    <t>Makan Dirkit (Aqua Galon) a.n Edy Kurniawan Jargas Sleman, Salisah</t>
  </si>
  <si>
    <t>Transport Toll a.n Rudi Hartono Jargas Sleman, Salisah</t>
  </si>
  <si>
    <t>Sewa Mobil @ 1 Bulan Jargas Sleman, Salisah</t>
  </si>
  <si>
    <t>PPH 23 2% Sewa Mobil @ 1 Bulan Jargas Sleman, Salisah</t>
  </si>
  <si>
    <t>Token Listrik Jargas Sleman, Salisah</t>
  </si>
  <si>
    <t>Transport Fabrikasi Banner a.n Achmad Purwanto Jargas Sleman, Salisah</t>
  </si>
  <si>
    <t>Transport BBM a.n Achmad Purwanto Jargas Sleman, Salisah</t>
  </si>
  <si>
    <t>Makan Dirkit Aqua Galon a.n Edy Kurniawan Jargas Sleman, Salisah</t>
  </si>
  <si>
    <t>Transport BBM a.nRudi Hartono, Shavira Akmalia Putri</t>
  </si>
  <si>
    <t>Iuran Sampah Jargas Sleman, Shavira Akmalia Putri</t>
  </si>
  <si>
    <t>JNE (Kurir) Kirim Paket Document Jargas Sleman, Shavira Akmalia Putri</t>
  </si>
  <si>
    <t>Makan Dirkit (Aqua Galon) Jargas Sleman, Shavira Akmalia Putri</t>
  </si>
  <si>
    <t>Transport BBM a.n Edy Kurniawan, Shavira Akmalia Putri</t>
  </si>
  <si>
    <t>Pulsa a.n Danang Jargas Sleman, Shavira Akmalia Putri</t>
  </si>
  <si>
    <t>Transport BBM a.n Danang Jargas Sleman, Shavira Akmalia Putri</t>
  </si>
  <si>
    <t>Transport BBM a.n Akbar Fauzi Jargas Sleman, Shavira Akmalia Putri</t>
  </si>
  <si>
    <t>Perlengkapan (Tinta Printer) Jargas Sleman, Shavira Akmalia Putri</t>
  </si>
  <si>
    <t>Transport Kereta a.n Alifia Nurul (Jargas Sleman), Shavira Akmalia Putri</t>
  </si>
  <si>
    <t>Pengiriman Sepatu Safety dan Police Line Jargas Sleman, Shavira Akmalia Putri</t>
  </si>
  <si>
    <t>Perlengkapan (Cetak Spanduk Outdoor) Jargas Sleman, Shavira Akmalia Putri</t>
  </si>
  <si>
    <t>Transport Toll a.n Rudi Hartono, Rizqi Auliya Moura</t>
  </si>
  <si>
    <t>Transport BBM a.n Rudi Hartono, Rizqi Auliya Moura</t>
  </si>
  <si>
    <t>Makan a.n Sigit P Jargas Sleman, Rizqi Auliya Moura</t>
  </si>
  <si>
    <t>Transport Ticket Kereta a.n Edy Nurhamid &amp; Cahyo T Jargas Sleman, Rizqi Auliya Moura</t>
  </si>
  <si>
    <t>Hotel a.n Cahyo T Jargas Sleman, Rizqi Auliya Moura</t>
  </si>
  <si>
    <t>Transport Kereta a.n Edy Nurhamid Amin &amp; Cahyo T Jargas Sleman, Rizqi Auliya Moura</t>
  </si>
  <si>
    <t>Makan a.n Achmad Purwanto Kegiatan Pneumatik Test CGP-KSM Jargas Sleman, Rizqi Auliya Moura</t>
  </si>
  <si>
    <t>Transport Jaga Malam a.n Achmad Purwanto Kegiatan Pneumatik Test CGP-KSM Jargas Sleman, Rizqi Auliya Moura</t>
  </si>
  <si>
    <t>Transport BBM a.n Achmad Purwanto Jargas Sleman, Rizqi Auliya Moura</t>
  </si>
  <si>
    <t>Transport BBM a.n Arya Jargas Sleman, Rizqi Auliya Moura</t>
  </si>
  <si>
    <t>Transport BBM a.n Edy Kurniawan Jargas Sleman, Rizqi Auliya Moura</t>
  </si>
  <si>
    <t>Perlengkapan (Gelas) a.n Edy Kurniawan Jargas Sleman, Rizqi Auliya Moura</t>
  </si>
  <si>
    <t>Makan Dirkit a.n Edy Kurniawan Jargas Sleman, Rizqi Auliya Moura</t>
  </si>
  <si>
    <t>Makan Dirkit (Aqua Galon) Jargas Sleman, Rizqi Aulia</t>
  </si>
  <si>
    <t>Sparepart (Ganti Oli) Jargas Sleman, Rizqi Aulia</t>
  </si>
  <si>
    <t>Pulsa a.n Dwi Jargas Sleman, Rizqi Aulia</t>
  </si>
  <si>
    <t>Transport BBM a.n Dwi Jargas Sleman, Rizqi Aulia</t>
  </si>
  <si>
    <t>Transport BBM a.n Kelvin Jargas Sleman, Rizqi Aulia</t>
  </si>
  <si>
    <t>Pulsa a.n Mustaffa Jargas Sleman, Adinda Naufianti Fadli</t>
  </si>
  <si>
    <t>Transport BBM a.n Mustaffa Jargas Sleman, Adinda Naufianti Fadli</t>
  </si>
  <si>
    <t>Sewa Lahan Parkir Selama 1 Bulan @ Periode 22 Jan sd 22 Feb 2026 Jargas Sleman, Adinda Naufianti Fadli</t>
  </si>
  <si>
    <t>PPH Final 10% Sewa Lahan Parkir Selama 1 Bulan @ Periode 22 Jan sd 22 Feb 2026 Jargas Sleman, Adinda Naufianti Fadli</t>
  </si>
  <si>
    <t>Perlengkapan HSE (Helmet Safety) Untuk Kegiatan MWT Jargas Sleman, Adinda Naufianti Fadli</t>
  </si>
  <si>
    <t>Transport BBM, Adinda Naufianti Fadli</t>
  </si>
  <si>
    <t>Transport Toll a.n Fadjar Tri Ananda, Adinda Naufianti Fadli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</si>
</sst>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 #,##0_-;_-* &quot;-&quot;_-;_-@_-"/>
    <numFmt numFmtId="43" formatCode="_-* #,##0.00_-;\-* #,##0.00_-;_-* &quot;-&quot;??_-;_-@_-"/>
    <numFmt numFmtId="164" formatCode="[$-409]d\-mmm\-yy;@"/>
    <numFmt numFmtId="165" formatCode="_(* #,##0_);_(* \(#,##0\);_(* &quot;-&quot;??_);_(@_)"/>
    <numFmt numFmtId="166" formatCode="#,##0_ ;[Red]\-#,##0\ "/>
    <numFmt numFmtId="167" formatCode="_(* #,##0.00_);_(* \(#,##0.00\);_(* &quot;-&quot;??_);_(@_)"/>
  </numFmts>
  <fonts count="30" x14ac:knownFonts="1">
    <font>
      <sz val="11"/>
      <color theme="1"/>
      <name val="Calibri"/>
      <family val="2"/>
      <scheme val="minor"/>
    </font>
    <font>
      <sz val="11"/>
      <color theme="1"/>
      <name val="Calibri"/>
      <family val="2"/>
      <scheme val="minor"/>
    </font>
    <font>
      <b/>
      <sz val="12"/>
      <name val="Arial"/>
      <family val="2"/>
    </font>
    <font>
      <sz val="10"/>
      <name val="Arial"/>
      <family val="2"/>
    </font>
    <font>
      <b/>
      <sz val="12"/>
      <color indexed="8"/>
      <name val="Arial"/>
      <family val="2"/>
    </font>
    <font>
      <sz val="12"/>
      <color rgb="FFFF0000"/>
      <name val="Arial"/>
      <family val="2"/>
    </font>
    <font>
      <sz val="12"/>
      <name val="Arial"/>
      <family val="2"/>
    </font>
    <font>
      <sz val="12"/>
      <color theme="1"/>
      <name val="Arial"/>
      <family val="2"/>
    </font>
    <font>
      <sz val="10"/>
      <color theme="1"/>
      <name val="Arial"/>
      <family val="2"/>
    </font>
    <font>
      <sz val="12"/>
      <color indexed="8"/>
      <name val="Arial"/>
      <family val="2"/>
    </font>
    <font>
      <sz val="11"/>
      <name val="Calibri"/>
      <family val="2"/>
      <scheme val="minor"/>
    </font>
    <font>
      <sz val="10"/>
      <color rgb="FFFF0000"/>
      <name val="Arial"/>
      <family val="2"/>
    </font>
    <font>
      <sz val="12"/>
      <name val="Calibri"/>
      <family val="2"/>
    </font>
    <font>
      <sz val="11"/>
      <color indexed="8"/>
      <name val="Calibri"/>
      <family val="2"/>
      <scheme val="minor"/>
    </font>
    <font>
      <sz val="12"/>
      <color indexed="10"/>
      <name val="Calibri"/>
      <family val="2"/>
    </font>
    <font>
      <sz val="12"/>
      <color indexed="10"/>
      <name val="Arial"/>
      <family val="2"/>
    </font>
    <font>
      <sz val="11.75"/>
      <name val="Arial"/>
      <family val="2"/>
    </font>
    <font>
      <sz val="12"/>
      <color rgb="FF0070C0"/>
      <name val="Arial"/>
      <family val="2"/>
    </font>
    <font>
      <sz val="11"/>
      <color theme="1"/>
      <name val="Calibri"/>
      <family val="2"/>
      <charset val="1"/>
      <scheme val="minor"/>
    </font>
    <font>
      <sz val="11"/>
      <name val="Arial"/>
      <family val="2"/>
    </font>
    <font>
      <sz val="12"/>
      <name val="Calibri"/>
      <family val="2"/>
      <scheme val="minor"/>
    </font>
    <font>
      <b/>
      <sz val="11"/>
      <color rgb="FF000000"/>
      <name val="Tahoma"/>
      <family val="2"/>
    </font>
    <font>
      <b/>
      <sz val="16"/>
      <color rgb="FF800000"/>
      <name val="Arial"/>
      <family val="2"/>
    </font>
    <font>
      <b/>
      <sz val="10"/>
      <color rgb="FF000000"/>
      <name val="Tahoma"/>
      <family val="2"/>
    </font>
    <font>
      <sz val="8"/>
      <color rgb="FF000000"/>
      <name val="Arial"/>
      <family val="2"/>
    </font>
    <font>
      <b/>
      <sz val="9"/>
      <color rgb="FF000080"/>
      <name val="Arial"/>
      <family val="2"/>
    </font>
    <font>
      <b/>
      <sz val="8"/>
      <color rgb="FF000000"/>
      <name val="Arial"/>
      <family val="2"/>
    </font>
    <font>
      <b/>
      <sz val="8"/>
      <color rgb="FF000080"/>
      <name val="Arial"/>
      <family val="2"/>
    </font>
    <font>
      <sz val="8"/>
      <color rgb="FF000000"/>
      <name val="Tahoma"/>
      <family val="2"/>
    </font>
    <font>
      <sz val="12"/>
      <color rgb="FF000000"/>
      <name val="Arial"/>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8" tint="0.799981688894314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hair">
        <color indexed="64"/>
      </top>
      <bottom/>
      <diagonal/>
    </border>
    <border>
      <left style="thin">
        <color auto="1"/>
      </left>
      <right style="thin">
        <color auto="1"/>
      </right>
      <top style="hair">
        <color auto="1"/>
      </top>
      <bottom style="hair">
        <color auto="1"/>
      </bottom>
      <diagonal/>
    </border>
    <border>
      <left/>
      <right style="thin">
        <color auto="1"/>
      </right>
      <top style="hair">
        <color auto="1"/>
      </top>
      <bottom style="hair">
        <color auto="1"/>
      </bottom>
      <diagonal/>
    </border>
    <border>
      <left/>
      <right style="thin">
        <color auto="1"/>
      </right>
      <top style="hair">
        <color auto="1"/>
      </top>
      <bottom/>
      <diagonal/>
    </border>
    <border>
      <left style="thin">
        <color auto="1"/>
      </left>
      <right style="thin">
        <color auto="1"/>
      </right>
      <top/>
      <bottom style="hair">
        <color auto="1"/>
      </bottom>
      <diagonal/>
    </border>
    <border>
      <left/>
      <right style="thin">
        <color auto="1"/>
      </right>
      <top/>
      <bottom style="hair">
        <color auto="1"/>
      </bottom>
      <diagonal/>
    </border>
    <border>
      <left style="thin">
        <color indexed="64"/>
      </left>
      <right style="thin">
        <color indexed="64"/>
      </right>
      <top/>
      <bottom/>
      <diagonal/>
    </border>
    <border>
      <left style="hair">
        <color indexed="64"/>
      </left>
      <right style="hair">
        <color indexed="64"/>
      </right>
      <top style="hair">
        <color indexed="64"/>
      </top>
      <bottom style="hair">
        <color indexed="64"/>
      </bottom>
      <diagonal/>
    </border>
    <border>
      <left style="thin">
        <color auto="1"/>
      </left>
      <right/>
      <top style="hair">
        <color auto="1"/>
      </top>
      <bottom style="hair">
        <color auto="1"/>
      </bottom>
      <diagonal/>
    </border>
    <border>
      <left style="thin">
        <color indexed="64"/>
      </left>
      <right style="thin">
        <color auto="1"/>
      </right>
      <top style="hair">
        <color indexed="64"/>
      </top>
      <bottom style="thin">
        <color indexed="64"/>
      </bottom>
      <diagonal/>
    </border>
    <border>
      <left/>
      <right style="thin">
        <color auto="1"/>
      </right>
      <top style="hair">
        <color indexed="64"/>
      </top>
      <bottom style="thin">
        <color indexed="64"/>
      </bottom>
      <diagonal/>
    </border>
    <border>
      <left/>
      <right/>
      <top style="hair">
        <color indexed="64"/>
      </top>
      <bottom style="hair">
        <color indexed="64"/>
      </bottom>
      <diagonal/>
    </border>
    <border>
      <left style="thin">
        <color auto="1"/>
      </left>
      <right style="thin">
        <color auto="1"/>
      </right>
      <top style="hair">
        <color auto="1"/>
      </top>
      <bottom style="dotted">
        <color indexed="64"/>
      </bottom>
      <diagonal/>
    </border>
    <border>
      <left style="hair">
        <color auto="1"/>
      </left>
      <right style="thin">
        <color auto="1"/>
      </right>
      <top style="hair">
        <color auto="1"/>
      </top>
      <bottom style="hair">
        <color auto="1"/>
      </bottom>
      <diagonal/>
    </border>
    <border>
      <left/>
      <right/>
      <top style="thin">
        <color indexed="64"/>
      </top>
      <bottom style="thin">
        <color indexed="64"/>
      </bottom>
      <diagonal/>
    </border>
    <border>
      <left/>
      <right/>
      <top/>
      <bottom style="hair">
        <color indexed="64"/>
      </bottom>
      <diagonal/>
    </border>
    <border>
      <left style="thin">
        <color auto="1"/>
      </left>
      <right style="thin">
        <color auto="1"/>
      </right>
      <top/>
      <bottom style="thin">
        <color indexed="64"/>
      </bottom>
      <diagonal/>
    </border>
    <border>
      <left style="thin">
        <color auto="1"/>
      </left>
      <right style="thin">
        <color auto="1"/>
      </right>
      <top style="dashed">
        <color auto="1"/>
      </top>
      <bottom style="dashed">
        <color auto="1"/>
      </bottom>
      <diagonal/>
    </border>
    <border>
      <left style="thin">
        <color indexed="64"/>
      </left>
      <right/>
      <top style="hair">
        <color indexed="64"/>
      </top>
      <bottom/>
      <diagonal/>
    </border>
    <border>
      <left style="thin">
        <color auto="1"/>
      </left>
      <right/>
      <top/>
      <bottom style="hair">
        <color auto="1"/>
      </bottom>
      <diagonal/>
    </border>
    <border>
      <left/>
      <right/>
      <top style="hair">
        <color auto="1"/>
      </top>
      <bottom/>
      <diagonal/>
    </border>
    <border>
      <left style="thin">
        <color auto="1"/>
      </left>
      <right/>
      <top style="hair">
        <color auto="1"/>
      </top>
      <bottom style="thin">
        <color indexed="64"/>
      </bottom>
      <diagonal/>
    </border>
    <border>
      <left/>
      <right/>
      <top style="hair">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auto="1"/>
      </right>
      <top/>
      <bottom/>
      <diagonal/>
    </border>
  </borders>
  <cellStyleXfs count="96">
    <xf numFmtId="0" fontId="0" fillId="0" borderId="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0" fontId="1" fillId="0" borderId="0"/>
    <xf numFmtId="41" fontId="1" fillId="0" borderId="0" applyFont="0" applyFill="0" applyBorder="0" applyAlignment="0" applyProtection="0"/>
    <xf numFmtId="0" fontId="1" fillId="0" borderId="0"/>
    <xf numFmtId="41"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41" fontId="1" fillId="0" borderId="0" applyFont="0" applyFill="0" applyBorder="0" applyAlignment="0" applyProtection="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0" fontId="1" fillId="0" borderId="0"/>
    <xf numFmtId="41" fontId="1" fillId="0" borderId="0" applyFont="0" applyFill="0" applyBorder="0" applyAlignment="0" applyProtection="0"/>
    <xf numFmtId="0" fontId="1" fillId="0" borderId="0"/>
    <xf numFmtId="41" fontId="1" fillId="0" borderId="0" applyFont="0" applyFill="0" applyBorder="0" applyAlignment="0" applyProtection="0"/>
    <xf numFmtId="0" fontId="1" fillId="0" borderId="0"/>
    <xf numFmtId="41" fontId="1" fillId="0" borderId="0" applyFont="0" applyFill="0" applyBorder="0" applyAlignment="0" applyProtection="0"/>
    <xf numFmtId="41" fontId="1" fillId="0" borderId="0" applyFont="0" applyFill="0" applyBorder="0" applyAlignment="0" applyProtection="0"/>
    <xf numFmtId="0" fontId="1" fillId="0" borderId="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1" fontId="1" fillId="0" borderId="0" applyFont="0" applyFill="0" applyBorder="0" applyAlignment="0" applyProtection="0"/>
    <xf numFmtId="167" fontId="3" fillId="0" borderId="0" applyFont="0" applyFill="0" applyBorder="0" applyAlignment="0" applyProtection="0"/>
    <xf numFmtId="41" fontId="13" fillId="0" borderId="0" applyFont="0" applyFill="0" applyBorder="0" applyAlignment="0" applyProtection="0"/>
    <xf numFmtId="0" fontId="1" fillId="0" borderId="0"/>
    <xf numFmtId="0" fontId="1" fillId="0" borderId="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43" fontId="1" fillId="0" borderId="0" applyFont="0" applyFill="0" applyBorder="0" applyAlignment="0" applyProtection="0"/>
    <xf numFmtId="41" fontId="1" fillId="0" borderId="0" applyFont="0" applyFill="0" applyBorder="0" applyAlignment="0" applyProtection="0"/>
    <xf numFmtId="0" fontId="1" fillId="0" borderId="0"/>
    <xf numFmtId="43" fontId="1" fillId="0" borderId="0" applyFont="0" applyFill="0" applyBorder="0" applyAlignment="0" applyProtection="0"/>
    <xf numFmtId="41" fontId="1" fillId="0" borderId="0" applyFont="0" applyFill="0" applyBorder="0" applyAlignment="0" applyProtection="0"/>
    <xf numFmtId="0" fontId="18" fillId="0" borderId="0"/>
    <xf numFmtId="0" fontId="1" fillId="0" borderId="0"/>
    <xf numFmtId="43" fontId="1" fillId="0" borderId="0" applyFont="0" applyFill="0" applyBorder="0" applyAlignment="0" applyProtection="0"/>
    <xf numFmtId="0" fontId="18"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1" fontId="1" fillId="0" borderId="0" applyFont="0" applyFill="0" applyBorder="0" applyAlignment="0" applyProtection="0"/>
    <xf numFmtId="43" fontId="1" fillId="0" borderId="0" applyFont="0" applyFill="0" applyBorder="0" applyAlignment="0" applyProtection="0"/>
    <xf numFmtId="4" fontId="21" fillId="0" borderId="0">
      <alignment horizontal="center" vertical="top"/>
    </xf>
    <xf numFmtId="4" fontId="22" fillId="0" borderId="0">
      <alignment horizontal="center" vertical="top"/>
    </xf>
    <xf numFmtId="4" fontId="23" fillId="0" borderId="0">
      <alignment horizontal="center" vertical="top"/>
    </xf>
    <xf numFmtId="4" fontId="24" fillId="0" borderId="0">
      <alignment horizontal="right" vertical="top"/>
    </xf>
    <xf numFmtId="4" fontId="25" fillId="0" borderId="0">
      <alignment horizontal="center" vertical="top"/>
    </xf>
    <xf numFmtId="4" fontId="26" fillId="0" borderId="0">
      <alignment horizontal="left" vertical="top"/>
    </xf>
    <xf numFmtId="4" fontId="26" fillId="0" borderId="0">
      <alignment horizontal="right" vertical="top"/>
    </xf>
    <xf numFmtId="4" fontId="24" fillId="0" borderId="0">
      <alignment horizontal="left" vertical="top"/>
    </xf>
    <xf numFmtId="4" fontId="27" fillId="0" borderId="0">
      <alignment horizontal="right" vertical="top"/>
    </xf>
    <xf numFmtId="4" fontId="28" fillId="0" borderId="0">
      <alignment horizontal="center" vertical="top"/>
    </xf>
    <xf numFmtId="4" fontId="28" fillId="0" borderId="0">
      <alignment horizontal="left" vertical="top"/>
    </xf>
    <xf numFmtId="4" fontId="28" fillId="0" borderId="0">
      <alignment horizontal="right" vertical="top"/>
    </xf>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8" fillId="0" borderId="0" applyFont="0" applyFill="0" applyBorder="0" applyAlignment="0" applyProtection="0"/>
    <xf numFmtId="41" fontId="3" fillId="0" borderId="0" applyFont="0" applyFill="0" applyBorder="0" applyAlignment="0" applyProtection="0"/>
  </cellStyleXfs>
  <cellXfs count="715">
    <xf numFmtId="0" fontId="0" fillId="0" borderId="0" xfId="0"/>
    <xf numFmtId="164" fontId="2" fillId="2" borderId="1" xfId="0" applyNumberFormat="1" applyFont="1" applyFill="1" applyBorder="1" applyAlignment="1">
      <alignment horizontal="center" vertical="center"/>
    </xf>
    <xf numFmtId="0" fontId="2" fillId="2" borderId="1" xfId="0" applyFont="1" applyFill="1" applyBorder="1" applyAlignment="1">
      <alignment horizontal="center" vertical="center"/>
    </xf>
    <xf numFmtId="164" fontId="5" fillId="3" borderId="2" xfId="0" applyNumberFormat="1" applyFont="1" applyFill="1" applyBorder="1" applyAlignment="1">
      <alignment horizontal="center" vertical="center"/>
    </xf>
    <xf numFmtId="0" fontId="5" fillId="3" borderId="2" xfId="0" applyFont="1" applyFill="1" applyBorder="1" applyAlignment="1">
      <alignment horizontal="center" vertical="center"/>
    </xf>
    <xf numFmtId="0" fontId="5" fillId="3" borderId="2" xfId="0" applyFont="1" applyFill="1" applyBorder="1" applyAlignment="1">
      <alignment vertical="center"/>
    </xf>
    <xf numFmtId="164" fontId="6" fillId="2" borderId="2" xfId="0" applyNumberFormat="1" applyFont="1" applyFill="1" applyBorder="1" applyAlignment="1">
      <alignment horizontal="center" vertical="center"/>
    </xf>
    <xf numFmtId="0" fontId="6" fillId="2" borderId="2" xfId="0" applyFont="1" applyFill="1" applyBorder="1" applyAlignment="1">
      <alignment horizontal="center" vertical="center"/>
    </xf>
    <xf numFmtId="0" fontId="6" fillId="2" borderId="2" xfId="0" applyFont="1" applyFill="1" applyBorder="1" applyAlignment="1">
      <alignment vertical="center"/>
    </xf>
    <xf numFmtId="0" fontId="6" fillId="2" borderId="3" xfId="0" applyFont="1" applyFill="1" applyBorder="1" applyAlignment="1">
      <alignment horizontal="center" vertical="center"/>
    </xf>
    <xf numFmtId="0" fontId="7" fillId="0" borderId="4" xfId="0" applyFont="1" applyBorder="1" applyAlignment="1">
      <alignment horizontal="center" vertical="center"/>
    </xf>
    <xf numFmtId="0" fontId="6" fillId="0" borderId="3" xfId="0" applyFont="1" applyBorder="1" applyAlignment="1">
      <alignment horizontal="center" vertical="center"/>
    </xf>
    <xf numFmtId="0" fontId="7" fillId="0" borderId="3" xfId="0" applyFont="1" applyBorder="1" applyAlignment="1">
      <alignment vertical="center"/>
    </xf>
    <xf numFmtId="0" fontId="6" fillId="2" borderId="5" xfId="0" applyFont="1" applyFill="1" applyBorder="1" applyAlignment="1">
      <alignment vertical="center"/>
    </xf>
    <xf numFmtId="0" fontId="7" fillId="0" borderId="2" xfId="0" applyFont="1" applyBorder="1" applyAlignment="1">
      <alignment vertical="center"/>
    </xf>
    <xf numFmtId="0" fontId="7" fillId="0" borderId="3" xfId="0" applyFont="1" applyBorder="1" applyAlignment="1">
      <alignment horizontal="center" vertical="center"/>
    </xf>
    <xf numFmtId="0" fontId="7" fillId="0" borderId="3" xfId="0" applyFont="1" applyBorder="1" applyAlignment="1">
      <alignment horizontal="left" vertical="center"/>
    </xf>
    <xf numFmtId="0" fontId="6" fillId="0" borderId="3" xfId="0" applyFont="1" applyBorder="1" applyAlignment="1">
      <alignment vertical="center"/>
    </xf>
    <xf numFmtId="164" fontId="7" fillId="2" borderId="2" xfId="0" applyNumberFormat="1" applyFont="1" applyFill="1" applyBorder="1" applyAlignment="1">
      <alignment horizontal="center" vertical="center"/>
    </xf>
    <xf numFmtId="0" fontId="7" fillId="2" borderId="2" xfId="0" applyFont="1" applyFill="1" applyBorder="1" applyAlignment="1">
      <alignment horizontal="center" vertical="center"/>
    </xf>
    <xf numFmtId="0" fontId="7" fillId="0" borderId="2" xfId="0" applyFont="1" applyBorder="1" applyAlignment="1">
      <alignment horizontal="center" vertical="center"/>
    </xf>
    <xf numFmtId="0" fontId="7" fillId="0" borderId="6" xfId="0" applyFont="1" applyBorder="1" applyAlignment="1">
      <alignment horizontal="center" vertical="center"/>
    </xf>
    <xf numFmtId="0" fontId="7" fillId="0" borderId="5" xfId="0" applyFont="1" applyBorder="1" applyAlignment="1">
      <alignment horizontal="center" vertical="center"/>
    </xf>
    <xf numFmtId="0" fontId="6" fillId="0" borderId="2" xfId="0" applyFont="1" applyBorder="1" applyAlignment="1">
      <alignment vertical="center"/>
    </xf>
    <xf numFmtId="0" fontId="7" fillId="0" borderId="3" xfId="4" applyFont="1" applyBorder="1" applyAlignment="1">
      <alignment vertical="center"/>
    </xf>
    <xf numFmtId="0" fontId="7" fillId="0" borderId="6" xfId="0" applyFont="1" applyBorder="1" applyAlignment="1">
      <alignment vertical="center"/>
    </xf>
    <xf numFmtId="0" fontId="6" fillId="0" borderId="3" xfId="4" applyFont="1" applyBorder="1" applyAlignment="1">
      <alignment vertical="center"/>
    </xf>
    <xf numFmtId="0" fontId="7" fillId="0" borderId="3" xfId="6" applyFont="1" applyBorder="1" applyAlignment="1">
      <alignment horizontal="center" vertical="center"/>
    </xf>
    <xf numFmtId="0" fontId="6" fillId="0" borderId="3" xfId="0" applyFont="1" applyBorder="1" applyAlignment="1">
      <alignment horizontal="left" vertical="center"/>
    </xf>
    <xf numFmtId="0" fontId="7" fillId="0" borderId="3" xfId="6" applyFont="1" applyBorder="1" applyAlignment="1">
      <alignment vertical="center"/>
    </xf>
    <xf numFmtId="0" fontId="6" fillId="2" borderId="3" xfId="0" applyFont="1" applyFill="1" applyBorder="1" applyAlignment="1">
      <alignment vertical="center"/>
    </xf>
    <xf numFmtId="0" fontId="6" fillId="0" borderId="2" xfId="0" applyFont="1" applyBorder="1" applyAlignment="1">
      <alignment horizontal="center" vertical="center"/>
    </xf>
    <xf numFmtId="164" fontId="6" fillId="2" borderId="3" xfId="0" applyNumberFormat="1" applyFont="1" applyFill="1" applyBorder="1" applyAlignment="1">
      <alignment horizontal="center" vertical="center"/>
    </xf>
    <xf numFmtId="164" fontId="6" fillId="0" borderId="2" xfId="0" applyNumberFormat="1" applyFont="1" applyBorder="1" applyAlignment="1">
      <alignment horizontal="center" vertical="center"/>
    </xf>
    <xf numFmtId="0" fontId="6" fillId="0" borderId="5" xfId="0" applyFont="1" applyBorder="1" applyAlignment="1">
      <alignment vertical="center"/>
    </xf>
    <xf numFmtId="0" fontId="7" fillId="0" borderId="4" xfId="9" applyFont="1" applyBorder="1" applyAlignment="1">
      <alignment horizontal="center" vertical="center"/>
    </xf>
    <xf numFmtId="0" fontId="7" fillId="2" borderId="4" xfId="0" applyFont="1" applyFill="1" applyBorder="1" applyAlignment="1">
      <alignment horizontal="center" vertical="center"/>
    </xf>
    <xf numFmtId="0" fontId="7" fillId="2" borderId="3" xfId="0" applyFont="1" applyFill="1" applyBorder="1" applyAlignment="1">
      <alignment horizontal="center" vertical="center"/>
    </xf>
    <xf numFmtId="0" fontId="6" fillId="0" borderId="6" xfId="0" applyFont="1" applyBorder="1" applyAlignment="1">
      <alignment horizontal="center" vertical="center"/>
    </xf>
    <xf numFmtId="0" fontId="7" fillId="0" borderId="3" xfId="9" applyFont="1" applyBorder="1" applyAlignment="1">
      <alignment vertical="center"/>
    </xf>
    <xf numFmtId="0" fontId="7" fillId="0" borderId="6" xfId="9" applyFont="1" applyBorder="1" applyAlignment="1">
      <alignment vertical="center"/>
    </xf>
    <xf numFmtId="0" fontId="7" fillId="2" borderId="3" xfId="10" applyFont="1" applyFill="1" applyBorder="1" applyAlignment="1">
      <alignment vertical="center"/>
    </xf>
    <xf numFmtId="0" fontId="7" fillId="2" borderId="3" xfId="0" applyFont="1" applyFill="1" applyBorder="1" applyAlignment="1">
      <alignment vertical="center"/>
    </xf>
    <xf numFmtId="0" fontId="6" fillId="2" borderId="3" xfId="4" applyFont="1" applyFill="1" applyBorder="1" applyAlignment="1">
      <alignment vertical="center"/>
    </xf>
    <xf numFmtId="0" fontId="6" fillId="2" borderId="4" xfId="0" applyFont="1" applyFill="1" applyBorder="1" applyAlignment="1">
      <alignment horizontal="center" vertical="center"/>
    </xf>
    <xf numFmtId="0" fontId="6" fillId="0" borderId="6" xfId="0" applyFont="1" applyBorder="1" applyAlignment="1">
      <alignment vertical="center"/>
    </xf>
    <xf numFmtId="0" fontId="6" fillId="0" borderId="2" xfId="4" applyFont="1" applyBorder="1" applyAlignment="1">
      <alignment vertical="center"/>
    </xf>
    <xf numFmtId="0" fontId="6" fillId="2" borderId="5" xfId="0" applyFont="1" applyFill="1" applyBorder="1" applyAlignment="1">
      <alignment horizontal="center" vertical="center"/>
    </xf>
    <xf numFmtId="0" fontId="6" fillId="2" borderId="2" xfId="4" applyFont="1" applyFill="1" applyBorder="1" applyAlignment="1">
      <alignment vertical="center"/>
    </xf>
    <xf numFmtId="0" fontId="6" fillId="0" borderId="10" xfId="4" applyFont="1" applyBorder="1" applyAlignment="1">
      <alignment vertical="center"/>
    </xf>
    <xf numFmtId="0" fontId="6" fillId="0" borderId="11" xfId="0" applyFont="1" applyBorder="1" applyAlignment="1">
      <alignment horizontal="center" vertical="center"/>
    </xf>
    <xf numFmtId="0" fontId="7" fillId="0" borderId="3" xfId="0" applyFont="1" applyBorder="1" applyAlignment="1">
      <alignment vertical="center" wrapText="1"/>
    </xf>
    <xf numFmtId="164" fontId="5" fillId="2" borderId="2" xfId="0" applyNumberFormat="1" applyFont="1" applyFill="1" applyBorder="1" applyAlignment="1">
      <alignment horizontal="center" vertical="center"/>
    </xf>
    <xf numFmtId="0" fontId="5" fillId="2" borderId="3" xfId="0" applyFont="1" applyFill="1" applyBorder="1" applyAlignment="1">
      <alignment horizontal="center" vertical="center"/>
    </xf>
    <xf numFmtId="0" fontId="6" fillId="0" borderId="4" xfId="0" applyFont="1" applyBorder="1" applyAlignment="1">
      <alignment horizontal="center" vertical="center"/>
    </xf>
    <xf numFmtId="0" fontId="9" fillId="2" borderId="2" xfId="1" applyNumberFormat="1" applyFont="1" applyFill="1" applyBorder="1" applyAlignment="1">
      <alignment vertical="center"/>
    </xf>
    <xf numFmtId="0" fontId="9" fillId="2" borderId="13" xfId="1" applyNumberFormat="1" applyFont="1" applyFill="1" applyBorder="1" applyAlignment="1">
      <alignment vertical="center"/>
    </xf>
    <xf numFmtId="0" fontId="6" fillId="2" borderId="10" xfId="0" applyFont="1" applyFill="1" applyBorder="1" applyAlignment="1">
      <alignment horizontal="center" vertical="center"/>
    </xf>
    <xf numFmtId="3" fontId="7" fillId="0" borderId="4" xfId="0" applyNumberFormat="1" applyFont="1" applyBorder="1" applyAlignment="1">
      <alignment horizontal="center" vertical="center"/>
    </xf>
    <xf numFmtId="0" fontId="5" fillId="2" borderId="2" xfId="0" applyFont="1" applyFill="1" applyBorder="1" applyAlignment="1">
      <alignment horizontal="center" vertical="center"/>
    </xf>
    <xf numFmtId="0" fontId="5" fillId="2" borderId="2" xfId="0" applyFont="1" applyFill="1" applyBorder="1" applyAlignment="1">
      <alignment vertical="center"/>
    </xf>
    <xf numFmtId="164" fontId="5" fillId="0" borderId="2" xfId="0" applyNumberFormat="1" applyFont="1" applyBorder="1" applyAlignment="1">
      <alignment horizontal="center" vertical="center"/>
    </xf>
    <xf numFmtId="0" fontId="5" fillId="0" borderId="2" xfId="0" applyFont="1" applyBorder="1" applyAlignment="1">
      <alignment horizontal="center" vertical="center"/>
    </xf>
    <xf numFmtId="0" fontId="7" fillId="0" borderId="3" xfId="18" applyFont="1" applyBorder="1" applyAlignment="1">
      <alignment vertical="center"/>
    </xf>
    <xf numFmtId="0" fontId="7" fillId="0" borderId="3" xfId="20" applyFont="1" applyBorder="1" applyAlignment="1">
      <alignment vertical="center"/>
    </xf>
    <xf numFmtId="0" fontId="5" fillId="0" borderId="3" xfId="0" applyFont="1" applyBorder="1" applyAlignment="1">
      <alignment vertical="center"/>
    </xf>
    <xf numFmtId="0" fontId="6" fillId="0" borderId="6" xfId="9" applyFont="1" applyBorder="1" applyAlignment="1">
      <alignment vertical="center"/>
    </xf>
    <xf numFmtId="0" fontId="7" fillId="2" borderId="3" xfId="6" applyFont="1" applyFill="1" applyBorder="1" applyAlignment="1">
      <alignment vertical="center"/>
    </xf>
    <xf numFmtId="0" fontId="6" fillId="0" borderId="4" xfId="4" applyFont="1" applyBorder="1" applyAlignment="1">
      <alignment horizontal="center" vertical="center"/>
    </xf>
    <xf numFmtId="0" fontId="6" fillId="2" borderId="14" xfId="0" applyFont="1" applyFill="1" applyBorder="1" applyAlignment="1">
      <alignment vertical="center"/>
    </xf>
    <xf numFmtId="0" fontId="6" fillId="0" borderId="9" xfId="0" applyFont="1" applyBorder="1" applyAlignment="1">
      <alignment horizontal="center" vertical="center"/>
    </xf>
    <xf numFmtId="0" fontId="6" fillId="0" borderId="9" xfId="0" applyFont="1" applyBorder="1" applyAlignment="1">
      <alignment vertical="center"/>
    </xf>
    <xf numFmtId="3" fontId="6" fillId="0" borderId="4" xfId="0" applyNumberFormat="1" applyFont="1" applyBorder="1" applyAlignment="1">
      <alignment horizontal="center" vertical="center"/>
    </xf>
    <xf numFmtId="0" fontId="5" fillId="3" borderId="3" xfId="23" applyFont="1" applyFill="1" applyBorder="1" applyAlignment="1">
      <alignment vertical="center"/>
    </xf>
    <xf numFmtId="0" fontId="7" fillId="2" borderId="5" xfId="0" applyFont="1" applyFill="1" applyBorder="1" applyAlignment="1">
      <alignment vertical="center"/>
    </xf>
    <xf numFmtId="0" fontId="6" fillId="0" borderId="8" xfId="0" applyFont="1" applyBorder="1" applyAlignment="1">
      <alignment vertical="center"/>
    </xf>
    <xf numFmtId="0" fontId="6" fillId="0" borderId="3" xfId="18" applyFont="1" applyBorder="1" applyAlignment="1">
      <alignment vertical="center"/>
    </xf>
    <xf numFmtId="0" fontId="6" fillId="0" borderId="6" xfId="18" applyFont="1" applyBorder="1" applyAlignment="1">
      <alignment vertical="center"/>
    </xf>
    <xf numFmtId="0" fontId="6" fillId="0" borderId="3" xfId="20" applyFont="1" applyBorder="1" applyAlignment="1">
      <alignment vertical="center"/>
    </xf>
    <xf numFmtId="0" fontId="6" fillId="0" borderId="3" xfId="6" applyFont="1" applyBorder="1" applyAlignment="1">
      <alignment vertical="center"/>
    </xf>
    <xf numFmtId="0" fontId="6" fillId="0" borderId="3" xfId="9" applyFont="1" applyBorder="1" applyAlignment="1">
      <alignment vertical="center"/>
    </xf>
    <xf numFmtId="0" fontId="6" fillId="2" borderId="4" xfId="10" applyFont="1" applyFill="1" applyBorder="1" applyAlignment="1">
      <alignment horizontal="center" vertical="center"/>
    </xf>
    <xf numFmtId="0" fontId="6" fillId="2" borderId="6" xfId="10" applyFont="1" applyFill="1" applyBorder="1" applyAlignment="1">
      <alignment vertical="center"/>
    </xf>
    <xf numFmtId="0" fontId="10" fillId="0" borderId="0" xfId="0" applyFont="1"/>
    <xf numFmtId="0" fontId="5" fillId="3" borderId="3" xfId="6" applyFont="1" applyFill="1" applyBorder="1" applyAlignment="1">
      <alignment vertical="center"/>
    </xf>
    <xf numFmtId="0" fontId="7" fillId="0" borderId="15" xfId="0" applyFont="1" applyBorder="1" applyAlignment="1">
      <alignment horizontal="left" vertical="center"/>
    </xf>
    <xf numFmtId="0" fontId="7" fillId="0" borderId="3" xfId="25" applyFont="1" applyBorder="1" applyAlignment="1">
      <alignment vertical="center"/>
    </xf>
    <xf numFmtId="164" fontId="7" fillId="2" borderId="2" xfId="26" applyNumberFormat="1" applyFont="1" applyFill="1" applyBorder="1" applyAlignment="1">
      <alignment horizontal="center" vertical="center"/>
    </xf>
    <xf numFmtId="0" fontId="7" fillId="2" borderId="3" xfId="26" applyFont="1" applyFill="1" applyBorder="1" applyAlignment="1">
      <alignment horizontal="center" vertical="center"/>
    </xf>
    <xf numFmtId="0" fontId="7" fillId="2" borderId="10" xfId="4" applyFont="1" applyFill="1" applyBorder="1" applyAlignment="1">
      <alignment vertical="center"/>
    </xf>
    <xf numFmtId="3" fontId="7" fillId="2" borderId="4" xfId="0" applyNumberFormat="1" applyFont="1" applyFill="1" applyBorder="1" applyAlignment="1">
      <alignment horizontal="center" vertical="center"/>
    </xf>
    <xf numFmtId="38" fontId="2" fillId="2" borderId="1" xfId="1" applyNumberFormat="1" applyFont="1" applyFill="1" applyBorder="1" applyAlignment="1">
      <alignment horizontal="center" vertical="center"/>
    </xf>
    <xf numFmtId="0" fontId="6" fillId="2" borderId="4" xfId="27" applyFont="1" applyFill="1" applyBorder="1" applyAlignment="1">
      <alignment horizontal="center" vertical="center"/>
    </xf>
    <xf numFmtId="0" fontId="6" fillId="0" borderId="3" xfId="28" applyFont="1" applyBorder="1" applyAlignment="1">
      <alignment vertical="center"/>
    </xf>
    <xf numFmtId="0" fontId="7" fillId="0" borderId="3" xfId="29" applyFont="1" applyBorder="1" applyAlignment="1">
      <alignment vertical="center"/>
    </xf>
    <xf numFmtId="0" fontId="6" fillId="2" borderId="10" xfId="4" applyFont="1" applyFill="1" applyBorder="1" applyAlignment="1">
      <alignment vertical="center"/>
    </xf>
    <xf numFmtId="164" fontId="6" fillId="0" borderId="8" xfId="0" applyNumberFormat="1" applyFont="1" applyBorder="1" applyAlignment="1">
      <alignment horizontal="center" vertical="center"/>
    </xf>
    <xf numFmtId="0" fontId="6" fillId="0" borderId="8" xfId="0" applyFont="1" applyBorder="1" applyAlignment="1">
      <alignment horizontal="center" vertical="center"/>
    </xf>
    <xf numFmtId="0" fontId="7" fillId="0" borderId="7" xfId="9" applyFont="1" applyBorder="1" applyAlignment="1">
      <alignment horizontal="center" vertical="center"/>
    </xf>
    <xf numFmtId="164" fontId="5" fillId="2" borderId="3" xfId="0" applyNumberFormat="1" applyFont="1" applyFill="1" applyBorder="1" applyAlignment="1">
      <alignment horizontal="center" vertical="center"/>
    </xf>
    <xf numFmtId="0" fontId="5" fillId="2" borderId="3" xfId="0" applyFont="1" applyFill="1" applyBorder="1" applyAlignment="1">
      <alignment vertical="center"/>
    </xf>
    <xf numFmtId="164" fontId="2" fillId="0" borderId="1" xfId="0" applyNumberFormat="1" applyFont="1" applyBorder="1" applyAlignment="1">
      <alignment horizontal="center" vertical="center"/>
    </xf>
    <xf numFmtId="0" fontId="2" fillId="0" borderId="1" xfId="0" applyFont="1" applyBorder="1" applyAlignment="1">
      <alignment horizontal="center" vertical="center"/>
    </xf>
    <xf numFmtId="0" fontId="7" fillId="0" borderId="0" xfId="0" applyFont="1"/>
    <xf numFmtId="164" fontId="7" fillId="0" borderId="2" xfId="0" applyNumberFormat="1" applyFont="1" applyBorder="1" applyAlignment="1">
      <alignment horizontal="center" vertical="center"/>
    </xf>
    <xf numFmtId="164" fontId="6" fillId="0" borderId="3" xfId="0" applyNumberFormat="1" applyFont="1" applyBorder="1" applyAlignment="1">
      <alignment horizontal="center" vertical="center"/>
    </xf>
    <xf numFmtId="0" fontId="5" fillId="0" borderId="3" xfId="0" applyFont="1" applyBorder="1" applyAlignment="1">
      <alignment horizontal="center" vertical="center"/>
    </xf>
    <xf numFmtId="164" fontId="5" fillId="0" borderId="3" xfId="0" applyNumberFormat="1" applyFont="1" applyBorder="1" applyAlignment="1">
      <alignment horizontal="center" vertical="center"/>
    </xf>
    <xf numFmtId="164" fontId="7" fillId="0" borderId="3" xfId="0" applyNumberFormat="1" applyFont="1" applyBorder="1" applyAlignment="1">
      <alignment horizontal="center" vertical="center"/>
    </xf>
    <xf numFmtId="0" fontId="2" fillId="0" borderId="16" xfId="0" applyFont="1" applyBorder="1" applyAlignment="1">
      <alignment horizontal="center" vertical="center"/>
    </xf>
    <xf numFmtId="0" fontId="5" fillId="0" borderId="17" xfId="0" applyFont="1" applyBorder="1" applyAlignment="1">
      <alignment horizontal="center" vertical="center"/>
    </xf>
    <xf numFmtId="0" fontId="5" fillId="0" borderId="13" xfId="0" applyFont="1" applyBorder="1" applyAlignment="1">
      <alignment horizontal="center" vertical="center"/>
    </xf>
    <xf numFmtId="0" fontId="6" fillId="0" borderId="13" xfId="0" applyFont="1" applyBorder="1" applyAlignment="1">
      <alignment horizontal="center" vertical="center"/>
    </xf>
    <xf numFmtId="0" fontId="7" fillId="0" borderId="13" xfId="0" applyFont="1" applyBorder="1" applyAlignment="1">
      <alignment horizontal="center" vertical="center"/>
    </xf>
    <xf numFmtId="0" fontId="5" fillId="0" borderId="6" xfId="0" applyFont="1" applyBorder="1" applyAlignment="1">
      <alignment horizontal="center" vertical="center"/>
    </xf>
    <xf numFmtId="0" fontId="7" fillId="0" borderId="3" xfId="9" applyFont="1" applyBorder="1" applyAlignment="1">
      <alignment horizontal="center" vertical="center"/>
    </xf>
    <xf numFmtId="0" fontId="7" fillId="0" borderId="3" xfId="10" applyFont="1" applyBorder="1" applyAlignment="1">
      <alignment horizontal="center" vertical="center"/>
    </xf>
    <xf numFmtId="0" fontId="6" fillId="0" borderId="13" xfId="0" applyFont="1" applyBorder="1" applyAlignment="1">
      <alignment vertical="center"/>
    </xf>
    <xf numFmtId="0" fontId="7" fillId="0" borderId="13" xfId="0" applyFont="1" applyBorder="1" applyAlignment="1">
      <alignment vertical="center"/>
    </xf>
    <xf numFmtId="0" fontId="7" fillId="0" borderId="13" xfId="0" applyFont="1" applyBorder="1" applyAlignment="1">
      <alignment horizontal="left" vertical="center"/>
    </xf>
    <xf numFmtId="0" fontId="7" fillId="0" borderId="13" xfId="4" applyFont="1" applyBorder="1" applyAlignment="1">
      <alignment vertical="center"/>
    </xf>
    <xf numFmtId="0" fontId="6" fillId="0" borderId="13" xfId="4" applyFont="1" applyBorder="1" applyAlignment="1">
      <alignment vertical="center"/>
    </xf>
    <xf numFmtId="0" fontId="6" fillId="0" borderId="13" xfId="0" applyFont="1" applyBorder="1" applyAlignment="1">
      <alignment horizontal="left" vertical="center"/>
    </xf>
    <xf numFmtId="0" fontId="7" fillId="0" borderId="13" xfId="6" applyFont="1" applyBorder="1" applyAlignment="1">
      <alignment vertical="center"/>
    </xf>
    <xf numFmtId="0" fontId="7" fillId="0" borderId="13" xfId="9" applyFont="1" applyBorder="1" applyAlignment="1">
      <alignment vertical="center"/>
    </xf>
    <xf numFmtId="0" fontId="7" fillId="0" borderId="13" xfId="10" applyFont="1" applyBorder="1" applyAlignment="1">
      <alignment vertical="center"/>
    </xf>
    <xf numFmtId="0" fontId="6" fillId="4" borderId="3" xfId="0" applyFont="1" applyFill="1" applyBorder="1" applyAlignment="1">
      <alignment horizontal="center" vertical="center"/>
    </xf>
    <xf numFmtId="164" fontId="6" fillId="4" borderId="11" xfId="0" applyNumberFormat="1" applyFont="1" applyFill="1" applyBorder="1" applyAlignment="1">
      <alignment horizontal="center" vertical="center"/>
    </xf>
    <xf numFmtId="0" fontId="6" fillId="4" borderId="6" xfId="0" applyFont="1" applyFill="1" applyBorder="1" applyAlignment="1">
      <alignment horizontal="center" vertical="center"/>
    </xf>
    <xf numFmtId="0" fontId="9" fillId="0" borderId="13" xfId="1" applyNumberFormat="1" applyFont="1" applyFill="1" applyBorder="1" applyAlignment="1">
      <alignment vertical="center"/>
    </xf>
    <xf numFmtId="0" fontId="6" fillId="0" borderId="10" xfId="0" applyFont="1" applyBorder="1" applyAlignment="1">
      <alignment horizontal="center" vertical="center"/>
    </xf>
    <xf numFmtId="0" fontId="6" fillId="0" borderId="3" xfId="12" applyFont="1" applyBorder="1" applyAlignment="1">
      <alignment vertical="center"/>
    </xf>
    <xf numFmtId="0" fontId="6" fillId="4" borderId="11" xfId="0" applyFont="1" applyFill="1" applyBorder="1" applyAlignment="1">
      <alignment horizontal="center" vertical="center"/>
    </xf>
    <xf numFmtId="0" fontId="9" fillId="2" borderId="2" xfId="32" applyNumberFormat="1" applyFont="1" applyFill="1" applyBorder="1" applyAlignment="1">
      <alignment vertical="center"/>
    </xf>
    <xf numFmtId="0" fontId="9" fillId="2" borderId="2" xfId="34" applyNumberFormat="1" applyFont="1" applyFill="1" applyBorder="1" applyAlignment="1">
      <alignment vertical="center"/>
    </xf>
    <xf numFmtId="0" fontId="6" fillId="0" borderId="3" xfId="36" applyFont="1" applyBorder="1" applyAlignment="1">
      <alignment horizontal="center" vertical="center"/>
    </xf>
    <xf numFmtId="0" fontId="9" fillId="2" borderId="2" xfId="35" applyNumberFormat="1" applyFont="1" applyFill="1" applyBorder="1" applyAlignment="1">
      <alignment vertical="center"/>
    </xf>
    <xf numFmtId="0" fontId="6" fillId="0" borderId="3" xfId="36" applyFont="1" applyBorder="1" applyAlignment="1">
      <alignment vertical="center"/>
    </xf>
    <xf numFmtId="0" fontId="6" fillId="2" borderId="2" xfId="29" applyFont="1" applyFill="1" applyBorder="1" applyAlignment="1">
      <alignment horizontal="center" vertical="center"/>
    </xf>
    <xf numFmtId="164" fontId="5" fillId="3" borderId="3" xfId="0" applyNumberFormat="1" applyFont="1" applyFill="1" applyBorder="1" applyAlignment="1">
      <alignment horizontal="center" vertical="center"/>
    </xf>
    <xf numFmtId="164" fontId="7" fillId="2" borderId="3" xfId="0" applyNumberFormat="1" applyFont="1" applyFill="1" applyBorder="1" applyAlignment="1">
      <alignment horizontal="center" vertical="center"/>
    </xf>
    <xf numFmtId="0" fontId="5" fillId="3" borderId="13" xfId="0" applyFont="1" applyFill="1" applyBorder="1" applyAlignment="1">
      <alignment horizontal="center" vertical="center"/>
    </xf>
    <xf numFmtId="0" fontId="6" fillId="2" borderId="13" xfId="0" applyFont="1" applyFill="1" applyBorder="1" applyAlignment="1">
      <alignment horizontal="center" vertical="center"/>
    </xf>
    <xf numFmtId="16" fontId="6" fillId="2" borderId="13" xfId="0" applyNumberFormat="1" applyFont="1" applyFill="1" applyBorder="1" applyAlignment="1">
      <alignment horizontal="center" vertical="center"/>
    </xf>
    <xf numFmtId="0" fontId="7" fillId="2" borderId="13" xfId="0" applyFont="1" applyFill="1" applyBorder="1" applyAlignment="1">
      <alignment horizontal="center" vertical="center"/>
    </xf>
    <xf numFmtId="0" fontId="5" fillId="3" borderId="3" xfId="0" applyFont="1" applyFill="1" applyBorder="1" applyAlignment="1">
      <alignment horizontal="center" vertical="center"/>
    </xf>
    <xf numFmtId="0" fontId="5" fillId="3" borderId="13" xfId="6" applyFont="1" applyFill="1" applyBorder="1" applyAlignment="1">
      <alignment vertical="center"/>
    </xf>
    <xf numFmtId="0" fontId="6" fillId="2" borderId="13" xfId="0" applyFont="1" applyFill="1" applyBorder="1" applyAlignment="1">
      <alignment vertical="center"/>
    </xf>
    <xf numFmtId="0" fontId="7" fillId="2" borderId="13" xfId="0" applyFont="1" applyFill="1" applyBorder="1" applyAlignment="1">
      <alignment vertical="center"/>
    </xf>
    <xf numFmtId="0" fontId="7" fillId="2" borderId="13" xfId="4" applyFont="1" applyFill="1" applyBorder="1" applyAlignment="1">
      <alignment vertical="center"/>
    </xf>
    <xf numFmtId="0" fontId="6" fillId="2" borderId="13" xfId="4" applyFont="1" applyFill="1" applyBorder="1" applyAlignment="1">
      <alignment vertical="center"/>
    </xf>
    <xf numFmtId="0" fontId="9" fillId="2" borderId="13" xfId="35" applyNumberFormat="1" applyFont="1" applyFill="1" applyBorder="1" applyAlignment="1">
      <alignment vertical="center"/>
    </xf>
    <xf numFmtId="164" fontId="5" fillId="3" borderId="6" xfId="0" applyNumberFormat="1" applyFont="1" applyFill="1" applyBorder="1" applyAlignment="1">
      <alignment horizontal="center" vertical="center"/>
    </xf>
    <xf numFmtId="0" fontId="5" fillId="3" borderId="17" xfId="0" applyFont="1" applyFill="1" applyBorder="1" applyAlignment="1">
      <alignment horizontal="center" vertical="center"/>
    </xf>
    <xf numFmtId="0" fontId="5" fillId="3" borderId="6" xfId="0" applyFont="1" applyFill="1" applyBorder="1" applyAlignment="1">
      <alignment horizontal="center" vertical="center"/>
    </xf>
    <xf numFmtId="0" fontId="5" fillId="3" borderId="17" xfId="6" applyFont="1" applyFill="1" applyBorder="1" applyAlignment="1">
      <alignment vertical="center"/>
    </xf>
    <xf numFmtId="0" fontId="6" fillId="0" borderId="3" xfId="0" applyFont="1" applyBorder="1" applyAlignment="1">
      <alignment vertical="center" wrapText="1"/>
    </xf>
    <xf numFmtId="0" fontId="9" fillId="0" borderId="2" xfId="35" applyNumberFormat="1" applyFont="1" applyFill="1" applyBorder="1" applyAlignment="1">
      <alignment vertical="center" wrapText="1"/>
    </xf>
    <xf numFmtId="0" fontId="6" fillId="0" borderId="6" xfId="0" applyFont="1" applyBorder="1" applyAlignment="1">
      <alignment vertical="center" wrapText="1"/>
    </xf>
    <xf numFmtId="3" fontId="7" fillId="0" borderId="3" xfId="0" applyNumberFormat="1" applyFont="1" applyBorder="1" applyAlignment="1">
      <alignment vertical="center"/>
    </xf>
    <xf numFmtId="0" fontId="5" fillId="0" borderId="2" xfId="0" applyFont="1" applyBorder="1" applyAlignment="1">
      <alignment vertical="center"/>
    </xf>
    <xf numFmtId="0" fontId="7" fillId="0" borderId="3" xfId="10" applyFont="1" applyBorder="1" applyAlignment="1">
      <alignment horizontal="left" vertical="center"/>
    </xf>
    <xf numFmtId="0" fontId="7" fillId="0" borderId="3" xfId="10" applyFont="1" applyBorder="1" applyAlignment="1">
      <alignment vertical="center"/>
    </xf>
    <xf numFmtId="0" fontId="7" fillId="0" borderId="3" xfId="40" applyFont="1" applyBorder="1" applyAlignment="1">
      <alignment vertical="center"/>
    </xf>
    <xf numFmtId="0" fontId="7" fillId="0" borderId="5" xfId="0" applyFont="1" applyBorder="1" applyAlignment="1">
      <alignment vertical="center"/>
    </xf>
    <xf numFmtId="0" fontId="7" fillId="0" borderId="3" xfId="12" applyFont="1" applyBorder="1" applyAlignment="1">
      <alignment horizontal="left" vertical="center"/>
    </xf>
    <xf numFmtId="0" fontId="7" fillId="0" borderId="3" xfId="12" applyFont="1" applyBorder="1" applyAlignment="1">
      <alignment vertical="center"/>
    </xf>
    <xf numFmtId="0" fontId="5" fillId="0" borderId="3" xfId="23" applyFont="1" applyBorder="1" applyAlignment="1">
      <alignment vertical="center"/>
    </xf>
    <xf numFmtId="0" fontId="6" fillId="0" borderId="3" xfId="41" applyFont="1" applyBorder="1" applyAlignment="1">
      <alignment horizontal="center" vertical="center"/>
    </xf>
    <xf numFmtId="0" fontId="6" fillId="2" borderId="3" xfId="0" applyFont="1" applyFill="1" applyBorder="1" applyAlignment="1">
      <alignment horizontal="left" vertical="center"/>
    </xf>
    <xf numFmtId="0" fontId="9" fillId="0" borderId="2" xfId="43" applyNumberFormat="1" applyFont="1" applyFill="1" applyBorder="1" applyAlignment="1">
      <alignment vertical="center"/>
    </xf>
    <xf numFmtId="0" fontId="6" fillId="0" borderId="3" xfId="41" applyFont="1" applyBorder="1" applyAlignment="1">
      <alignment vertical="center"/>
    </xf>
    <xf numFmtId="0" fontId="9" fillId="2" borderId="3" xfId="35" applyNumberFormat="1" applyFont="1" applyFill="1" applyBorder="1" applyAlignment="1">
      <alignment vertical="center"/>
    </xf>
    <xf numFmtId="0" fontId="6" fillId="2" borderId="3" xfId="35" applyNumberFormat="1" applyFont="1" applyFill="1" applyBorder="1" applyAlignment="1">
      <alignment vertical="center"/>
    </xf>
    <xf numFmtId="164" fontId="6" fillId="2" borderId="6" xfId="0" applyNumberFormat="1" applyFont="1" applyFill="1" applyBorder="1" applyAlignment="1">
      <alignment horizontal="center" vertical="center"/>
    </xf>
    <xf numFmtId="0" fontId="9" fillId="0" borderId="3" xfId="43" applyNumberFormat="1" applyFont="1" applyFill="1" applyBorder="1" applyAlignment="1">
      <alignment vertical="center"/>
    </xf>
    <xf numFmtId="0" fontId="6" fillId="0" borderId="3" xfId="23" applyFont="1" applyBorder="1" applyAlignment="1">
      <alignment vertical="center"/>
    </xf>
    <xf numFmtId="164" fontId="6" fillId="0" borderId="11" xfId="0" applyNumberFormat="1" applyFont="1" applyBorder="1" applyAlignment="1">
      <alignment horizontal="center" vertical="center"/>
    </xf>
    <xf numFmtId="166" fontId="4" fillId="0" borderId="1" xfId="1" applyNumberFormat="1" applyFont="1" applyFill="1" applyBorder="1" applyAlignment="1">
      <alignment horizontal="center" vertical="center"/>
    </xf>
    <xf numFmtId="166" fontId="2" fillId="0" borderId="1" xfId="1" applyNumberFormat="1" applyFont="1" applyFill="1" applyBorder="1" applyAlignment="1">
      <alignment horizontal="center" vertical="center"/>
    </xf>
    <xf numFmtId="3" fontId="6" fillId="0" borderId="3" xfId="0" applyNumberFormat="1" applyFont="1" applyBorder="1" applyAlignment="1">
      <alignment vertical="center"/>
    </xf>
    <xf numFmtId="0" fontId="9" fillId="0" borderId="2" xfId="32" applyNumberFormat="1" applyFont="1" applyFill="1" applyBorder="1" applyAlignment="1">
      <alignment vertical="center"/>
    </xf>
    <xf numFmtId="0" fontId="9" fillId="0" borderId="3" xfId="34" applyNumberFormat="1" applyFont="1" applyFill="1" applyBorder="1" applyAlignment="1">
      <alignment vertical="center"/>
    </xf>
    <xf numFmtId="0" fontId="9" fillId="0" borderId="3" xfId="32" applyNumberFormat="1" applyFont="1" applyFill="1" applyBorder="1" applyAlignment="1">
      <alignment vertical="center"/>
    </xf>
    <xf numFmtId="0" fontId="7" fillId="0" borderId="6" xfId="0" applyFont="1" applyBorder="1" applyAlignment="1">
      <alignment vertical="center" wrapText="1"/>
    </xf>
    <xf numFmtId="0" fontId="7" fillId="0" borderId="6" xfId="0" applyFont="1" applyBorder="1" applyAlignment="1">
      <alignment horizontal="center" vertical="center" wrapText="1"/>
    </xf>
    <xf numFmtId="0" fontId="9" fillId="0" borderId="2" xfId="32" applyNumberFormat="1" applyFont="1" applyFill="1" applyBorder="1" applyAlignment="1">
      <alignment vertical="center" wrapText="1"/>
    </xf>
    <xf numFmtId="0" fontId="9" fillId="0" borderId="3" xfId="32" applyNumberFormat="1" applyFont="1" applyFill="1" applyBorder="1" applyAlignment="1">
      <alignment vertical="center" wrapText="1"/>
    </xf>
    <xf numFmtId="0" fontId="6" fillId="0" borderId="8" xfId="4" applyFont="1" applyBorder="1" applyAlignment="1">
      <alignment vertical="center" wrapText="1"/>
    </xf>
    <xf numFmtId="0" fontId="9" fillId="0" borderId="8" xfId="1" applyNumberFormat="1" applyFont="1" applyFill="1" applyBorder="1" applyAlignment="1">
      <alignment vertical="center" wrapText="1"/>
    </xf>
    <xf numFmtId="0" fontId="6" fillId="0" borderId="3" xfId="33" applyFont="1" applyBorder="1" applyAlignment="1">
      <alignment horizontal="center" vertical="center"/>
    </xf>
    <xf numFmtId="0" fontId="9" fillId="2" borderId="3" xfId="43" applyNumberFormat="1" applyFont="1" applyFill="1" applyBorder="1" applyAlignment="1">
      <alignment vertical="center"/>
    </xf>
    <xf numFmtId="0" fontId="9" fillId="0" borderId="2" xfId="35" applyNumberFormat="1" applyFont="1" applyFill="1" applyBorder="1" applyAlignment="1">
      <alignment vertical="center"/>
    </xf>
    <xf numFmtId="0" fontId="7" fillId="0" borderId="3" xfId="35" applyNumberFormat="1" applyFont="1" applyFill="1" applyBorder="1" applyAlignment="1">
      <alignment vertical="center"/>
    </xf>
    <xf numFmtId="0" fontId="9" fillId="0" borderId="3" xfId="35" applyNumberFormat="1" applyFont="1" applyFill="1" applyBorder="1" applyAlignment="1">
      <alignment vertical="center"/>
    </xf>
    <xf numFmtId="0" fontId="6" fillId="4" borderId="3" xfId="0" applyFont="1" applyFill="1" applyBorder="1" applyAlignment="1">
      <alignment horizontal="left" vertical="center" wrapText="1"/>
    </xf>
    <xf numFmtId="0" fontId="6" fillId="0" borderId="3" xfId="41" applyFont="1" applyBorder="1" applyAlignment="1">
      <alignment vertical="center" wrapText="1"/>
    </xf>
    <xf numFmtId="0" fontId="9" fillId="0" borderId="3" xfId="35" applyNumberFormat="1" applyFont="1" applyFill="1" applyBorder="1" applyAlignment="1">
      <alignment vertical="center" wrapText="1"/>
    </xf>
    <xf numFmtId="164" fontId="6" fillId="0" borderId="6" xfId="0" applyNumberFormat="1" applyFont="1" applyBorder="1" applyAlignment="1">
      <alignment horizontal="center" vertical="center"/>
    </xf>
    <xf numFmtId="0" fontId="6" fillId="4" borderId="11" xfId="0" applyFont="1" applyFill="1" applyBorder="1" applyAlignment="1">
      <alignment horizontal="left" vertical="center" wrapText="1"/>
    </xf>
    <xf numFmtId="0" fontId="6" fillId="0" borderId="3" xfId="35" applyNumberFormat="1" applyFont="1" applyFill="1" applyBorder="1" applyAlignment="1">
      <alignment vertical="center" wrapText="1"/>
    </xf>
    <xf numFmtId="0" fontId="7" fillId="0" borderId="6" xfId="0" applyFont="1" applyBorder="1" applyAlignment="1">
      <alignment horizontal="left" vertical="center"/>
    </xf>
    <xf numFmtId="0" fontId="6" fillId="0" borderId="3" xfId="6" applyFont="1" applyBorder="1" applyAlignment="1">
      <alignment horizontal="center" vertical="center"/>
    </xf>
    <xf numFmtId="0" fontId="6" fillId="0" borderId="3" xfId="6" applyFont="1" applyBorder="1" applyAlignment="1">
      <alignment horizontal="left" vertical="center"/>
    </xf>
    <xf numFmtId="0" fontId="9" fillId="0" borderId="3" xfId="35" applyNumberFormat="1" applyFont="1" applyFill="1" applyBorder="1" applyAlignment="1">
      <alignment horizontal="left" vertical="center"/>
    </xf>
    <xf numFmtId="0" fontId="6" fillId="0" borderId="3" xfId="35" applyNumberFormat="1" applyFont="1" applyFill="1" applyBorder="1" applyAlignment="1">
      <alignment horizontal="left" vertical="center"/>
    </xf>
    <xf numFmtId="0" fontId="6" fillId="0" borderId="3" xfId="45" applyFont="1" applyBorder="1" applyAlignment="1">
      <alignment vertical="center"/>
    </xf>
    <xf numFmtId="0" fontId="9" fillId="0" borderId="2" xfId="46" applyNumberFormat="1" applyFont="1" applyFill="1" applyBorder="1" applyAlignment="1">
      <alignment horizontal="left" vertical="center"/>
    </xf>
    <xf numFmtId="0" fontId="7" fillId="0" borderId="3" xfId="35" applyNumberFormat="1" applyFont="1" applyFill="1" applyBorder="1" applyAlignment="1">
      <alignment horizontal="left" vertical="center"/>
    </xf>
    <xf numFmtId="0" fontId="9" fillId="0" borderId="6" xfId="35" applyNumberFormat="1" applyFont="1" applyFill="1" applyBorder="1" applyAlignment="1">
      <alignment horizontal="left" vertical="center" wrapText="1"/>
    </xf>
    <xf numFmtId="0" fontId="9" fillId="0" borderId="3" xfId="35" applyNumberFormat="1" applyFont="1" applyFill="1" applyBorder="1" applyAlignment="1">
      <alignment horizontal="left" vertical="center" wrapText="1"/>
    </xf>
    <xf numFmtId="0" fontId="6" fillId="0" borderId="3" xfId="35" applyNumberFormat="1" applyFont="1" applyFill="1" applyBorder="1" applyAlignment="1">
      <alignment horizontal="left" vertical="center" wrapText="1"/>
    </xf>
    <xf numFmtId="0" fontId="7" fillId="0" borderId="3" xfId="35" applyNumberFormat="1" applyFont="1" applyFill="1" applyBorder="1" applyAlignment="1">
      <alignment horizontal="left" vertical="center" wrapText="1"/>
    </xf>
    <xf numFmtId="0" fontId="6" fillId="0" borderId="3" xfId="0" applyFont="1" applyBorder="1" applyAlignment="1">
      <alignment horizontal="left" vertical="center" wrapText="1"/>
    </xf>
    <xf numFmtId="0" fontId="6" fillId="0" borderId="6" xfId="0" applyFont="1" applyBorder="1" applyAlignment="1">
      <alignment horizontal="left" vertical="center" wrapText="1"/>
    </xf>
    <xf numFmtId="164" fontId="7" fillId="0" borderId="11" xfId="0" applyNumberFormat="1" applyFont="1" applyBorder="1" applyAlignment="1">
      <alignment horizontal="center" vertical="center"/>
    </xf>
    <xf numFmtId="0" fontId="7" fillId="0" borderId="11" xfId="0" applyFont="1" applyBorder="1" applyAlignment="1">
      <alignment horizontal="center" vertical="center"/>
    </xf>
    <xf numFmtId="0" fontId="7" fillId="0" borderId="11" xfId="35" applyNumberFormat="1" applyFont="1" applyFill="1" applyBorder="1" applyAlignment="1">
      <alignment horizontal="left" vertical="center" wrapText="1"/>
    </xf>
    <xf numFmtId="164" fontId="7" fillId="0" borderId="8" xfId="0" applyNumberFormat="1" applyFont="1" applyBorder="1" applyAlignment="1">
      <alignment horizontal="center" vertical="center" wrapText="1"/>
    </xf>
    <xf numFmtId="0" fontId="7" fillId="0" borderId="8" xfId="0" applyFont="1" applyBorder="1" applyAlignment="1">
      <alignment horizontal="center" vertical="center" wrapText="1"/>
    </xf>
    <xf numFmtId="0" fontId="7" fillId="0" borderId="8" xfId="0" applyFont="1" applyBorder="1" applyAlignment="1">
      <alignment vertical="center" wrapText="1"/>
    </xf>
    <xf numFmtId="164" fontId="7" fillId="0" borderId="3" xfId="0" applyNumberFormat="1" applyFont="1" applyBorder="1" applyAlignment="1">
      <alignment horizontal="center" vertical="center" wrapText="1"/>
    </xf>
    <xf numFmtId="0" fontId="7" fillId="0" borderId="3" xfId="0" applyFont="1" applyBorder="1" applyAlignment="1">
      <alignment horizontal="center" vertical="center" wrapText="1"/>
    </xf>
    <xf numFmtId="0" fontId="9" fillId="0" borderId="3" xfId="46" applyNumberFormat="1" applyFont="1" applyFill="1" applyBorder="1" applyAlignment="1">
      <alignment horizontal="left" vertical="center"/>
    </xf>
    <xf numFmtId="0" fontId="6" fillId="0" borderId="3" xfId="51" applyFont="1" applyBorder="1" applyAlignment="1">
      <alignment horizontal="left" vertical="center" wrapText="1"/>
    </xf>
    <xf numFmtId="0" fontId="5" fillId="0" borderId="3" xfId="0" applyFont="1" applyBorder="1" applyAlignment="1">
      <alignment horizontal="left" vertical="center" wrapText="1"/>
    </xf>
    <xf numFmtId="0" fontId="6" fillId="0" borderId="3" xfId="54" applyFont="1" applyBorder="1" applyAlignment="1">
      <alignment horizontal="left" vertical="center" wrapText="1"/>
    </xf>
    <xf numFmtId="0" fontId="7" fillId="0" borderId="3" xfId="57" applyFont="1" applyBorder="1" applyAlignment="1">
      <alignment vertical="center"/>
    </xf>
    <xf numFmtId="0" fontId="6" fillId="0" borderId="11" xfId="0" applyFont="1" applyBorder="1" applyAlignment="1">
      <alignment vertical="center" wrapText="1"/>
    </xf>
    <xf numFmtId="0" fontId="6" fillId="0" borderId="20" xfId="0" applyFont="1" applyBorder="1" applyAlignment="1">
      <alignment horizontal="center" vertical="center"/>
    </xf>
    <xf numFmtId="164" fontId="6" fillId="0" borderId="10" xfId="0" applyNumberFormat="1" applyFont="1" applyBorder="1" applyAlignment="1">
      <alignment horizontal="center" vertical="center"/>
    </xf>
    <xf numFmtId="164" fontId="6" fillId="0" borderId="20" xfId="0" applyNumberFormat="1" applyFont="1" applyBorder="1" applyAlignment="1">
      <alignment horizontal="center" vertical="center"/>
    </xf>
    <xf numFmtId="164" fontId="6" fillId="2" borderId="10" xfId="0" applyNumberFormat="1" applyFont="1" applyFill="1" applyBorder="1" applyAlignment="1">
      <alignment horizontal="center" vertical="center"/>
    </xf>
    <xf numFmtId="0" fontId="6" fillId="0" borderId="10" xfId="0" applyFont="1" applyBorder="1" applyAlignment="1">
      <alignment horizontal="center"/>
    </xf>
    <xf numFmtId="0" fontId="6" fillId="0" borderId="10" xfId="0" applyFont="1" applyBorder="1" applyAlignment="1">
      <alignment horizontal="left" vertical="center"/>
    </xf>
    <xf numFmtId="0" fontId="6" fillId="0" borderId="20" xfId="0" applyFont="1" applyBorder="1" applyAlignment="1">
      <alignment horizontal="left" vertical="center"/>
    </xf>
    <xf numFmtId="0" fontId="6" fillId="0" borderId="10" xfId="0" applyFont="1" applyBorder="1" applyAlignment="1">
      <alignment horizontal="left" wrapText="1"/>
    </xf>
    <xf numFmtId="0" fontId="6" fillId="0" borderId="10" xfId="0" applyFont="1" applyBorder="1" applyAlignment="1">
      <alignment horizontal="left" vertical="center" wrapText="1"/>
    </xf>
    <xf numFmtId="164" fontId="5" fillId="0" borderId="3" xfId="0" applyNumberFormat="1" applyFont="1" applyBorder="1" applyAlignment="1">
      <alignment horizontal="center" vertical="center" wrapText="1"/>
    </xf>
    <xf numFmtId="0" fontId="5" fillId="0" borderId="3" xfId="0" applyFont="1" applyBorder="1" applyAlignment="1">
      <alignment horizontal="center" vertical="center" wrapText="1"/>
    </xf>
    <xf numFmtId="0" fontId="5" fillId="0" borderId="3" xfId="0" applyFont="1" applyBorder="1" applyAlignment="1">
      <alignment vertical="center" wrapText="1"/>
    </xf>
    <xf numFmtId="164" fontId="5" fillId="0" borderId="20" xfId="0" applyNumberFormat="1" applyFont="1" applyBorder="1" applyAlignment="1">
      <alignment horizontal="center" vertical="center"/>
    </xf>
    <xf numFmtId="0" fontId="5" fillId="0" borderId="20" xfId="0" applyFont="1" applyBorder="1" applyAlignment="1">
      <alignment horizontal="center" vertical="center"/>
    </xf>
    <xf numFmtId="0" fontId="6" fillId="0" borderId="21" xfId="0" applyFont="1" applyBorder="1" applyAlignment="1">
      <alignment horizontal="center" vertical="center"/>
    </xf>
    <xf numFmtId="0" fontId="6" fillId="0" borderId="20" xfId="4" applyFont="1" applyBorder="1" applyAlignment="1">
      <alignment vertical="center" wrapText="1"/>
    </xf>
    <xf numFmtId="0" fontId="6" fillId="0" borderId="10" xfId="4" applyFont="1" applyBorder="1" applyAlignment="1">
      <alignment vertical="center" wrapText="1"/>
    </xf>
    <xf numFmtId="0" fontId="7" fillId="0" borderId="10" xfId="0" applyFont="1" applyBorder="1" applyAlignment="1">
      <alignment vertical="center" wrapText="1"/>
    </xf>
    <xf numFmtId="0" fontId="9" fillId="0" borderId="10" xfId="35" applyNumberFormat="1" applyFont="1" applyFill="1" applyBorder="1" applyAlignment="1">
      <alignment vertical="center"/>
    </xf>
    <xf numFmtId="0" fontId="7" fillId="0" borderId="21" xfId="0" applyFont="1" applyBorder="1" applyAlignment="1">
      <alignment vertical="center"/>
    </xf>
    <xf numFmtId="0" fontId="9" fillId="0" borderId="10" xfId="35" applyNumberFormat="1" applyFont="1" applyFill="1" applyBorder="1" applyAlignment="1">
      <alignment horizontal="left" vertical="center" wrapText="1"/>
    </xf>
    <xf numFmtId="0" fontId="5" fillId="0" borderId="20" xfId="0" applyFont="1" applyBorder="1" applyAlignment="1">
      <alignment vertical="center"/>
    </xf>
    <xf numFmtId="0" fontId="5" fillId="0" borderId="22" xfId="0" applyFont="1" applyBorder="1" applyAlignment="1">
      <alignment horizontal="center" vertical="center"/>
    </xf>
    <xf numFmtId="0" fontId="6" fillId="0" borderId="2" xfId="1" applyNumberFormat="1" applyFont="1" applyFill="1" applyBorder="1" applyAlignment="1">
      <alignment vertical="center"/>
    </xf>
    <xf numFmtId="0" fontId="6" fillId="0" borderId="3" xfId="0" applyFont="1" applyBorder="1" applyAlignment="1">
      <alignment horizontal="center"/>
    </xf>
    <xf numFmtId="0" fontId="6" fillId="0" borderId="3" xfId="0" applyFont="1" applyBorder="1" applyAlignment="1">
      <alignment horizontal="left" wrapText="1"/>
    </xf>
    <xf numFmtId="0" fontId="6" fillId="0" borderId="11" xfId="0" applyFont="1" applyBorder="1" applyAlignment="1">
      <alignment horizontal="left" vertical="center" wrapText="1"/>
    </xf>
    <xf numFmtId="0" fontId="6" fillId="0" borderId="3" xfId="4" applyFont="1" applyBorder="1" applyAlignment="1">
      <alignment vertical="center" wrapText="1"/>
    </xf>
    <xf numFmtId="0" fontId="6" fillId="0" borderId="12" xfId="0" applyFont="1" applyBorder="1" applyAlignment="1">
      <alignment horizontal="center" vertical="center"/>
    </xf>
    <xf numFmtId="0" fontId="6" fillId="0" borderId="3" xfId="0" applyFont="1" applyBorder="1" applyAlignment="1">
      <alignment horizontal="left"/>
    </xf>
    <xf numFmtId="0" fontId="6" fillId="0" borderId="13" xfId="0" applyFont="1" applyBorder="1" applyAlignment="1">
      <alignment horizontal="left" vertical="center" wrapText="1"/>
    </xf>
    <xf numFmtId="0" fontId="9" fillId="0" borderId="13" xfId="1" applyNumberFormat="1" applyFont="1" applyFill="1" applyBorder="1" applyAlignment="1">
      <alignment vertical="center" wrapText="1"/>
    </xf>
    <xf numFmtId="0" fontId="6" fillId="0" borderId="13" xfId="0" applyFont="1" applyBorder="1" applyAlignment="1">
      <alignment horizontal="left" wrapText="1"/>
    </xf>
    <xf numFmtId="0" fontId="6" fillId="0" borderId="13" xfId="0" applyFont="1" applyBorder="1" applyAlignment="1">
      <alignment horizontal="center"/>
    </xf>
    <xf numFmtId="164" fontId="6" fillId="0" borderId="19" xfId="0" applyNumberFormat="1" applyFont="1" applyBorder="1" applyAlignment="1">
      <alignment horizontal="center" vertical="center"/>
    </xf>
    <xf numFmtId="0" fontId="6" fillId="0" borderId="19" xfId="0" applyFont="1" applyBorder="1" applyAlignment="1">
      <alignment horizontal="center" vertical="center"/>
    </xf>
    <xf numFmtId="0" fontId="6" fillId="0" borderId="19" xfId="0" applyFont="1" applyBorder="1" applyAlignment="1">
      <alignment horizontal="left" vertical="center"/>
    </xf>
    <xf numFmtId="0" fontId="6" fillId="0" borderId="19" xfId="0" applyFont="1" applyBorder="1" applyAlignment="1">
      <alignment horizontal="center"/>
    </xf>
    <xf numFmtId="0" fontId="6" fillId="0" borderId="3" xfId="12" applyFont="1" applyBorder="1" applyAlignment="1">
      <alignment horizontal="left" vertical="center" wrapText="1"/>
    </xf>
    <xf numFmtId="0" fontId="6" fillId="4" borderId="10" xfId="0" applyFont="1" applyFill="1" applyBorder="1" applyAlignment="1">
      <alignment horizontal="center" vertical="center"/>
    </xf>
    <xf numFmtId="0" fontId="6" fillId="0" borderId="11" xfId="0" applyFont="1" applyBorder="1" applyAlignment="1">
      <alignment horizontal="center"/>
    </xf>
    <xf numFmtId="164" fontId="5" fillId="0" borderId="10" xfId="0" applyNumberFormat="1" applyFont="1" applyBorder="1" applyAlignment="1">
      <alignment horizontal="center" vertical="center"/>
    </xf>
    <xf numFmtId="164" fontId="7" fillId="0" borderId="10" xfId="0" applyNumberFormat="1" applyFont="1" applyBorder="1" applyAlignment="1">
      <alignment horizontal="center" vertical="center"/>
    </xf>
    <xf numFmtId="164" fontId="7" fillId="2" borderId="10" xfId="0" applyNumberFormat="1" applyFont="1" applyFill="1" applyBorder="1" applyAlignment="1">
      <alignment horizontal="center" vertical="center"/>
    </xf>
    <xf numFmtId="16" fontId="6" fillId="0" borderId="3" xfId="0" applyNumberFormat="1" applyFont="1" applyBorder="1" applyAlignment="1">
      <alignment horizontal="center" vertical="center"/>
    </xf>
    <xf numFmtId="0" fontId="7" fillId="0" borderId="13" xfId="12" applyFont="1" applyBorder="1" applyAlignment="1">
      <alignment horizontal="center" vertical="center"/>
    </xf>
    <xf numFmtId="0" fontId="7" fillId="0" borderId="13" xfId="4" applyFont="1" applyBorder="1" applyAlignment="1">
      <alignment horizontal="center" vertical="center"/>
    </xf>
    <xf numFmtId="0" fontId="6" fillId="0" borderId="13" xfId="41" applyFont="1" applyBorder="1" applyAlignment="1">
      <alignment horizontal="center" vertical="center"/>
    </xf>
    <xf numFmtId="0" fontId="6" fillId="0" borderId="13" xfId="6" applyFont="1" applyBorder="1" applyAlignment="1">
      <alignment horizontal="center" vertical="center"/>
    </xf>
    <xf numFmtId="0" fontId="6" fillId="0" borderId="13" xfId="52" applyFont="1" applyBorder="1" applyAlignment="1">
      <alignment horizontal="center" vertical="center"/>
    </xf>
    <xf numFmtId="0" fontId="9" fillId="0" borderId="3" xfId="53" applyNumberFormat="1" applyFont="1" applyFill="1" applyBorder="1" applyAlignment="1">
      <alignment vertical="center"/>
    </xf>
    <xf numFmtId="0" fontId="9" fillId="0" borderId="3" xfId="1" applyNumberFormat="1" applyFont="1" applyFill="1" applyBorder="1" applyAlignment="1">
      <alignment vertical="center"/>
    </xf>
    <xf numFmtId="0" fontId="9" fillId="0" borderId="3" xfId="1" applyNumberFormat="1" applyFont="1" applyFill="1" applyBorder="1" applyAlignment="1">
      <alignment vertical="center" wrapText="1"/>
    </xf>
    <xf numFmtId="166" fontId="6" fillId="0" borderId="13" xfId="1" applyNumberFormat="1" applyFont="1" applyFill="1" applyBorder="1" applyAlignment="1">
      <alignment vertical="center"/>
    </xf>
    <xf numFmtId="166" fontId="6" fillId="0" borderId="3" xfId="1" applyNumberFormat="1" applyFont="1" applyFill="1" applyBorder="1" applyAlignment="1">
      <alignment horizontal="right" vertical="center" shrinkToFit="1"/>
    </xf>
    <xf numFmtId="166" fontId="9" fillId="0" borderId="13" xfId="1" applyNumberFormat="1" applyFont="1" applyFill="1" applyBorder="1" applyAlignment="1">
      <alignment vertical="center"/>
    </xf>
    <xf numFmtId="166" fontId="7" fillId="0" borderId="3" xfId="1" applyNumberFormat="1" applyFont="1" applyFill="1" applyBorder="1" applyAlignment="1">
      <alignment vertical="center"/>
    </xf>
    <xf numFmtId="166" fontId="5" fillId="0" borderId="13" xfId="1" applyNumberFormat="1" applyFont="1" applyFill="1" applyBorder="1" applyAlignment="1">
      <alignment vertical="center"/>
    </xf>
    <xf numFmtId="166" fontId="5" fillId="0" borderId="3" xfId="1" applyNumberFormat="1" applyFont="1" applyFill="1" applyBorder="1" applyAlignment="1">
      <alignment horizontal="right" vertical="center" shrinkToFit="1"/>
    </xf>
    <xf numFmtId="166" fontId="9" fillId="0" borderId="3" xfId="1" applyNumberFormat="1" applyFont="1" applyFill="1" applyBorder="1" applyAlignment="1">
      <alignment horizontal="right" vertical="center" shrinkToFit="1"/>
    </xf>
    <xf numFmtId="166" fontId="6" fillId="0" borderId="3" xfId="1" applyNumberFormat="1" applyFont="1" applyFill="1" applyBorder="1" applyAlignment="1">
      <alignment vertical="center"/>
    </xf>
    <xf numFmtId="166" fontId="6" fillId="0" borderId="3" xfId="1" applyNumberFormat="1" applyFont="1" applyFill="1" applyBorder="1" applyAlignment="1">
      <alignment horizontal="right" vertical="center"/>
    </xf>
    <xf numFmtId="166" fontId="7" fillId="0" borderId="13" xfId="1" applyNumberFormat="1" applyFont="1" applyFill="1" applyBorder="1" applyAlignment="1">
      <alignment vertical="center"/>
    </xf>
    <xf numFmtId="166" fontId="7" fillId="0" borderId="3" xfId="1" applyNumberFormat="1" applyFont="1" applyFill="1" applyBorder="1" applyAlignment="1">
      <alignment horizontal="right" vertical="center"/>
    </xf>
    <xf numFmtId="166" fontId="6" fillId="0" borderId="13" xfId="1" applyNumberFormat="1" applyFont="1" applyFill="1" applyBorder="1" applyAlignment="1">
      <alignment horizontal="right" vertical="center"/>
    </xf>
    <xf numFmtId="166" fontId="6" fillId="2" borderId="13" xfId="1" applyNumberFormat="1" applyFont="1" applyFill="1" applyBorder="1" applyAlignment="1">
      <alignment vertical="center"/>
    </xf>
    <xf numFmtId="166" fontId="6" fillId="2" borderId="3" xfId="1" applyNumberFormat="1" applyFont="1" applyFill="1" applyBorder="1" applyAlignment="1">
      <alignment horizontal="right" vertical="center"/>
    </xf>
    <xf numFmtId="166" fontId="5" fillId="0" borderId="3" xfId="1" applyNumberFormat="1" applyFont="1" applyFill="1" applyBorder="1" applyAlignment="1">
      <alignment vertical="center"/>
    </xf>
    <xf numFmtId="166" fontId="8" fillId="0" borderId="13" xfId="1" applyNumberFormat="1" applyFont="1" applyFill="1" applyBorder="1" applyAlignment="1">
      <alignment vertical="center"/>
    </xf>
    <xf numFmtId="166" fontId="17" fillId="0" borderId="3" xfId="1" applyNumberFormat="1" applyFont="1" applyFill="1" applyBorder="1" applyAlignment="1">
      <alignment horizontal="right" vertical="center"/>
    </xf>
    <xf numFmtId="166" fontId="6" fillId="0" borderId="3" xfId="1" applyNumberFormat="1" applyFont="1" applyBorder="1" applyAlignment="1">
      <alignment vertical="center"/>
    </xf>
    <xf numFmtId="166" fontId="6" fillId="0" borderId="13" xfId="1" applyNumberFormat="1" applyFont="1" applyBorder="1" applyAlignment="1">
      <alignment vertical="center"/>
    </xf>
    <xf numFmtId="166" fontId="7" fillId="0" borderId="3" xfId="1" applyNumberFormat="1" applyFont="1" applyBorder="1" applyAlignment="1">
      <alignment vertical="center"/>
    </xf>
    <xf numFmtId="166" fontId="5" fillId="0" borderId="13" xfId="1" applyNumberFormat="1" applyFont="1" applyBorder="1" applyAlignment="1">
      <alignment vertical="center"/>
    </xf>
    <xf numFmtId="166" fontId="6" fillId="2" borderId="13" xfId="1" applyNumberFormat="1" applyFont="1" applyFill="1" applyBorder="1" applyAlignment="1">
      <alignment horizontal="center" vertical="center"/>
    </xf>
    <xf numFmtId="166" fontId="6" fillId="2" borderId="13" xfId="1" applyNumberFormat="1" applyFont="1" applyFill="1" applyBorder="1" applyAlignment="1">
      <alignment horizontal="right" vertical="center"/>
    </xf>
    <xf numFmtId="166" fontId="6" fillId="2" borderId="3" xfId="1" applyNumberFormat="1" applyFont="1" applyFill="1" applyBorder="1" applyAlignment="1">
      <alignment horizontal="right" vertical="center" shrinkToFit="1"/>
    </xf>
    <xf numFmtId="166" fontId="6" fillId="0" borderId="13" xfId="1" applyNumberFormat="1" applyFont="1" applyFill="1" applyBorder="1" applyAlignment="1">
      <alignment horizontal="center" vertical="center"/>
    </xf>
    <xf numFmtId="166" fontId="7" fillId="0" borderId="13" xfId="1" applyNumberFormat="1" applyFont="1" applyFill="1" applyBorder="1" applyAlignment="1">
      <alignment horizontal="right" vertical="center"/>
    </xf>
    <xf numFmtId="166" fontId="7" fillId="0" borderId="13" xfId="1" applyNumberFormat="1" applyFont="1" applyBorder="1" applyAlignment="1">
      <alignment horizontal="right" vertical="center"/>
    </xf>
    <xf numFmtId="166" fontId="5" fillId="0" borderId="13" xfId="1" applyNumberFormat="1" applyFont="1" applyFill="1" applyBorder="1" applyAlignment="1">
      <alignment horizontal="right" vertical="center"/>
    </xf>
    <xf numFmtId="166" fontId="6" fillId="0" borderId="13" xfId="1" applyNumberFormat="1" applyFont="1" applyFill="1" applyBorder="1" applyAlignment="1">
      <alignment horizontal="right"/>
    </xf>
    <xf numFmtId="166" fontId="6" fillId="0" borderId="3" xfId="1" applyNumberFormat="1" applyFont="1" applyFill="1" applyBorder="1" applyAlignment="1">
      <alignment horizontal="right"/>
    </xf>
    <xf numFmtId="166" fontId="10" fillId="0" borderId="13" xfId="1" applyNumberFormat="1" applyFont="1" applyFill="1" applyBorder="1" applyAlignment="1">
      <alignment horizontal="right"/>
    </xf>
    <xf numFmtId="166" fontId="10" fillId="0" borderId="13" xfId="1" applyNumberFormat="1" applyFont="1" applyFill="1" applyBorder="1" applyAlignment="1">
      <alignment horizontal="right" vertical="center"/>
    </xf>
    <xf numFmtId="166" fontId="7" fillId="0" borderId="0" xfId="1" applyNumberFormat="1" applyFont="1"/>
    <xf numFmtId="164" fontId="6" fillId="0" borderId="21" xfId="0" applyNumberFormat="1" applyFont="1" applyBorder="1" applyAlignment="1">
      <alignment horizontal="center" vertical="center"/>
    </xf>
    <xf numFmtId="0" fontId="6" fillId="0" borderId="17" xfId="0" applyFont="1" applyBorder="1" applyAlignment="1">
      <alignment horizontal="center" vertical="center"/>
    </xf>
    <xf numFmtId="166" fontId="6" fillId="0" borderId="17" xfId="1" applyNumberFormat="1" applyFont="1" applyFill="1" applyBorder="1" applyAlignment="1">
      <alignment vertical="center"/>
    </xf>
    <xf numFmtId="166" fontId="6" fillId="0" borderId="6" xfId="1" applyNumberFormat="1" applyFont="1" applyFill="1" applyBorder="1" applyAlignment="1">
      <alignment horizontal="right" vertical="center" shrinkToFit="1"/>
    </xf>
    <xf numFmtId="164" fontId="2" fillId="0" borderId="25" xfId="0" applyNumberFormat="1" applyFont="1" applyBorder="1" applyAlignment="1">
      <alignment horizontal="center" vertical="center"/>
    </xf>
    <xf numFmtId="166" fontId="4" fillId="0" borderId="16" xfId="1" applyNumberFormat="1" applyFont="1" applyFill="1" applyBorder="1" applyAlignment="1">
      <alignment horizontal="center" vertical="center"/>
    </xf>
    <xf numFmtId="164" fontId="6" fillId="2" borderId="21" xfId="0" applyNumberFormat="1" applyFont="1" applyFill="1" applyBorder="1" applyAlignment="1">
      <alignment horizontal="center" vertical="center"/>
    </xf>
    <xf numFmtId="164" fontId="6" fillId="0" borderId="23" xfId="0" applyNumberFormat="1" applyFont="1" applyBorder="1" applyAlignment="1">
      <alignment horizontal="center" vertical="center"/>
    </xf>
    <xf numFmtId="0" fontId="6" fillId="2" borderId="6" xfId="0" applyFont="1" applyFill="1" applyBorder="1" applyAlignment="1">
      <alignment horizontal="center" vertical="center"/>
    </xf>
    <xf numFmtId="0" fontId="6" fillId="2" borderId="17" xfId="0" applyFont="1" applyFill="1" applyBorder="1" applyAlignment="1">
      <alignment horizontal="center" vertical="center"/>
    </xf>
    <xf numFmtId="0" fontId="6" fillId="0" borderId="13" xfId="12" applyFont="1" applyBorder="1" applyAlignment="1">
      <alignment horizontal="center" vertical="center"/>
    </xf>
    <xf numFmtId="0" fontId="6" fillId="0" borderId="13" xfId="4" applyFont="1" applyBorder="1" applyAlignment="1">
      <alignment horizontal="center" vertical="center"/>
    </xf>
    <xf numFmtId="3" fontId="6" fillId="0" borderId="13" xfId="0" applyNumberFormat="1" applyFont="1" applyBorder="1" applyAlignment="1">
      <alignment horizontal="center" vertical="center"/>
    </xf>
    <xf numFmtId="0" fontId="7" fillId="0" borderId="13" xfId="9" applyFont="1" applyBorder="1" applyAlignment="1">
      <alignment horizontal="center" vertical="center"/>
    </xf>
    <xf numFmtId="0" fontId="6" fillId="0" borderId="24" xfId="0" applyFont="1" applyBorder="1" applyAlignment="1">
      <alignment horizontal="center"/>
    </xf>
    <xf numFmtId="0" fontId="6" fillId="2" borderId="6" xfId="0" applyFont="1" applyFill="1" applyBorder="1" applyAlignment="1">
      <alignment vertical="center"/>
    </xf>
    <xf numFmtId="166" fontId="9" fillId="2" borderId="17" xfId="1" applyNumberFormat="1" applyFont="1" applyFill="1" applyBorder="1" applyAlignment="1">
      <alignment vertical="center"/>
    </xf>
    <xf numFmtId="166" fontId="6" fillId="2" borderId="6" xfId="1" applyNumberFormat="1" applyFont="1" applyFill="1" applyBorder="1" applyAlignment="1">
      <alignment horizontal="right" vertical="center" shrinkToFit="1"/>
    </xf>
    <xf numFmtId="166" fontId="9" fillId="2" borderId="13" xfId="1" applyNumberFormat="1" applyFont="1" applyFill="1" applyBorder="1" applyAlignment="1">
      <alignment vertical="center"/>
    </xf>
    <xf numFmtId="166" fontId="3" fillId="0" borderId="13" xfId="1" applyNumberFormat="1" applyFont="1" applyFill="1" applyBorder="1" applyAlignment="1">
      <alignment vertical="center"/>
    </xf>
    <xf numFmtId="166" fontId="6" fillId="2" borderId="3" xfId="1" applyNumberFormat="1" applyFont="1" applyFill="1" applyBorder="1" applyAlignment="1">
      <alignment vertical="center"/>
    </xf>
    <xf numFmtId="166" fontId="10" fillId="0" borderId="24" xfId="1" applyNumberFormat="1" applyFont="1" applyFill="1" applyBorder="1" applyAlignment="1">
      <alignment horizontal="right"/>
    </xf>
    <xf numFmtId="166" fontId="6" fillId="0" borderId="11" xfId="1" applyNumberFormat="1" applyFont="1" applyFill="1" applyBorder="1" applyAlignment="1">
      <alignment horizontal="right"/>
    </xf>
    <xf numFmtId="164" fontId="5" fillId="0" borderId="21" xfId="0" applyNumberFormat="1" applyFont="1" applyBorder="1" applyAlignment="1">
      <alignment horizontal="center" vertical="center"/>
    </xf>
    <xf numFmtId="0" fontId="7" fillId="0" borderId="13" xfId="6" applyFont="1" applyBorder="1" applyAlignment="1">
      <alignment horizontal="center" vertical="center"/>
    </xf>
    <xf numFmtId="0" fontId="7" fillId="0" borderId="13" xfId="10" applyFont="1" applyBorder="1" applyAlignment="1">
      <alignment horizontal="center" vertical="center"/>
    </xf>
    <xf numFmtId="0" fontId="6" fillId="0" borderId="13" xfId="55" applyFont="1" applyBorder="1" applyAlignment="1">
      <alignment horizontal="center" vertical="center"/>
    </xf>
    <xf numFmtId="0" fontId="5" fillId="0" borderId="6" xfId="0" applyFont="1" applyBorder="1" applyAlignment="1">
      <alignment vertical="center"/>
    </xf>
    <xf numFmtId="0" fontId="6" fillId="0" borderId="3" xfId="13" applyFont="1" applyBorder="1" applyAlignment="1">
      <alignment vertical="center"/>
    </xf>
    <xf numFmtId="0" fontId="6" fillId="0" borderId="3" xfId="32" applyNumberFormat="1" applyFont="1" applyFill="1" applyBorder="1" applyAlignment="1">
      <alignment vertical="center"/>
    </xf>
    <xf numFmtId="0" fontId="9" fillId="0" borderId="3" xfId="56" applyNumberFormat="1" applyFont="1" applyFill="1" applyBorder="1" applyAlignment="1">
      <alignment vertical="center"/>
    </xf>
    <xf numFmtId="166" fontId="5" fillId="0" borderId="17" xfId="1" applyNumberFormat="1" applyFont="1" applyFill="1" applyBorder="1" applyAlignment="1">
      <alignment vertical="center"/>
    </xf>
    <xf numFmtId="166" fontId="5" fillId="0" borderId="6" xfId="1" applyNumberFormat="1" applyFont="1" applyFill="1" applyBorder="1" applyAlignment="1">
      <alignment horizontal="right" vertical="center" shrinkToFit="1"/>
    </xf>
    <xf numFmtId="166" fontId="6" fillId="0" borderId="3" xfId="1" applyNumberFormat="1" applyFont="1" applyFill="1" applyBorder="1" applyAlignment="1"/>
    <xf numFmtId="0" fontId="6" fillId="0" borderId="2" xfId="0" applyFont="1" applyBorder="1" applyAlignment="1">
      <alignment horizontal="left"/>
    </xf>
    <xf numFmtId="166" fontId="6" fillId="0" borderId="2" xfId="1" applyNumberFormat="1" applyFont="1" applyFill="1" applyBorder="1" applyAlignment="1">
      <alignment horizontal="right"/>
    </xf>
    <xf numFmtId="0" fontId="6" fillId="0" borderId="22" xfId="0" applyFont="1" applyBorder="1" applyAlignment="1">
      <alignment horizontal="center" vertical="center"/>
    </xf>
    <xf numFmtId="0" fontId="6" fillId="0" borderId="2" xfId="0" applyFont="1" applyBorder="1" applyAlignment="1">
      <alignment horizontal="center"/>
    </xf>
    <xf numFmtId="166" fontId="6" fillId="0" borderId="4" xfId="1" applyNumberFormat="1" applyFont="1" applyFill="1" applyBorder="1" applyAlignment="1">
      <alignment horizontal="right"/>
    </xf>
    <xf numFmtId="166" fontId="10" fillId="0" borderId="3" xfId="1" applyNumberFormat="1" applyFont="1" applyFill="1" applyBorder="1" applyAlignment="1">
      <alignment horizontal="right"/>
    </xf>
    <xf numFmtId="166" fontId="10" fillId="0" borderId="2" xfId="1" applyNumberFormat="1" applyFont="1" applyFill="1" applyBorder="1" applyAlignment="1">
      <alignment horizontal="right"/>
    </xf>
    <xf numFmtId="166" fontId="6" fillId="4" borderId="3" xfId="1" applyNumberFormat="1" applyFont="1" applyFill="1" applyBorder="1" applyAlignment="1">
      <alignment horizontal="right" vertical="center"/>
    </xf>
    <xf numFmtId="0" fontId="6" fillId="0" borderId="24" xfId="0" applyFont="1" applyBorder="1" applyAlignment="1">
      <alignment horizontal="center" vertical="center"/>
    </xf>
    <xf numFmtId="0" fontId="7" fillId="0" borderId="17" xfId="0" applyFont="1" applyBorder="1" applyAlignment="1">
      <alignment vertical="center"/>
    </xf>
    <xf numFmtId="0" fontId="6" fillId="0" borderId="13" xfId="12" applyFont="1" applyBorder="1" applyAlignment="1">
      <alignment vertical="center"/>
    </xf>
    <xf numFmtId="0" fontId="7" fillId="0" borderId="13" xfId="23" applyFont="1" applyBorder="1" applyAlignment="1">
      <alignment vertical="center"/>
    </xf>
    <xf numFmtId="0" fontId="6" fillId="0" borderId="13" xfId="35" applyNumberFormat="1" applyFont="1" applyFill="1" applyBorder="1" applyAlignment="1">
      <alignment horizontal="left" vertical="center" wrapText="1"/>
    </xf>
    <xf numFmtId="0" fontId="7" fillId="0" borderId="13" xfId="35" applyNumberFormat="1" applyFont="1" applyFill="1" applyBorder="1" applyAlignment="1">
      <alignment horizontal="left" vertical="center" wrapText="1"/>
    </xf>
    <xf numFmtId="0" fontId="6" fillId="0" borderId="13" xfId="0" applyFont="1" applyBorder="1" applyAlignment="1">
      <alignment vertical="center" wrapText="1"/>
    </xf>
    <xf numFmtId="0" fontId="6" fillId="0" borderId="24" xfId="0" applyFont="1" applyBorder="1" applyAlignment="1">
      <alignment horizontal="left" vertical="center" wrapText="1"/>
    </xf>
    <xf numFmtId="166" fontId="2" fillId="0" borderId="26" xfId="1" applyNumberFormat="1" applyFont="1" applyFill="1" applyBorder="1" applyAlignment="1">
      <alignment horizontal="center" vertical="center"/>
    </xf>
    <xf numFmtId="166" fontId="6" fillId="0" borderId="6" xfId="1" applyNumberFormat="1" applyFont="1" applyFill="1" applyBorder="1" applyAlignment="1">
      <alignment vertical="center"/>
    </xf>
    <xf numFmtId="166" fontId="6" fillId="0" borderId="7" xfId="1" applyNumberFormat="1" applyFont="1" applyFill="1" applyBorder="1" applyAlignment="1">
      <alignment horizontal="right" vertical="center" shrinkToFit="1"/>
    </xf>
    <xf numFmtId="166" fontId="6" fillId="0" borderId="4" xfId="1" applyNumberFormat="1" applyFont="1" applyFill="1" applyBorder="1" applyAlignment="1">
      <alignment horizontal="right" vertical="center" shrinkToFit="1"/>
    </xf>
    <xf numFmtId="166" fontId="6" fillId="0" borderId="4" xfId="1" applyNumberFormat="1" applyFont="1" applyFill="1" applyBorder="1" applyAlignment="1">
      <alignment horizontal="right" vertical="center"/>
    </xf>
    <xf numFmtId="166" fontId="6" fillId="0" borderId="4" xfId="1" applyNumberFormat="1" applyFont="1" applyFill="1" applyBorder="1" applyAlignment="1">
      <alignment vertical="center"/>
    </xf>
    <xf numFmtId="166" fontId="7" fillId="0" borderId="4" xfId="1" applyNumberFormat="1" applyFont="1" applyFill="1" applyBorder="1" applyAlignment="1">
      <alignment vertical="center"/>
    </xf>
    <xf numFmtId="166" fontId="9" fillId="0" borderId="3" xfId="1" applyNumberFormat="1" applyFont="1" applyFill="1" applyBorder="1" applyAlignment="1">
      <alignment vertical="center"/>
    </xf>
    <xf numFmtId="166" fontId="7" fillId="0" borderId="4" xfId="1" applyNumberFormat="1" applyFont="1" applyFill="1" applyBorder="1" applyAlignment="1">
      <alignment horizontal="right" vertical="center"/>
    </xf>
    <xf numFmtId="166" fontId="3" fillId="0" borderId="3" xfId="1" applyNumberFormat="1" applyFont="1" applyFill="1" applyBorder="1" applyAlignment="1">
      <alignment vertical="center"/>
    </xf>
    <xf numFmtId="166" fontId="5" fillId="0" borderId="3" xfId="1" applyNumberFormat="1" applyFont="1" applyFill="1" applyBorder="1" applyAlignment="1">
      <alignment horizontal="right" vertical="center"/>
    </xf>
    <xf numFmtId="166" fontId="6" fillId="0" borderId="11" xfId="1" applyNumberFormat="1" applyFont="1" applyFill="1" applyBorder="1" applyAlignment="1">
      <alignment horizontal="right" vertical="center"/>
    </xf>
    <xf numFmtId="166" fontId="6" fillId="0" borderId="12" xfId="1" applyNumberFormat="1" applyFont="1" applyFill="1" applyBorder="1" applyAlignment="1">
      <alignment horizontal="right" vertical="center"/>
    </xf>
    <xf numFmtId="166" fontId="0" fillId="0" borderId="0" xfId="1" applyNumberFormat="1" applyFont="1"/>
    <xf numFmtId="164" fontId="2" fillId="2" borderId="25" xfId="0" applyNumberFormat="1" applyFont="1" applyFill="1" applyBorder="1" applyAlignment="1">
      <alignment horizontal="center" vertical="center"/>
    </xf>
    <xf numFmtId="164" fontId="5" fillId="3" borderId="10" xfId="0" applyNumberFormat="1" applyFont="1" applyFill="1" applyBorder="1" applyAlignment="1">
      <alignment horizontal="center" vertical="center"/>
    </xf>
    <xf numFmtId="164" fontId="5" fillId="2" borderId="10" xfId="0" applyNumberFormat="1" applyFont="1" applyFill="1" applyBorder="1" applyAlignment="1">
      <alignment horizontal="center" vertical="center"/>
    </xf>
    <xf numFmtId="0" fontId="2" fillId="2" borderId="16" xfId="0" applyFont="1" applyFill="1" applyBorder="1" applyAlignment="1">
      <alignment horizontal="center" vertical="center"/>
    </xf>
    <xf numFmtId="3" fontId="7" fillId="0" borderId="13" xfId="0" applyNumberFormat="1" applyFont="1" applyBorder="1" applyAlignment="1">
      <alignment horizontal="center" vertical="center"/>
    </xf>
    <xf numFmtId="0" fontId="6" fillId="2" borderId="13" xfId="16" applyFont="1" applyFill="1" applyBorder="1" applyAlignment="1">
      <alignment horizontal="center" vertical="center"/>
    </xf>
    <xf numFmtId="0" fontId="5" fillId="2" borderId="13" xfId="0" applyFont="1" applyFill="1" applyBorder="1" applyAlignment="1">
      <alignment horizontal="center" vertical="center"/>
    </xf>
    <xf numFmtId="164" fontId="6" fillId="0" borderId="13" xfId="0" applyNumberFormat="1" applyFont="1" applyBorder="1" applyAlignment="1">
      <alignment horizontal="center" vertical="center"/>
    </xf>
    <xf numFmtId="0" fontId="7" fillId="0" borderId="13" xfId="20" applyFont="1" applyBorder="1" applyAlignment="1">
      <alignment horizontal="center" vertical="center"/>
    </xf>
    <xf numFmtId="0" fontId="6" fillId="0" borderId="13" xfId="9" applyFont="1" applyBorder="1" applyAlignment="1">
      <alignment horizontal="center" vertical="center"/>
    </xf>
    <xf numFmtId="0" fontId="7" fillId="2" borderId="13" xfId="10" applyFont="1" applyFill="1" applyBorder="1" applyAlignment="1">
      <alignment horizontal="center" vertical="center"/>
    </xf>
    <xf numFmtId="0" fontId="6" fillId="0" borderId="13" xfId="33" applyFont="1" applyBorder="1" applyAlignment="1">
      <alignment horizontal="center" vertical="center"/>
    </xf>
    <xf numFmtId="0" fontId="6" fillId="0" borderId="13" xfId="0" applyFont="1" applyBorder="1" applyAlignment="1">
      <alignment horizontal="center" vertical="center" wrapText="1"/>
    </xf>
    <xf numFmtId="0" fontId="6" fillId="0" borderId="24" xfId="0" applyFont="1" applyBorder="1" applyAlignment="1">
      <alignment horizontal="center" vertical="center" wrapText="1"/>
    </xf>
    <xf numFmtId="0" fontId="5" fillId="3" borderId="3" xfId="0" applyFont="1" applyFill="1" applyBorder="1" applyAlignment="1">
      <alignment vertical="center"/>
    </xf>
    <xf numFmtId="0" fontId="9" fillId="2" borderId="3" xfId="1" applyNumberFormat="1" applyFont="1" applyFill="1" applyBorder="1" applyAlignment="1">
      <alignment vertical="center"/>
    </xf>
    <xf numFmtId="165" fontId="4" fillId="2" borderId="16" xfId="1" applyNumberFormat="1" applyFont="1" applyFill="1" applyBorder="1" applyAlignment="1">
      <alignment horizontal="center" vertical="center"/>
    </xf>
    <xf numFmtId="166" fontId="4" fillId="2" borderId="16" xfId="1" applyNumberFormat="1" applyFont="1" applyFill="1" applyBorder="1" applyAlignment="1">
      <alignment horizontal="center" vertical="center"/>
    </xf>
    <xf numFmtId="166" fontId="2" fillId="2" borderId="1" xfId="1" applyNumberFormat="1" applyFont="1" applyFill="1" applyBorder="1" applyAlignment="1">
      <alignment horizontal="center" vertical="center"/>
    </xf>
    <xf numFmtId="166" fontId="6" fillId="2" borderId="17" xfId="1" applyNumberFormat="1" applyFont="1" applyFill="1" applyBorder="1" applyAlignment="1">
      <alignment vertical="center"/>
    </xf>
    <xf numFmtId="166" fontId="5" fillId="2" borderId="13" xfId="1" applyNumberFormat="1" applyFont="1" applyFill="1" applyBorder="1" applyAlignment="1">
      <alignment vertical="center"/>
    </xf>
    <xf numFmtId="166" fontId="5" fillId="3" borderId="13" xfId="1" applyNumberFormat="1" applyFont="1" applyFill="1" applyBorder="1" applyAlignment="1">
      <alignment vertical="center"/>
    </xf>
    <xf numFmtId="166" fontId="5" fillId="3" borderId="3" xfId="1" applyNumberFormat="1" applyFont="1" applyFill="1" applyBorder="1" applyAlignment="1">
      <alignment horizontal="right" vertical="center"/>
    </xf>
    <xf numFmtId="166" fontId="7" fillId="0" borderId="13" xfId="1" applyNumberFormat="1" applyFont="1" applyBorder="1" applyAlignment="1">
      <alignment vertical="center"/>
    </xf>
    <xf numFmtId="166" fontId="8" fillId="0" borderId="13" xfId="1" applyNumberFormat="1" applyFont="1" applyBorder="1" applyAlignment="1">
      <alignment vertical="center"/>
    </xf>
    <xf numFmtId="166" fontId="6" fillId="2" borderId="13" xfId="1" applyNumberFormat="1" applyFont="1" applyFill="1" applyBorder="1" applyAlignment="1">
      <alignment horizontal="right" vertical="center" shrinkToFit="1"/>
    </xf>
    <xf numFmtId="166" fontId="5" fillId="3" borderId="3" xfId="1" applyNumberFormat="1" applyFont="1" applyFill="1" applyBorder="1" applyAlignment="1">
      <alignment horizontal="right" vertical="center" shrinkToFit="1"/>
    </xf>
    <xf numFmtId="166" fontId="9" fillId="2" borderId="3" xfId="1" applyNumberFormat="1" applyFont="1" applyFill="1" applyBorder="1" applyAlignment="1">
      <alignment horizontal="right" vertical="center" shrinkToFit="1"/>
    </xf>
    <xf numFmtId="166" fontId="5" fillId="2" borderId="3" xfId="1" applyNumberFormat="1" applyFont="1" applyFill="1" applyBorder="1" applyAlignment="1">
      <alignment horizontal="right" vertical="center" shrinkToFit="1"/>
    </xf>
    <xf numFmtId="166" fontId="7" fillId="2" borderId="3" xfId="1" applyNumberFormat="1" applyFont="1" applyFill="1" applyBorder="1" applyAlignment="1">
      <alignment vertical="center"/>
    </xf>
    <xf numFmtId="166" fontId="7" fillId="2" borderId="13" xfId="1" applyNumberFormat="1" applyFont="1" applyFill="1" applyBorder="1" applyAlignment="1">
      <alignment vertical="center"/>
    </xf>
    <xf numFmtId="166" fontId="6" fillId="0" borderId="13" xfId="1" applyNumberFormat="1" applyFont="1" applyBorder="1" applyAlignment="1">
      <alignment horizontal="center" vertical="center"/>
    </xf>
    <xf numFmtId="166" fontId="6" fillId="0" borderId="24" xfId="1" applyNumberFormat="1" applyFont="1" applyFill="1" applyBorder="1" applyAlignment="1">
      <alignment vertical="center"/>
    </xf>
    <xf numFmtId="166" fontId="4" fillId="2" borderId="1" xfId="1" applyNumberFormat="1" applyFont="1" applyFill="1" applyBorder="1" applyAlignment="1">
      <alignment horizontal="center" vertical="center"/>
    </xf>
    <xf numFmtId="166" fontId="6" fillId="2" borderId="2" xfId="1" applyNumberFormat="1" applyFont="1" applyFill="1" applyBorder="1" applyAlignment="1">
      <alignment vertical="center"/>
    </xf>
    <xf numFmtId="166" fontId="6" fillId="2" borderId="2" xfId="1" applyNumberFormat="1" applyFont="1" applyFill="1" applyBorder="1" applyAlignment="1">
      <alignment horizontal="right" vertical="center" shrinkToFit="1"/>
    </xf>
    <xf numFmtId="166" fontId="9" fillId="2" borderId="2" xfId="1" applyNumberFormat="1" applyFont="1" applyFill="1" applyBorder="1" applyAlignment="1">
      <alignment vertical="center"/>
    </xf>
    <xf numFmtId="166" fontId="6" fillId="0" borderId="2" xfId="1" applyNumberFormat="1" applyFont="1" applyFill="1" applyBorder="1" applyAlignment="1">
      <alignment horizontal="right" vertical="center"/>
    </xf>
    <xf numFmtId="166" fontId="7" fillId="0" borderId="6" xfId="1" applyNumberFormat="1" applyFont="1" applyFill="1" applyBorder="1" applyAlignment="1">
      <alignment vertical="center"/>
    </xf>
    <xf numFmtId="166" fontId="6" fillId="2" borderId="2" xfId="1" applyNumberFormat="1" applyFont="1" applyFill="1" applyBorder="1" applyAlignment="1">
      <alignment horizontal="right" vertical="center"/>
    </xf>
    <xf numFmtId="166" fontId="6" fillId="0" borderId="2" xfId="1" applyNumberFormat="1" applyFont="1" applyBorder="1" applyAlignment="1">
      <alignment vertical="center"/>
    </xf>
    <xf numFmtId="166" fontId="3" fillId="0" borderId="4" xfId="1" applyNumberFormat="1" applyFont="1" applyBorder="1" applyAlignment="1">
      <alignment vertical="center"/>
    </xf>
    <xf numFmtId="166" fontId="6" fillId="0" borderId="4" xfId="1" applyNumberFormat="1" applyFont="1" applyBorder="1" applyAlignment="1">
      <alignment vertical="center"/>
    </xf>
    <xf numFmtId="166" fontId="6" fillId="0" borderId="9" xfId="1" applyNumberFormat="1" applyFont="1" applyBorder="1" applyAlignment="1">
      <alignment vertical="center"/>
    </xf>
    <xf numFmtId="166" fontId="6" fillId="0" borderId="7" xfId="1" applyNumberFormat="1" applyFont="1" applyBorder="1" applyAlignment="1">
      <alignment vertical="center"/>
    </xf>
    <xf numFmtId="166" fontId="6" fillId="0" borderId="6" xfId="1" applyNumberFormat="1" applyFont="1" applyBorder="1" applyAlignment="1">
      <alignment vertical="center"/>
    </xf>
    <xf numFmtId="166" fontId="5" fillId="3" borderId="2" xfId="1" applyNumberFormat="1" applyFont="1" applyFill="1" applyBorder="1" applyAlignment="1">
      <alignment vertical="center"/>
    </xf>
    <xf numFmtId="166" fontId="5" fillId="3" borderId="2" xfId="1" applyNumberFormat="1" applyFont="1" applyFill="1" applyBorder="1" applyAlignment="1">
      <alignment horizontal="right" vertical="center" shrinkToFit="1"/>
    </xf>
    <xf numFmtId="166" fontId="5" fillId="3" borderId="3" xfId="1" applyNumberFormat="1" applyFont="1" applyFill="1" applyBorder="1" applyAlignment="1">
      <alignment vertical="center"/>
    </xf>
    <xf numFmtId="166" fontId="9" fillId="0" borderId="2" xfId="1" applyNumberFormat="1" applyFont="1" applyFill="1" applyBorder="1" applyAlignment="1">
      <alignment vertical="center"/>
    </xf>
    <xf numFmtId="166" fontId="6" fillId="0" borderId="2" xfId="1" applyNumberFormat="1" applyFont="1" applyFill="1" applyBorder="1" applyAlignment="1">
      <alignment horizontal="right" vertical="center" shrinkToFit="1"/>
    </xf>
    <xf numFmtId="166" fontId="7" fillId="0" borderId="2" xfId="1" applyNumberFormat="1" applyFont="1" applyFill="1" applyBorder="1" applyAlignment="1">
      <alignment horizontal="right" vertical="center"/>
    </xf>
    <xf numFmtId="166" fontId="6" fillId="0" borderId="2" xfId="1" applyNumberFormat="1" applyFont="1" applyFill="1" applyBorder="1" applyAlignment="1">
      <alignment vertical="center"/>
    </xf>
    <xf numFmtId="166" fontId="3" fillId="0" borderId="4" xfId="1" applyNumberFormat="1" applyFont="1" applyFill="1" applyBorder="1" applyAlignment="1">
      <alignment vertical="center"/>
    </xf>
    <xf numFmtId="166" fontId="6" fillId="2" borderId="4" xfId="1" applyNumberFormat="1" applyFont="1" applyFill="1" applyBorder="1" applyAlignment="1">
      <alignment vertical="center"/>
    </xf>
    <xf numFmtId="166" fontId="5" fillId="0" borderId="4" xfId="1" applyNumberFormat="1" applyFont="1" applyFill="1" applyBorder="1" applyAlignment="1">
      <alignment vertical="center"/>
    </xf>
    <xf numFmtId="166" fontId="6" fillId="0" borderId="6" xfId="1" applyNumberFormat="1" applyFont="1" applyFill="1" applyBorder="1" applyAlignment="1">
      <alignment horizontal="right" vertical="center"/>
    </xf>
    <xf numFmtId="166" fontId="7" fillId="0" borderId="11" xfId="1" applyNumberFormat="1" applyFont="1" applyFill="1" applyBorder="1" applyAlignment="1">
      <alignment horizontal="right" vertical="center"/>
    </xf>
    <xf numFmtId="166" fontId="7" fillId="0" borderId="11" xfId="1" applyNumberFormat="1" applyFont="1" applyFill="1" applyBorder="1" applyAlignment="1">
      <alignment vertical="center"/>
    </xf>
    <xf numFmtId="164" fontId="5" fillId="0" borderId="11" xfId="0" applyNumberFormat="1" applyFont="1" applyBorder="1" applyAlignment="1">
      <alignment horizontal="center" vertical="center" wrapText="1"/>
    </xf>
    <xf numFmtId="0" fontId="5" fillId="0" borderId="11" xfId="0" applyFont="1" applyBorder="1" applyAlignment="1">
      <alignment horizontal="center" vertical="center" wrapText="1"/>
    </xf>
    <xf numFmtId="0" fontId="6" fillId="0" borderId="22" xfId="0" applyFont="1" applyBorder="1" applyAlignment="1">
      <alignment horizontal="left" vertical="center" wrapText="1"/>
    </xf>
    <xf numFmtId="0" fontId="5" fillId="0" borderId="13" xfId="0" applyFont="1" applyBorder="1" applyAlignment="1">
      <alignment horizontal="center" vertical="center" wrapText="1"/>
    </xf>
    <xf numFmtId="4" fontId="29" fillId="0" borderId="13" xfId="70" quotePrefix="1" applyFont="1" applyBorder="1" applyAlignment="1">
      <alignment vertical="top"/>
    </xf>
    <xf numFmtId="166" fontId="7" fillId="0" borderId="2" xfId="1" applyNumberFormat="1" applyFont="1" applyFill="1" applyBorder="1" applyAlignment="1">
      <alignment vertical="center"/>
    </xf>
    <xf numFmtId="166" fontId="8" fillId="0" borderId="4" xfId="1" applyNumberFormat="1" applyFont="1" applyFill="1" applyBorder="1" applyAlignment="1">
      <alignment vertical="center"/>
    </xf>
    <xf numFmtId="166" fontId="7" fillId="2" borderId="4" xfId="1" applyNumberFormat="1" applyFont="1" applyFill="1" applyBorder="1" applyAlignment="1">
      <alignment vertical="center"/>
    </xf>
    <xf numFmtId="166" fontId="6" fillId="0" borderId="3" xfId="1" applyNumberFormat="1" applyFont="1" applyBorder="1"/>
    <xf numFmtId="166" fontId="6" fillId="0" borderId="3" xfId="1" applyNumberFormat="1" applyFont="1" applyBorder="1" applyAlignment="1">
      <alignment horizontal="center" vertical="center"/>
    </xf>
    <xf numFmtId="166" fontId="5" fillId="0" borderId="2" xfId="1" applyNumberFormat="1" applyFont="1" applyFill="1" applyBorder="1" applyAlignment="1">
      <alignment vertical="center"/>
    </xf>
    <xf numFmtId="166" fontId="5" fillId="0" borderId="2" xfId="1" applyNumberFormat="1" applyFont="1" applyFill="1" applyBorder="1" applyAlignment="1">
      <alignment horizontal="right" vertical="center" shrinkToFit="1"/>
    </xf>
    <xf numFmtId="166" fontId="6" fillId="0" borderId="10" xfId="1" applyNumberFormat="1" applyFont="1" applyFill="1" applyBorder="1" applyAlignment="1">
      <alignment horizontal="right" vertical="center"/>
    </xf>
    <xf numFmtId="166" fontId="6" fillId="0" borderId="20" xfId="1" applyNumberFormat="1" applyFont="1" applyFill="1" applyBorder="1" applyAlignment="1">
      <alignment horizontal="right" vertical="center"/>
    </xf>
    <xf numFmtId="166" fontId="6" fillId="0" borderId="10" xfId="1" applyNumberFormat="1" applyFont="1" applyFill="1" applyBorder="1" applyAlignment="1">
      <alignment horizontal="right"/>
    </xf>
    <xf numFmtId="166" fontId="5" fillId="0" borderId="3" xfId="1" applyNumberFormat="1" applyFont="1" applyFill="1" applyBorder="1" applyAlignment="1">
      <alignment vertical="center" wrapText="1"/>
    </xf>
    <xf numFmtId="166" fontId="5" fillId="0" borderId="3" xfId="1" applyNumberFormat="1" applyFont="1" applyFill="1" applyBorder="1" applyAlignment="1">
      <alignment horizontal="right" vertical="center" wrapText="1" shrinkToFit="1"/>
    </xf>
    <xf numFmtId="166" fontId="10" fillId="0" borderId="0" xfId="1" applyNumberFormat="1" applyFont="1"/>
    <xf numFmtId="164" fontId="5" fillId="0" borderId="18" xfId="0" applyNumberFormat="1" applyFont="1" applyBorder="1" applyAlignment="1">
      <alignment horizontal="center" vertical="center" wrapText="1"/>
    </xf>
    <xf numFmtId="0" fontId="5" fillId="0" borderId="18" xfId="0" applyFont="1" applyBorder="1" applyAlignment="1">
      <alignment horizontal="center" vertical="center" wrapText="1"/>
    </xf>
    <xf numFmtId="0" fontId="5" fillId="0" borderId="18" xfId="0" applyFont="1" applyBorder="1" applyAlignment="1">
      <alignment vertical="center" wrapText="1"/>
    </xf>
    <xf numFmtId="164" fontId="6" fillId="0" borderId="10" xfId="0" applyNumberFormat="1" applyFont="1" applyBorder="1" applyAlignment="1">
      <alignment horizontal="center" vertical="center" wrapText="1"/>
    </xf>
    <xf numFmtId="0" fontId="6" fillId="0" borderId="10" xfId="0" applyFont="1" applyBorder="1" applyAlignment="1">
      <alignment horizontal="center" vertical="center" wrapText="1"/>
    </xf>
    <xf numFmtId="0" fontId="7" fillId="0" borderId="21" xfId="0" applyFont="1" applyBorder="1" applyAlignment="1">
      <alignment vertical="center" wrapText="1"/>
    </xf>
    <xf numFmtId="0" fontId="6" fillId="0" borderId="10" xfId="35" applyNumberFormat="1" applyFont="1" applyFill="1" applyBorder="1" applyAlignment="1">
      <alignment horizontal="left" vertical="center" wrapText="1"/>
    </xf>
    <xf numFmtId="0" fontId="6" fillId="0" borderId="20" xfId="35" applyNumberFormat="1" applyFont="1" applyFill="1" applyBorder="1" applyAlignment="1">
      <alignment horizontal="left" vertical="center" wrapText="1"/>
    </xf>
    <xf numFmtId="0" fontId="6" fillId="0" borderId="10" xfId="0" applyFont="1" applyBorder="1" applyAlignment="1">
      <alignment vertical="center" wrapText="1"/>
    </xf>
    <xf numFmtId="166" fontId="6" fillId="0" borderId="10" xfId="1" applyNumberFormat="1" applyFont="1" applyBorder="1" applyAlignment="1">
      <alignment vertical="center"/>
    </xf>
    <xf numFmtId="166" fontId="6" fillId="0" borderId="10" xfId="1" applyNumberFormat="1" applyFont="1" applyBorder="1" applyAlignment="1">
      <alignment horizontal="center" vertical="center"/>
    </xf>
    <xf numFmtId="166" fontId="6" fillId="0" borderId="10" xfId="1" applyNumberFormat="1" applyFont="1" applyFill="1" applyBorder="1" applyAlignment="1">
      <alignment vertical="center"/>
    </xf>
    <xf numFmtId="166" fontId="10" fillId="0" borderId="0" xfId="1" applyNumberFormat="1" applyFont="1" applyAlignment="1"/>
    <xf numFmtId="166" fontId="6" fillId="0" borderId="10" xfId="1" applyNumberFormat="1" applyFont="1" applyBorder="1" applyAlignment="1">
      <alignment horizontal="right" vertical="center"/>
    </xf>
    <xf numFmtId="0" fontId="5" fillId="0" borderId="11" xfId="0" quotePrefix="1" applyFont="1" applyBorder="1" applyAlignment="1">
      <alignment vertical="center" wrapText="1"/>
    </xf>
    <xf numFmtId="166" fontId="5" fillId="3" borderId="6" xfId="1" applyNumberFormat="1" applyFont="1" applyFill="1" applyBorder="1" applyAlignment="1">
      <alignment vertical="center"/>
    </xf>
    <xf numFmtId="166" fontId="5" fillId="3" borderId="6" xfId="1" applyNumberFormat="1" applyFont="1" applyFill="1" applyBorder="1" applyAlignment="1">
      <alignment horizontal="right" vertical="center" shrinkToFit="1"/>
    </xf>
    <xf numFmtId="166" fontId="9" fillId="2" borderId="3" xfId="1" applyNumberFormat="1" applyFont="1" applyFill="1" applyBorder="1" applyAlignment="1">
      <alignment vertical="center"/>
    </xf>
    <xf numFmtId="166" fontId="8" fillId="0" borderId="3" xfId="1" applyNumberFormat="1" applyFont="1" applyFill="1" applyBorder="1" applyAlignment="1">
      <alignment vertical="center"/>
    </xf>
    <xf numFmtId="166" fontId="6" fillId="0" borderId="3" xfId="1" applyNumberFormat="1" applyFont="1" applyBorder="1" applyAlignment="1">
      <alignment horizontal="right" vertical="center"/>
    </xf>
    <xf numFmtId="166" fontId="7" fillId="0" borderId="8" xfId="1" applyNumberFormat="1" applyFont="1" applyFill="1" applyBorder="1" applyAlignment="1">
      <alignment vertical="center"/>
    </xf>
    <xf numFmtId="166" fontId="7" fillId="0" borderId="8" xfId="1" applyNumberFormat="1" applyFont="1" applyFill="1" applyBorder="1" applyAlignment="1">
      <alignment horizontal="right" vertical="center" shrinkToFit="1"/>
    </xf>
    <xf numFmtId="166" fontId="7" fillId="0" borderId="3" xfId="1" applyNumberFormat="1" applyFont="1" applyFill="1" applyBorder="1" applyAlignment="1">
      <alignment horizontal="right" vertical="center" shrinkToFit="1"/>
    </xf>
    <xf numFmtId="166" fontId="5" fillId="0" borderId="11" xfId="1" applyNumberFormat="1" applyFont="1" applyFill="1" applyBorder="1" applyAlignment="1">
      <alignment vertical="center"/>
    </xf>
    <xf numFmtId="166" fontId="5" fillId="0" borderId="11" xfId="1" applyNumberFormat="1" applyFont="1" applyFill="1" applyBorder="1" applyAlignment="1">
      <alignment horizontal="right" vertical="center" shrinkToFit="1"/>
    </xf>
    <xf numFmtId="166" fontId="7" fillId="0" borderId="6" xfId="1" applyNumberFormat="1" applyFont="1" applyBorder="1" applyAlignment="1">
      <alignment vertical="center"/>
    </xf>
    <xf numFmtId="166" fontId="5" fillId="2" borderId="2" xfId="1" applyNumberFormat="1" applyFont="1" applyFill="1" applyBorder="1" applyAlignment="1">
      <alignment vertical="center"/>
    </xf>
    <xf numFmtId="166" fontId="6" fillId="0" borderId="7" xfId="1" applyNumberFormat="1" applyFont="1" applyFill="1" applyBorder="1" applyAlignment="1">
      <alignment vertical="center"/>
    </xf>
    <xf numFmtId="166" fontId="5" fillId="0" borderId="18" xfId="1" applyNumberFormat="1" applyFont="1" applyFill="1" applyBorder="1" applyAlignment="1">
      <alignment vertical="center"/>
    </xf>
    <xf numFmtId="166" fontId="5" fillId="0" borderId="18" xfId="1" applyNumberFormat="1" applyFont="1" applyFill="1" applyBorder="1" applyAlignment="1">
      <alignment horizontal="right" vertical="center" shrinkToFit="1"/>
    </xf>
    <xf numFmtId="164" fontId="5" fillId="0" borderId="11" xfId="0" applyNumberFormat="1" applyFont="1" applyBorder="1" applyAlignment="1">
      <alignment horizontal="center" vertical="center"/>
    </xf>
    <xf numFmtId="0" fontId="5" fillId="0" borderId="11" xfId="0" applyFont="1" applyBorder="1" applyAlignment="1">
      <alignment horizontal="center" vertical="center"/>
    </xf>
    <xf numFmtId="0" fontId="5" fillId="0" borderId="11" xfId="0" applyFont="1" applyBorder="1" applyAlignment="1">
      <alignment vertical="center"/>
    </xf>
    <xf numFmtId="166" fontId="6" fillId="0" borderId="3" xfId="1" applyNumberFormat="1" applyFont="1" applyBorder="1" applyAlignment="1"/>
    <xf numFmtId="166" fontId="5" fillId="2" borderId="2" xfId="1" applyNumberFormat="1" applyFont="1" applyFill="1" applyBorder="1" applyAlignment="1">
      <alignment horizontal="right" vertical="center" shrinkToFit="1"/>
    </xf>
    <xf numFmtId="166" fontId="6" fillId="0" borderId="11" xfId="1" applyNumberFormat="1" applyFont="1" applyFill="1" applyBorder="1" applyAlignment="1">
      <alignment vertical="center"/>
    </xf>
    <xf numFmtId="0" fontId="6" fillId="0" borderId="6" xfId="0" applyFont="1" applyBorder="1" applyAlignment="1">
      <alignment horizontal="left"/>
    </xf>
    <xf numFmtId="0" fontId="6" fillId="0" borderId="11" xfId="0" applyFont="1" applyBorder="1" applyAlignment="1">
      <alignment horizontal="left" vertical="center"/>
    </xf>
    <xf numFmtId="166" fontId="11" fillId="2" borderId="4" xfId="1" applyNumberFormat="1" applyFont="1" applyFill="1" applyBorder="1" applyAlignment="1">
      <alignment vertical="center"/>
    </xf>
    <xf numFmtId="166" fontId="8" fillId="2" borderId="4" xfId="1" applyNumberFormat="1" applyFont="1" applyFill="1" applyBorder="1" applyAlignment="1">
      <alignment vertical="center"/>
    </xf>
    <xf numFmtId="166" fontId="5" fillId="2" borderId="4" xfId="1" applyNumberFormat="1" applyFont="1" applyFill="1" applyBorder="1" applyAlignment="1">
      <alignment vertical="center"/>
    </xf>
    <xf numFmtId="166" fontId="6" fillId="0" borderId="21" xfId="1" applyNumberFormat="1" applyFont="1" applyBorder="1" applyAlignment="1">
      <alignment horizontal="center" vertical="center"/>
    </xf>
    <xf numFmtId="166" fontId="5" fillId="0" borderId="20" xfId="1" applyNumberFormat="1" applyFont="1" applyFill="1" applyBorder="1" applyAlignment="1">
      <alignment vertical="center"/>
    </xf>
    <xf numFmtId="166" fontId="20" fillId="0" borderId="6" xfId="1" applyNumberFormat="1" applyFont="1" applyFill="1" applyBorder="1" applyAlignment="1">
      <alignment horizontal="right"/>
    </xf>
    <xf numFmtId="166" fontId="6" fillId="0" borderId="6" xfId="1" applyNumberFormat="1" applyFont="1" applyFill="1" applyBorder="1" applyAlignment="1">
      <alignment horizontal="right"/>
    </xf>
    <xf numFmtId="166" fontId="20" fillId="0" borderId="3" xfId="1" applyNumberFormat="1" applyFont="1" applyFill="1" applyBorder="1" applyAlignment="1">
      <alignment horizontal="right"/>
    </xf>
    <xf numFmtId="166" fontId="20" fillId="0" borderId="2" xfId="1" applyNumberFormat="1" applyFont="1" applyFill="1" applyBorder="1" applyAlignment="1">
      <alignment horizontal="right"/>
    </xf>
    <xf numFmtId="166" fontId="20" fillId="0" borderId="3" xfId="1" applyNumberFormat="1" applyFont="1" applyFill="1" applyBorder="1" applyAlignment="1">
      <alignment horizontal="right" vertical="center"/>
    </xf>
    <xf numFmtId="0" fontId="19" fillId="0" borderId="11" xfId="0" applyFont="1" applyBorder="1" applyAlignment="1">
      <alignment horizontal="left"/>
    </xf>
    <xf numFmtId="166" fontId="5" fillId="2" borderId="3" xfId="1" applyNumberFormat="1" applyFont="1" applyFill="1" applyBorder="1" applyAlignment="1">
      <alignment vertical="center"/>
    </xf>
    <xf numFmtId="166" fontId="6" fillId="0" borderId="8" xfId="1" applyNumberFormat="1" applyFont="1" applyFill="1" applyBorder="1" applyAlignment="1">
      <alignment vertical="center"/>
    </xf>
    <xf numFmtId="166" fontId="6" fillId="0" borderId="8" xfId="1" applyNumberFormat="1" applyFont="1" applyFill="1" applyBorder="1" applyAlignment="1">
      <alignment horizontal="right" vertical="center" shrinkToFit="1"/>
    </xf>
    <xf numFmtId="166" fontId="6" fillId="0" borderId="17" xfId="1" applyNumberFormat="1" applyFont="1" applyBorder="1" applyAlignment="1">
      <alignment horizontal="right" vertical="center"/>
    </xf>
    <xf numFmtId="166" fontId="6" fillId="0" borderId="13" xfId="1" applyNumberFormat="1" applyFont="1" applyBorder="1" applyAlignment="1">
      <alignment horizontal="right" vertical="center"/>
    </xf>
    <xf numFmtId="166" fontId="5" fillId="0" borderId="22" xfId="1" applyNumberFormat="1" applyFont="1" applyFill="1" applyBorder="1" applyAlignment="1">
      <alignment vertical="center"/>
    </xf>
    <xf numFmtId="166" fontId="10" fillId="0" borderId="11" xfId="1" applyNumberFormat="1" applyFont="1" applyFill="1" applyBorder="1" applyAlignment="1">
      <alignment horizontal="right"/>
    </xf>
    <xf numFmtId="0" fontId="6" fillId="0" borderId="2" xfId="0" applyFont="1" applyBorder="1" applyAlignment="1">
      <alignment horizontal="left" vertical="center"/>
    </xf>
    <xf numFmtId="0" fontId="6" fillId="0" borderId="22" xfId="0" applyFont="1" applyBorder="1" applyAlignment="1">
      <alignment horizontal="left" vertical="center"/>
    </xf>
    <xf numFmtId="0" fontId="6" fillId="0" borderId="13" xfId="0" applyFont="1" applyBorder="1" applyAlignment="1">
      <alignment horizontal="left"/>
    </xf>
    <xf numFmtId="0" fontId="6" fillId="0" borderId="10" xfId="0" applyFont="1" applyBorder="1" applyAlignment="1">
      <alignment horizontal="left"/>
    </xf>
    <xf numFmtId="0" fontId="6" fillId="0" borderId="20" xfId="0" applyFont="1" applyBorder="1" applyAlignment="1">
      <alignment vertical="center"/>
    </xf>
    <xf numFmtId="0" fontId="6" fillId="0" borderId="22" xfId="0" applyFont="1" applyBorder="1" applyAlignment="1">
      <alignment vertical="center"/>
    </xf>
    <xf numFmtId="166" fontId="6" fillId="0" borderId="3" xfId="1" applyNumberFormat="1" applyFont="1" applyFill="1" applyBorder="1" applyAlignment="1">
      <alignment horizontal="center" vertical="center"/>
    </xf>
    <xf numFmtId="166" fontId="7" fillId="0" borderId="6" xfId="1" applyNumberFormat="1" applyFont="1" applyFill="1" applyBorder="1" applyAlignment="1">
      <alignment horizontal="right" vertical="center"/>
    </xf>
    <xf numFmtId="166" fontId="6" fillId="0" borderId="5" xfId="1" applyNumberFormat="1" applyFont="1" applyFill="1" applyBorder="1" applyAlignment="1">
      <alignment horizontal="right" vertical="center" shrinkToFit="1"/>
    </xf>
    <xf numFmtId="166" fontId="7" fillId="0" borderId="3" xfId="1" applyNumberFormat="1" applyFont="1" applyFill="1" applyBorder="1" applyAlignment="1">
      <alignment vertical="center" wrapText="1"/>
    </xf>
    <xf numFmtId="166" fontId="6" fillId="0" borderId="3" xfId="1" applyNumberFormat="1" applyFont="1" applyFill="1" applyBorder="1" applyAlignment="1">
      <alignment horizontal="right" vertical="center" wrapText="1" shrinkToFit="1"/>
    </xf>
    <xf numFmtId="164" fontId="6" fillId="0" borderId="18" xfId="0" applyNumberFormat="1" applyFont="1" applyBorder="1" applyAlignment="1">
      <alignment horizontal="center" vertical="center"/>
    </xf>
    <xf numFmtId="0" fontId="6" fillId="0" borderId="18" xfId="0" applyFont="1" applyBorder="1" applyAlignment="1">
      <alignment horizontal="center" vertical="center"/>
    </xf>
    <xf numFmtId="0" fontId="6" fillId="0" borderId="18" xfId="0" applyFont="1" applyBorder="1" applyAlignment="1">
      <alignment horizontal="left" vertical="center" wrapText="1"/>
    </xf>
    <xf numFmtId="166" fontId="6" fillId="0" borderId="18" xfId="1" applyNumberFormat="1" applyFont="1" applyFill="1" applyBorder="1" applyAlignment="1">
      <alignment horizontal="right" vertical="center"/>
    </xf>
    <xf numFmtId="0" fontId="6" fillId="0" borderId="3" xfId="58" applyFont="1" applyBorder="1" applyAlignment="1">
      <alignment horizontal="center" vertical="center"/>
    </xf>
    <xf numFmtId="0" fontId="6" fillId="0" borderId="3" xfId="59" applyFont="1" applyBorder="1" applyAlignment="1">
      <alignment vertical="center"/>
    </xf>
    <xf numFmtId="0" fontId="7" fillId="0" borderId="13" xfId="0" applyFont="1" applyBorder="1" applyAlignment="1">
      <alignment horizontal="center" vertical="center" wrapText="1"/>
    </xf>
    <xf numFmtId="0" fontId="6" fillId="0" borderId="3" xfId="48" applyFont="1" applyBorder="1" applyAlignment="1">
      <alignment horizontal="center" vertical="center"/>
    </xf>
    <xf numFmtId="0" fontId="6" fillId="0" borderId="3" xfId="0" applyFont="1" applyBorder="1" applyAlignment="1">
      <alignment horizontal="center" vertical="center" wrapText="1"/>
    </xf>
    <xf numFmtId="0" fontId="6" fillId="0" borderId="3" xfId="52" applyFont="1" applyBorder="1" applyAlignment="1">
      <alignment horizontal="center" vertical="center"/>
    </xf>
    <xf numFmtId="0" fontId="6" fillId="0" borderId="3" xfId="55" applyFont="1" applyBorder="1" applyAlignment="1">
      <alignment horizontal="center" vertical="center"/>
    </xf>
    <xf numFmtId="164" fontId="6" fillId="0" borderId="3" xfId="0" applyNumberFormat="1" applyFont="1" applyBorder="1" applyAlignment="1">
      <alignment horizontal="center" vertical="center" wrapText="1"/>
    </xf>
    <xf numFmtId="0" fontId="9" fillId="2" borderId="17" xfId="34" applyNumberFormat="1" applyFont="1" applyFill="1" applyBorder="1" applyAlignment="1">
      <alignment vertical="center"/>
    </xf>
    <xf numFmtId="0" fontId="9" fillId="2" borderId="13" xfId="34" applyNumberFormat="1" applyFont="1" applyFill="1" applyBorder="1" applyAlignment="1">
      <alignment vertical="center"/>
    </xf>
    <xf numFmtId="0" fontId="9" fillId="0" borderId="13" xfId="35" applyNumberFormat="1" applyFont="1" applyFill="1" applyBorder="1" applyAlignment="1">
      <alignment vertical="center" wrapText="1"/>
    </xf>
    <xf numFmtId="0" fontId="9" fillId="2" borderId="13" xfId="35" applyNumberFormat="1" applyFont="1" applyFill="1" applyBorder="1" applyAlignment="1">
      <alignment vertical="center" wrapText="1"/>
    </xf>
    <xf numFmtId="0" fontId="7" fillId="0" borderId="13" xfId="0" applyFont="1" applyBorder="1" applyAlignment="1">
      <alignment vertical="center" wrapText="1"/>
    </xf>
    <xf numFmtId="0" fontId="9" fillId="0" borderId="13" xfId="35" applyNumberFormat="1" applyFont="1" applyFill="1" applyBorder="1" applyAlignment="1">
      <alignment vertical="center"/>
    </xf>
    <xf numFmtId="0" fontId="6" fillId="0" borderId="13" xfId="41" applyFont="1" applyBorder="1" applyAlignment="1">
      <alignment vertical="center"/>
    </xf>
    <xf numFmtId="0" fontId="6" fillId="0" borderId="13" xfId="35" applyNumberFormat="1" applyFont="1" applyFill="1" applyBorder="1" applyAlignment="1">
      <alignment vertical="center"/>
    </xf>
    <xf numFmtId="0" fontId="9" fillId="0" borderId="13" xfId="43" applyNumberFormat="1" applyFont="1" applyFill="1" applyBorder="1" applyAlignment="1">
      <alignment vertical="center"/>
    </xf>
    <xf numFmtId="0" fontId="7" fillId="0" borderId="13" xfId="35" applyNumberFormat="1" applyFont="1" applyFill="1" applyBorder="1" applyAlignment="1">
      <alignment vertical="center"/>
    </xf>
    <xf numFmtId="0" fontId="6" fillId="0" borderId="13" xfId="6" applyFont="1" applyBorder="1" applyAlignment="1">
      <alignment horizontal="left" vertical="center"/>
    </xf>
    <xf numFmtId="0" fontId="9" fillId="0" borderId="13" xfId="35" applyNumberFormat="1" applyFont="1" applyFill="1" applyBorder="1" applyAlignment="1">
      <alignment horizontal="left" vertical="center"/>
    </xf>
    <xf numFmtId="0" fontId="6" fillId="0" borderId="13" xfId="35" applyNumberFormat="1" applyFont="1" applyFill="1" applyBorder="1" applyAlignment="1">
      <alignment horizontal="left" vertical="center"/>
    </xf>
    <xf numFmtId="0" fontId="9" fillId="0" borderId="13" xfId="46" applyNumberFormat="1" applyFont="1" applyFill="1" applyBorder="1" applyAlignment="1">
      <alignment horizontal="left" vertical="center"/>
    </xf>
    <xf numFmtId="0" fontId="7" fillId="0" borderId="13" xfId="35" applyNumberFormat="1" applyFont="1" applyFill="1" applyBorder="1" applyAlignment="1">
      <alignment horizontal="left" vertical="center"/>
    </xf>
    <xf numFmtId="0" fontId="9" fillId="0" borderId="13" xfId="49" applyNumberFormat="1" applyFont="1" applyFill="1" applyBorder="1" applyAlignment="1">
      <alignment vertical="center"/>
    </xf>
    <xf numFmtId="0" fontId="6" fillId="0" borderId="13" xfId="1" applyNumberFormat="1" applyFont="1" applyFill="1" applyBorder="1" applyAlignment="1">
      <alignment vertical="center"/>
    </xf>
    <xf numFmtId="0" fontId="9" fillId="0" borderId="13" xfId="53" applyNumberFormat="1" applyFont="1" applyFill="1" applyBorder="1" applyAlignment="1">
      <alignment vertical="center"/>
    </xf>
    <xf numFmtId="0" fontId="9" fillId="0" borderId="13" xfId="56" applyNumberFormat="1" applyFont="1" applyFill="1" applyBorder="1" applyAlignment="1">
      <alignment vertical="center"/>
    </xf>
    <xf numFmtId="0" fontId="6" fillId="2" borderId="13" xfId="0" applyFont="1" applyFill="1" applyBorder="1" applyAlignment="1">
      <alignment vertical="center" wrapText="1"/>
    </xf>
    <xf numFmtId="0" fontId="6" fillId="0" borderId="13" xfId="12" applyFont="1" applyBorder="1" applyAlignment="1">
      <alignment horizontal="left" vertical="center"/>
    </xf>
    <xf numFmtId="0" fontId="6" fillId="0" borderId="13" xfId="59" applyFont="1" applyBorder="1" applyAlignment="1">
      <alignment vertical="center"/>
    </xf>
    <xf numFmtId="166" fontId="9" fillId="2" borderId="6" xfId="1" applyNumberFormat="1" applyFont="1" applyFill="1" applyBorder="1" applyAlignment="1">
      <alignment vertical="center"/>
    </xf>
    <xf numFmtId="166" fontId="7" fillId="0" borderId="3" xfId="1" applyNumberFormat="1" applyFont="1" applyFill="1" applyBorder="1" applyAlignment="1">
      <alignment horizontal="right" vertical="center" wrapText="1" shrinkToFit="1"/>
    </xf>
    <xf numFmtId="166" fontId="9" fillId="0" borderId="3" xfId="1" applyNumberFormat="1" applyFont="1" applyFill="1" applyBorder="1" applyAlignment="1">
      <alignment vertical="center" wrapText="1"/>
    </xf>
    <xf numFmtId="166" fontId="5" fillId="0" borderId="3" xfId="1" applyNumberFormat="1" applyFont="1" applyFill="1" applyBorder="1" applyAlignment="1">
      <alignment horizontal="right"/>
    </xf>
    <xf numFmtId="0" fontId="6" fillId="4" borderId="2" xfId="0" applyFont="1" applyFill="1" applyBorder="1" applyAlignment="1">
      <alignment vertical="center" wrapText="1"/>
    </xf>
    <xf numFmtId="166" fontId="6" fillId="0" borderId="19" xfId="1" applyNumberFormat="1" applyFont="1" applyFill="1" applyBorder="1" applyAlignment="1">
      <alignment horizontal="right"/>
    </xf>
    <xf numFmtId="166" fontId="6" fillId="0" borderId="19" xfId="1" applyNumberFormat="1" applyFont="1" applyFill="1" applyBorder="1" applyAlignment="1">
      <alignment horizontal="right" vertical="center"/>
    </xf>
    <xf numFmtId="166" fontId="6" fillId="4" borderId="8" xfId="1" applyNumberFormat="1" applyFont="1" applyFill="1" applyBorder="1" applyAlignment="1">
      <alignment vertical="center"/>
    </xf>
    <xf numFmtId="166" fontId="6" fillId="4" borderId="6" xfId="1" applyNumberFormat="1" applyFont="1" applyFill="1" applyBorder="1" applyAlignment="1">
      <alignment vertical="center"/>
    </xf>
    <xf numFmtId="166" fontId="6" fillId="4" borderId="2" xfId="1" applyNumberFormat="1" applyFont="1" applyFill="1" applyBorder="1" applyAlignment="1">
      <alignment vertical="center"/>
    </xf>
    <xf numFmtId="166" fontId="6" fillId="4" borderId="2" xfId="1" applyNumberFormat="1" applyFont="1" applyFill="1" applyBorder="1" applyAlignment="1">
      <alignment horizontal="right" vertical="center" shrinkToFit="1"/>
    </xf>
    <xf numFmtId="0" fontId="6" fillId="0" borderId="3" xfId="1" applyNumberFormat="1" applyFont="1" applyFill="1" applyBorder="1" applyAlignment="1">
      <alignment vertical="center"/>
    </xf>
    <xf numFmtId="166" fontId="5" fillId="0" borderId="13" xfId="1" applyNumberFormat="1" applyFont="1" applyFill="1" applyBorder="1" applyAlignment="1">
      <alignment horizontal="right"/>
    </xf>
    <xf numFmtId="166" fontId="20" fillId="0" borderId="13" xfId="1" applyNumberFormat="1" applyFont="1" applyFill="1" applyBorder="1" applyAlignment="1">
      <alignment horizontal="right"/>
    </xf>
    <xf numFmtId="0" fontId="6" fillId="0" borderId="6" xfId="0" applyFont="1" applyBorder="1" applyAlignment="1">
      <alignment horizontal="left" vertical="center"/>
    </xf>
    <xf numFmtId="166" fontId="6" fillId="0" borderId="17" xfId="1" applyNumberFormat="1" applyFont="1" applyFill="1" applyBorder="1" applyAlignment="1">
      <alignment horizontal="right" vertical="center"/>
    </xf>
    <xf numFmtId="166" fontId="10" fillId="0" borderId="24" xfId="1" applyNumberFormat="1" applyFont="1" applyFill="1" applyBorder="1" applyAlignment="1">
      <alignment horizontal="right" vertical="center"/>
    </xf>
    <xf numFmtId="0" fontId="6" fillId="0" borderId="13" xfId="58" applyFont="1" applyBorder="1" applyAlignment="1">
      <alignment horizontal="center" vertical="center"/>
    </xf>
    <xf numFmtId="166" fontId="5" fillId="4" borderId="3" xfId="1" applyNumberFormat="1" applyFont="1" applyFill="1" applyBorder="1" applyAlignment="1">
      <alignment horizontal="right" vertical="center"/>
    </xf>
    <xf numFmtId="164" fontId="6" fillId="0" borderId="10" xfId="0" applyNumberFormat="1" applyFont="1" applyFill="1" applyBorder="1" applyAlignment="1">
      <alignment horizontal="center" vertical="center"/>
    </xf>
    <xf numFmtId="0" fontId="6" fillId="0" borderId="3" xfId="0" applyFont="1" applyFill="1" applyBorder="1" applyAlignment="1">
      <alignment horizontal="center" vertical="center"/>
    </xf>
    <xf numFmtId="0" fontId="6" fillId="0" borderId="13" xfId="0" applyFont="1" applyFill="1" applyBorder="1" applyAlignment="1">
      <alignment horizontal="center" vertical="center"/>
    </xf>
    <xf numFmtId="0" fontId="6" fillId="0" borderId="3" xfId="0" applyFont="1" applyFill="1" applyBorder="1" applyAlignment="1">
      <alignment horizontal="left" vertical="center" wrapText="1"/>
    </xf>
    <xf numFmtId="4" fontId="29" fillId="0" borderId="3" xfId="70" quotePrefix="1" applyFont="1" applyFill="1" applyBorder="1" applyAlignment="1">
      <alignment vertical="top"/>
    </xf>
    <xf numFmtId="166" fontId="7" fillId="0" borderId="13" xfId="1" applyNumberFormat="1" applyFont="1" applyFill="1" applyBorder="1"/>
    <xf numFmtId="166" fontId="29" fillId="0" borderId="3" xfId="1" quotePrefix="1" applyNumberFormat="1" applyFont="1" applyFill="1" applyBorder="1" applyAlignment="1">
      <alignment horizontal="right" vertical="top"/>
    </xf>
    <xf numFmtId="164" fontId="6" fillId="0" borderId="23" xfId="0" applyNumberFormat="1" applyFont="1" applyFill="1" applyBorder="1" applyAlignment="1">
      <alignment horizontal="center" vertical="center"/>
    </xf>
    <xf numFmtId="4" fontId="29" fillId="0" borderId="11" xfId="70" quotePrefix="1" applyFont="1" applyFill="1" applyBorder="1" applyAlignment="1">
      <alignment vertical="top"/>
    </xf>
    <xf numFmtId="0" fontId="6" fillId="0" borderId="24" xfId="0" applyFont="1" applyFill="1" applyBorder="1" applyAlignment="1">
      <alignment horizontal="center" vertical="center"/>
    </xf>
    <xf numFmtId="166" fontId="7" fillId="0" borderId="24" xfId="1" applyNumberFormat="1" applyFont="1" applyFill="1" applyBorder="1"/>
    <xf numFmtId="166" fontId="29" fillId="0" borderId="11" xfId="1" quotePrefix="1" applyNumberFormat="1" applyFont="1" applyFill="1" applyBorder="1" applyAlignment="1">
      <alignment horizontal="right" vertical="top"/>
    </xf>
    <xf numFmtId="164" fontId="6" fillId="0" borderId="3" xfId="0" applyNumberFormat="1" applyFont="1" applyFill="1" applyBorder="1" applyAlignment="1">
      <alignment horizontal="center" vertical="center"/>
    </xf>
    <xf numFmtId="4" fontId="29" fillId="0" borderId="13" xfId="70" quotePrefix="1" applyFont="1" applyFill="1" applyBorder="1" applyAlignment="1">
      <alignment vertical="top"/>
    </xf>
    <xf numFmtId="0" fontId="6" fillId="0" borderId="3" xfId="0" applyFont="1" applyFill="1" applyBorder="1" applyAlignment="1">
      <alignment horizontal="center"/>
    </xf>
    <xf numFmtId="166" fontId="7" fillId="0" borderId="3" xfId="1" applyNumberFormat="1" applyFont="1" applyFill="1" applyBorder="1"/>
    <xf numFmtId="164" fontId="5" fillId="0" borderId="3" xfId="0" applyNumberFormat="1" applyFont="1" applyFill="1" applyBorder="1" applyAlignment="1">
      <alignment horizontal="center" vertical="center" wrapText="1"/>
    </xf>
    <xf numFmtId="0" fontId="5" fillId="0" borderId="13" xfId="0" applyFont="1" applyFill="1" applyBorder="1" applyAlignment="1">
      <alignment horizontal="center" vertical="center" wrapText="1"/>
    </xf>
    <xf numFmtId="0" fontId="5" fillId="0" borderId="3" xfId="0" applyFont="1" applyFill="1" applyBorder="1" applyAlignment="1">
      <alignment horizontal="center" vertical="center" wrapText="1"/>
    </xf>
    <xf numFmtId="0" fontId="5" fillId="0" borderId="3" xfId="0" applyFont="1" applyFill="1" applyBorder="1" applyAlignment="1">
      <alignment vertical="center" wrapText="1"/>
    </xf>
    <xf numFmtId="164" fontId="6" fillId="0" borderId="11" xfId="0" applyNumberFormat="1" applyFont="1" applyFill="1" applyBorder="1" applyAlignment="1">
      <alignment horizontal="center" vertical="center"/>
    </xf>
    <xf numFmtId="166" fontId="6" fillId="0" borderId="3" xfId="1" applyNumberFormat="1" applyFont="1" applyFill="1" applyBorder="1"/>
    <xf numFmtId="4" fontId="29" fillId="0" borderId="24" xfId="70" quotePrefix="1" applyFont="1" applyFill="1" applyBorder="1" applyAlignment="1">
      <alignment vertical="top"/>
    </xf>
    <xf numFmtId="0" fontId="6" fillId="0" borderId="11" xfId="0" applyFont="1" applyFill="1" applyBorder="1" applyAlignment="1">
      <alignment horizontal="center" vertical="center"/>
    </xf>
    <xf numFmtId="164" fontId="6" fillId="4" borderId="2" xfId="0" applyNumberFormat="1" applyFont="1" applyFill="1" applyBorder="1" applyAlignment="1">
      <alignment horizontal="center" vertical="center"/>
    </xf>
    <xf numFmtId="0" fontId="7" fillId="4" borderId="3" xfId="0" applyFont="1" applyFill="1" applyBorder="1" applyAlignment="1">
      <alignment horizontal="center" vertical="center"/>
    </xf>
    <xf numFmtId="0" fontId="6" fillId="4" borderId="5" xfId="0" applyFont="1" applyFill="1" applyBorder="1" applyAlignment="1">
      <alignment horizontal="left" vertical="center" wrapText="1"/>
    </xf>
    <xf numFmtId="38" fontId="6" fillId="4" borderId="3" xfId="1" applyNumberFormat="1" applyFont="1" applyFill="1" applyBorder="1" applyAlignment="1">
      <alignment horizontal="right" vertical="center"/>
    </xf>
    <xf numFmtId="0" fontId="7" fillId="4" borderId="11" xfId="0" applyFont="1" applyFill="1" applyBorder="1" applyAlignment="1">
      <alignment horizontal="center" vertical="center"/>
    </xf>
    <xf numFmtId="0" fontId="6" fillId="4" borderId="12" xfId="0" applyFont="1" applyFill="1" applyBorder="1" applyAlignment="1">
      <alignment horizontal="left" vertical="center" wrapText="1"/>
    </xf>
    <xf numFmtId="38" fontId="6" fillId="4" borderId="11" xfId="1" applyNumberFormat="1" applyFont="1" applyFill="1" applyBorder="1" applyAlignment="1">
      <alignment horizontal="right" vertical="center"/>
    </xf>
    <xf numFmtId="164" fontId="6" fillId="4" borderId="8" xfId="0" applyNumberFormat="1" applyFont="1" applyFill="1" applyBorder="1" applyAlignment="1">
      <alignment horizontal="center" vertical="center"/>
    </xf>
    <xf numFmtId="0" fontId="7" fillId="4" borderId="6" xfId="0" applyFont="1" applyFill="1" applyBorder="1" applyAlignment="1">
      <alignment horizontal="center" vertical="center"/>
    </xf>
    <xf numFmtId="0" fontId="6" fillId="4" borderId="27" xfId="0" applyFont="1" applyFill="1" applyBorder="1" applyAlignment="1">
      <alignment horizontal="left" vertical="center" wrapText="1"/>
    </xf>
    <xf numFmtId="38" fontId="6" fillId="4" borderId="6" xfId="1" applyNumberFormat="1" applyFont="1" applyFill="1" applyBorder="1" applyAlignment="1">
      <alignment horizontal="right" vertical="center"/>
    </xf>
    <xf numFmtId="166" fontId="6" fillId="4" borderId="8" xfId="1" applyNumberFormat="1" applyFont="1" applyFill="1" applyBorder="1" applyAlignment="1">
      <alignment horizontal="right" vertical="center"/>
    </xf>
    <xf numFmtId="166" fontId="6" fillId="4" borderId="2" xfId="1" applyNumberFormat="1" applyFont="1" applyFill="1" applyBorder="1" applyAlignment="1">
      <alignment horizontal="right" vertical="center"/>
    </xf>
    <xf numFmtId="166" fontId="6" fillId="4" borderId="11" xfId="1" applyNumberFormat="1" applyFont="1" applyFill="1" applyBorder="1" applyAlignment="1">
      <alignment horizontal="right" vertical="center"/>
    </xf>
    <xf numFmtId="0" fontId="7" fillId="4" borderId="4" xfId="0" applyFont="1" applyFill="1" applyBorder="1" applyAlignment="1">
      <alignment horizontal="center" vertical="center"/>
    </xf>
    <xf numFmtId="0" fontId="7" fillId="4" borderId="3" xfId="0" applyFont="1" applyFill="1" applyBorder="1" applyAlignment="1">
      <alignment horizontal="left" vertical="center" wrapText="1"/>
    </xf>
    <xf numFmtId="0" fontId="7" fillId="4" borderId="7" xfId="0" applyFont="1" applyFill="1" applyBorder="1" applyAlignment="1">
      <alignment horizontal="center" vertical="center"/>
    </xf>
    <xf numFmtId="0" fontId="7" fillId="4" borderId="6" xfId="0" applyFont="1" applyFill="1" applyBorder="1" applyAlignment="1">
      <alignment horizontal="left" vertical="center" wrapText="1"/>
    </xf>
    <xf numFmtId="0" fontId="7" fillId="4" borderId="12" xfId="0" applyFont="1" applyFill="1" applyBorder="1" applyAlignment="1">
      <alignment horizontal="center" vertical="center"/>
    </xf>
    <xf numFmtId="0" fontId="7" fillId="4" borderId="11" xfId="0" applyFont="1" applyFill="1" applyBorder="1" applyAlignment="1">
      <alignment horizontal="left" vertical="center" wrapText="1"/>
    </xf>
    <xf numFmtId="166" fontId="7" fillId="4" borderId="6" xfId="1" applyNumberFormat="1" applyFont="1" applyFill="1" applyBorder="1" applyAlignment="1">
      <alignment vertical="center"/>
    </xf>
    <xf numFmtId="166" fontId="7" fillId="4" borderId="3" xfId="1" applyNumberFormat="1" applyFont="1" applyFill="1" applyBorder="1" applyAlignment="1">
      <alignment vertical="center"/>
    </xf>
    <xf numFmtId="166" fontId="7" fillId="4" borderId="11" xfId="1" applyNumberFormat="1" applyFont="1" applyFill="1" applyBorder="1" applyAlignment="1">
      <alignment vertical="center"/>
    </xf>
    <xf numFmtId="0" fontId="6" fillId="4" borderId="3" xfId="0" applyFont="1" applyFill="1" applyBorder="1" applyAlignment="1">
      <alignment horizontal="center" vertical="center" wrapText="1"/>
    </xf>
    <xf numFmtId="0" fontId="6" fillId="4" borderId="2" xfId="0" applyFont="1" applyFill="1" applyBorder="1" applyAlignment="1">
      <alignment horizontal="left" vertical="center" wrapText="1"/>
    </xf>
    <xf numFmtId="0" fontId="6" fillId="4" borderId="11" xfId="0" applyFont="1" applyFill="1" applyBorder="1" applyAlignment="1">
      <alignment horizontal="center" vertical="center" wrapText="1"/>
    </xf>
    <xf numFmtId="38" fontId="6" fillId="4" borderId="12" xfId="0" applyNumberFormat="1" applyFont="1" applyFill="1" applyBorder="1" applyAlignment="1">
      <alignment horizontal="right" vertical="center"/>
    </xf>
    <xf numFmtId="0" fontId="6" fillId="4" borderId="6" xfId="0" applyFont="1" applyFill="1" applyBorder="1" applyAlignment="1">
      <alignment horizontal="center" vertical="center" wrapText="1"/>
    </xf>
    <xf numFmtId="0" fontId="6" fillId="4" borderId="8" xfId="0" applyFont="1" applyFill="1" applyBorder="1" applyAlignment="1">
      <alignment horizontal="left" vertical="center" wrapText="1"/>
    </xf>
    <xf numFmtId="38" fontId="6" fillId="4" borderId="27" xfId="0" applyNumberFormat="1" applyFont="1" applyFill="1" applyBorder="1" applyAlignment="1">
      <alignment horizontal="right" vertical="center"/>
    </xf>
    <xf numFmtId="4" fontId="6" fillId="0" borderId="10" xfId="70" quotePrefix="1" applyFont="1" applyBorder="1" applyAlignment="1">
      <alignment vertical="top"/>
    </xf>
    <xf numFmtId="166" fontId="6" fillId="4" borderId="11" xfId="1" applyNumberFormat="1" applyFont="1" applyFill="1" applyBorder="1" applyAlignment="1">
      <alignment vertical="center"/>
    </xf>
    <xf numFmtId="166" fontId="20" fillId="0" borderId="3" xfId="1" applyNumberFormat="1" applyFont="1" applyFill="1" applyBorder="1" applyAlignment="1"/>
    <xf numFmtId="166" fontId="20" fillId="0" borderId="11" xfId="1" applyNumberFormat="1" applyFont="1" applyFill="1" applyBorder="1" applyAlignment="1"/>
    <xf numFmtId="4" fontId="29" fillId="0" borderId="3" xfId="70" quotePrefix="1" applyFont="1" applyFill="1" applyBorder="1">
      <alignment horizontal="left" vertical="top"/>
    </xf>
    <xf numFmtId="0" fontId="6" fillId="0" borderId="2" xfId="0" applyFont="1" applyFill="1" applyBorder="1" applyAlignment="1">
      <alignment horizontal="center"/>
    </xf>
    <xf numFmtId="0" fontId="6" fillId="4" borderId="5" xfId="0" applyFont="1" applyFill="1" applyBorder="1" applyAlignment="1">
      <alignment vertical="center"/>
    </xf>
    <xf numFmtId="0" fontId="6" fillId="4" borderId="3" xfId="0" applyFont="1" applyFill="1" applyBorder="1" applyAlignment="1">
      <alignment vertical="center" wrapText="1"/>
    </xf>
    <xf numFmtId="0" fontId="7" fillId="4" borderId="3" xfId="0" applyFont="1" applyFill="1" applyBorder="1" applyAlignment="1">
      <alignment vertical="center" wrapText="1"/>
    </xf>
    <xf numFmtId="0" fontId="7" fillId="4" borderId="3" xfId="6" applyFont="1" applyFill="1" applyBorder="1" applyAlignment="1">
      <alignment vertical="center" wrapText="1"/>
    </xf>
    <xf numFmtId="0" fontId="7" fillId="4" borderId="3" xfId="6" applyFont="1" applyFill="1" applyBorder="1" applyAlignment="1">
      <alignment horizontal="center" vertical="center"/>
    </xf>
    <xf numFmtId="0" fontId="7" fillId="4" borderId="3" xfId="6" applyFont="1" applyFill="1" applyBorder="1" applyAlignment="1">
      <alignment horizontal="left" vertical="center" wrapText="1"/>
    </xf>
    <xf numFmtId="0" fontId="7" fillId="4" borderId="3" xfId="6" applyFont="1" applyFill="1" applyBorder="1" applyAlignment="1">
      <alignment horizontal="center" vertical="center" wrapText="1"/>
    </xf>
    <xf numFmtId="0" fontId="7" fillId="4" borderId="11" xfId="6" applyFont="1" applyFill="1" applyBorder="1" applyAlignment="1">
      <alignment horizontal="center" vertical="center" wrapText="1"/>
    </xf>
    <xf numFmtId="0" fontId="7" fillId="4" borderId="11" xfId="6" applyFont="1" applyFill="1" applyBorder="1" applyAlignment="1">
      <alignment vertical="center" wrapText="1"/>
    </xf>
    <xf numFmtId="166" fontId="6" fillId="4" borderId="6" xfId="1" applyNumberFormat="1" applyFont="1" applyFill="1" applyBorder="1" applyAlignment="1">
      <alignment horizontal="right" vertical="center"/>
    </xf>
    <xf numFmtId="166" fontId="6" fillId="4" borderId="5" xfId="1" applyNumberFormat="1" applyFont="1" applyFill="1" applyBorder="1" applyAlignment="1">
      <alignment horizontal="right" vertical="center"/>
    </xf>
    <xf numFmtId="166" fontId="6" fillId="4" borderId="3" xfId="1" applyNumberFormat="1" applyFont="1" applyFill="1" applyBorder="1" applyAlignment="1">
      <alignment vertical="center"/>
    </xf>
    <xf numFmtId="0" fontId="6" fillId="0" borderId="13" xfId="0" applyFont="1" applyFill="1" applyBorder="1" applyAlignment="1">
      <alignment horizontal="left" vertical="center" wrapText="1"/>
    </xf>
    <xf numFmtId="0" fontId="6" fillId="0" borderId="13" xfId="6" applyFont="1" applyFill="1" applyBorder="1" applyAlignment="1">
      <alignment vertical="center" wrapText="1"/>
    </xf>
    <xf numFmtId="0" fontId="6" fillId="4" borderId="2" xfId="0" applyFont="1" applyFill="1" applyBorder="1" applyAlignment="1">
      <alignment horizontal="center" vertical="center"/>
    </xf>
    <xf numFmtId="0" fontId="6" fillId="4" borderId="2" xfId="0" applyFont="1" applyFill="1" applyBorder="1" applyAlignment="1">
      <alignment vertical="center"/>
    </xf>
    <xf numFmtId="0" fontId="7" fillId="4" borderId="3" xfId="0" applyFont="1" applyFill="1" applyBorder="1" applyAlignment="1">
      <alignment vertical="center"/>
    </xf>
    <xf numFmtId="0" fontId="7" fillId="4" borderId="3" xfId="0" applyFont="1" applyFill="1" applyBorder="1" applyAlignment="1">
      <alignment horizontal="left" vertical="center"/>
    </xf>
    <xf numFmtId="0" fontId="7" fillId="4" borderId="6" xfId="0" applyFont="1" applyFill="1" applyBorder="1" applyAlignment="1">
      <alignment horizontal="left" vertical="center"/>
    </xf>
    <xf numFmtId="0" fontId="6" fillId="4" borderId="5" xfId="0" applyFont="1" applyFill="1" applyBorder="1" applyAlignment="1">
      <alignment horizontal="left" vertical="center"/>
    </xf>
    <xf numFmtId="16" fontId="6" fillId="4" borderId="3" xfId="0" applyNumberFormat="1" applyFont="1" applyFill="1" applyBorder="1" applyAlignment="1">
      <alignment horizontal="center" vertical="center"/>
    </xf>
    <xf numFmtId="0" fontId="6" fillId="4" borderId="2" xfId="1" applyNumberFormat="1" applyFont="1" applyFill="1" applyBorder="1" applyAlignment="1">
      <alignment vertical="center"/>
    </xf>
    <xf numFmtId="0" fontId="7" fillId="4" borderId="11" xfId="6" applyFont="1" applyFill="1" applyBorder="1" applyAlignment="1">
      <alignment horizontal="center" vertical="center"/>
    </xf>
    <xf numFmtId="0" fontId="6" fillId="4" borderId="8" xfId="0" applyFont="1" applyFill="1" applyBorder="1" applyAlignment="1">
      <alignment horizontal="center" vertical="center"/>
    </xf>
    <xf numFmtId="166" fontId="7" fillId="4" borderId="13" xfId="1" applyNumberFormat="1" applyFont="1" applyFill="1" applyBorder="1" applyAlignment="1">
      <alignment vertical="center"/>
    </xf>
    <xf numFmtId="0" fontId="7" fillId="4" borderId="11" xfId="6" applyFont="1" applyFill="1" applyBorder="1" applyAlignment="1">
      <alignment vertical="center"/>
    </xf>
    <xf numFmtId="164" fontId="6" fillId="0" borderId="8" xfId="0" applyNumberFormat="1" applyFont="1" applyFill="1" applyBorder="1" applyAlignment="1">
      <alignment horizontal="center" vertical="center" wrapText="1"/>
    </xf>
    <xf numFmtId="0" fontId="6" fillId="0" borderId="8" xfId="0" applyFont="1" applyFill="1" applyBorder="1" applyAlignment="1">
      <alignment horizontal="center" vertical="center" wrapText="1"/>
    </xf>
    <xf numFmtId="0" fontId="6" fillId="0" borderId="7" xfId="0" applyFont="1" applyFill="1" applyBorder="1" applyAlignment="1">
      <alignment horizontal="center" vertical="center" wrapText="1"/>
    </xf>
    <xf numFmtId="0" fontId="6" fillId="0" borderId="6" xfId="0" applyFont="1" applyFill="1" applyBorder="1" applyAlignment="1">
      <alignment vertical="center" wrapText="1"/>
    </xf>
    <xf numFmtId="164" fontId="6" fillId="0" borderId="2" xfId="0" applyNumberFormat="1" applyFont="1" applyFill="1" applyBorder="1" applyAlignment="1">
      <alignment horizontal="center"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vertical="center" wrapText="1"/>
    </xf>
    <xf numFmtId="0" fontId="6" fillId="0" borderId="10" xfId="0" applyFont="1" applyFill="1" applyBorder="1" applyAlignment="1">
      <alignment horizontal="center" vertical="center"/>
    </xf>
    <xf numFmtId="0" fontId="6" fillId="0" borderId="10" xfId="0" applyFont="1" applyFill="1" applyBorder="1" applyAlignment="1">
      <alignment horizontal="left" vertical="center" wrapText="1"/>
    </xf>
    <xf numFmtId="164" fontId="6" fillId="0" borderId="20" xfId="0" applyNumberFormat="1" applyFont="1" applyFill="1" applyBorder="1" applyAlignment="1">
      <alignment horizontal="center" vertical="center"/>
    </xf>
    <xf numFmtId="0" fontId="6" fillId="0" borderId="20" xfId="0" applyFont="1" applyFill="1" applyBorder="1" applyAlignment="1">
      <alignment horizontal="center" vertical="center"/>
    </xf>
    <xf numFmtId="0" fontId="6" fillId="0" borderId="20" xfId="0" applyFont="1" applyFill="1" applyBorder="1" applyAlignment="1">
      <alignment horizontal="left" vertical="center" wrapText="1"/>
    </xf>
    <xf numFmtId="166" fontId="6" fillId="0" borderId="20" xfId="1" applyNumberFormat="1" applyFont="1" applyFill="1" applyBorder="1" applyAlignment="1">
      <alignment horizontal="right"/>
    </xf>
    <xf numFmtId="4" fontId="6" fillId="0" borderId="10" xfId="70" quotePrefix="1" applyFont="1" applyFill="1" applyBorder="1">
      <alignment horizontal="left" vertical="top"/>
    </xf>
    <xf numFmtId="4" fontId="6" fillId="0" borderId="10" xfId="70" quotePrefix="1" applyFont="1" applyFill="1" applyBorder="1" applyAlignment="1">
      <alignment vertical="top"/>
    </xf>
    <xf numFmtId="166" fontId="20" fillId="0" borderId="10" xfId="1" applyNumberFormat="1" applyFont="1" applyFill="1" applyBorder="1" applyAlignment="1"/>
    <xf numFmtId="166" fontId="6" fillId="0" borderId="3" xfId="1" quotePrefix="1" applyNumberFormat="1" applyFont="1" applyFill="1" applyBorder="1" applyAlignment="1">
      <alignment horizontal="right" vertical="top"/>
    </xf>
    <xf numFmtId="0" fontId="6" fillId="4" borderId="27" xfId="0" applyFont="1" applyFill="1" applyBorder="1" applyAlignment="1">
      <alignment horizontal="left" vertical="center"/>
    </xf>
    <xf numFmtId="0" fontId="9" fillId="4" borderId="2" xfId="1" applyNumberFormat="1" applyFont="1" applyFill="1" applyBorder="1" applyAlignment="1">
      <alignment vertical="center"/>
    </xf>
    <xf numFmtId="166" fontId="7" fillId="4" borderId="2" xfId="1" applyNumberFormat="1" applyFont="1" applyFill="1" applyBorder="1" applyAlignment="1">
      <alignment vertical="center"/>
    </xf>
    <xf numFmtId="164" fontId="6" fillId="0" borderId="6" xfId="0" applyNumberFormat="1" applyFont="1" applyFill="1" applyBorder="1" applyAlignment="1">
      <alignment horizontal="center" vertical="center"/>
    </xf>
    <xf numFmtId="0" fontId="6" fillId="0" borderId="6" xfId="0" applyFont="1" applyFill="1" applyBorder="1" applyAlignment="1">
      <alignment horizontal="center" vertical="center"/>
    </xf>
    <xf numFmtId="0" fontId="6" fillId="0" borderId="21" xfId="0" applyFont="1" applyFill="1" applyBorder="1" applyAlignment="1">
      <alignment horizontal="left" vertical="center" wrapText="1"/>
    </xf>
    <xf numFmtId="164" fontId="5" fillId="4" borderId="2" xfId="0" applyNumberFormat="1"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4" borderId="2" xfId="0" applyFont="1" applyFill="1" applyBorder="1" applyAlignment="1">
      <alignment vertical="center" wrapText="1"/>
    </xf>
    <xf numFmtId="0" fontId="6" fillId="4" borderId="3" xfId="0" applyFont="1" applyFill="1" applyBorder="1" applyAlignment="1">
      <alignment vertical="center"/>
    </xf>
    <xf numFmtId="164" fontId="5" fillId="4" borderId="8" xfId="0" applyNumberFormat="1"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4" borderId="8" xfId="0" applyFont="1" applyFill="1" applyBorder="1" applyAlignment="1">
      <alignment vertical="center" wrapText="1"/>
    </xf>
    <xf numFmtId="0" fontId="6" fillId="4" borderId="12" xfId="0" applyFont="1" applyFill="1" applyBorder="1" applyAlignment="1">
      <alignment vertical="center"/>
    </xf>
    <xf numFmtId="166" fontId="5" fillId="4" borderId="8" xfId="1" applyNumberFormat="1" applyFont="1" applyFill="1" applyBorder="1" applyAlignment="1">
      <alignment vertical="center" wrapText="1"/>
    </xf>
    <xf numFmtId="166" fontId="5" fillId="4" borderId="8" xfId="1" applyNumberFormat="1" applyFont="1" applyFill="1" applyBorder="1" applyAlignment="1">
      <alignment vertical="center"/>
    </xf>
    <xf numFmtId="166" fontId="5" fillId="4" borderId="2" xfId="1" applyNumberFormat="1" applyFont="1" applyFill="1" applyBorder="1" applyAlignment="1">
      <alignment vertical="center" wrapText="1"/>
    </xf>
    <xf numFmtId="166" fontId="5" fillId="4" borderId="2" xfId="1" applyNumberFormat="1" applyFont="1" applyFill="1" applyBorder="1" applyAlignment="1">
      <alignment vertical="center"/>
    </xf>
    <xf numFmtId="0" fontId="6" fillId="0" borderId="6" xfId="0" applyFont="1" applyFill="1" applyBorder="1" applyAlignment="1">
      <alignment horizontal="left" vertical="center" wrapText="1"/>
    </xf>
    <xf numFmtId="166" fontId="6" fillId="0" borderId="17" xfId="1" applyNumberFormat="1" applyFont="1" applyFill="1" applyBorder="1" applyAlignment="1">
      <alignment horizontal="right"/>
    </xf>
    <xf numFmtId="166" fontId="20" fillId="0" borderId="13" xfId="1" applyNumberFormat="1" applyFont="1" applyFill="1" applyBorder="1" applyAlignment="1"/>
    <xf numFmtId="164" fontId="5" fillId="0" borderId="6" xfId="0" applyNumberFormat="1" applyFont="1" applyFill="1" applyBorder="1" applyAlignment="1">
      <alignment horizontal="center" vertical="center"/>
    </xf>
    <xf numFmtId="0" fontId="5" fillId="0" borderId="6" xfId="0" applyFont="1" applyFill="1" applyBorder="1" applyAlignment="1">
      <alignment horizontal="center" vertical="center"/>
    </xf>
    <xf numFmtId="0" fontId="5" fillId="0" borderId="6" xfId="0" applyFont="1" applyFill="1" applyBorder="1" applyAlignment="1">
      <alignment horizontal="center" vertical="center" wrapText="1"/>
    </xf>
    <xf numFmtId="0" fontId="5" fillId="0" borderId="6" xfId="0" applyFont="1" applyFill="1" applyBorder="1" applyAlignment="1">
      <alignment vertical="center" wrapText="1"/>
    </xf>
    <xf numFmtId="166" fontId="5" fillId="0" borderId="17" xfId="1" applyNumberFormat="1" applyFont="1" applyFill="1" applyBorder="1" applyAlignment="1">
      <alignment horizontal="right" vertical="center"/>
    </xf>
    <xf numFmtId="166" fontId="5" fillId="0" borderId="6" xfId="1" applyNumberFormat="1" applyFont="1" applyFill="1" applyBorder="1" applyAlignment="1">
      <alignment horizontal="right" vertical="center"/>
    </xf>
    <xf numFmtId="164" fontId="5" fillId="0" borderId="3" xfId="0" applyNumberFormat="1" applyFont="1" applyFill="1" applyBorder="1" applyAlignment="1">
      <alignment horizontal="center" vertical="center"/>
    </xf>
    <xf numFmtId="0" fontId="5" fillId="0" borderId="3" xfId="0" applyFont="1" applyFill="1" applyBorder="1" applyAlignment="1">
      <alignment horizontal="center" vertical="center"/>
    </xf>
    <xf numFmtId="166" fontId="6" fillId="0" borderId="13" xfId="1" applyNumberFormat="1" applyFont="1" applyFill="1" applyBorder="1" applyAlignment="1"/>
    <xf numFmtId="0" fontId="6" fillId="4" borderId="3" xfId="0" applyFont="1" applyFill="1" applyBorder="1" applyAlignment="1">
      <alignment horizontal="left" vertical="center"/>
    </xf>
    <xf numFmtId="0" fontId="7" fillId="4" borderId="3" xfId="6" applyFont="1" applyFill="1" applyBorder="1" applyAlignment="1">
      <alignment vertical="center"/>
    </xf>
    <xf numFmtId="0" fontId="7" fillId="4" borderId="3" xfId="6" applyFont="1" applyFill="1" applyBorder="1" applyAlignment="1">
      <alignment horizontal="left" vertical="center"/>
    </xf>
    <xf numFmtId="0" fontId="6" fillId="4" borderId="21" xfId="0" applyFont="1" applyFill="1" applyBorder="1" applyAlignment="1">
      <alignment horizontal="center" vertical="center"/>
    </xf>
    <xf numFmtId="0" fontId="7" fillId="4" borderId="6" xfId="0" applyFont="1" applyFill="1" applyBorder="1" applyAlignment="1">
      <alignment vertical="center" wrapText="1"/>
    </xf>
    <xf numFmtId="166" fontId="7" fillId="4" borderId="4" xfId="1" applyNumberFormat="1" applyFont="1" applyFill="1" applyBorder="1" applyAlignment="1">
      <alignment vertical="center"/>
    </xf>
  </cellXfs>
  <cellStyles count="96">
    <cellStyle name="Comma" xfId="1" builtinId="3"/>
    <cellStyle name="Comma [0] 10" xfId="39" xr:uid="{6E63C5FA-D588-4019-824D-52026E24770D}"/>
    <cellStyle name="Comma [0] 10 10" xfId="44" xr:uid="{73221995-36EB-461E-94ED-A3EFBF1A57C0}"/>
    <cellStyle name="Comma [0] 10 2 2 2" xfId="2" xr:uid="{01B2F9AC-53C1-4DFE-AE75-9EB06CC33786}"/>
    <cellStyle name="Comma [0] 10 2 3" xfId="8" xr:uid="{EAE0A9F2-C830-4221-984E-8F20A0D042D0}"/>
    <cellStyle name="Comma [0] 11" xfId="11" xr:uid="{1C35F751-627D-4BE1-B6F1-D9C864A0BC09}"/>
    <cellStyle name="Comma [0] 12 10" xfId="95" xr:uid="{1F70442B-8A10-4B08-A075-874BB5ACCA0A}"/>
    <cellStyle name="Comma [0] 18" xfId="30" xr:uid="{25136559-6AAE-468B-883C-73CDFF5A6980}"/>
    <cellStyle name="Comma [0] 19" xfId="22" xr:uid="{9335B1A5-E83B-4527-B951-B41EB75FF6A1}"/>
    <cellStyle name="Comma [0] 2 10" xfId="31" xr:uid="{38A2C8E5-B8C1-469A-9E99-F4D9ECC06ED6}"/>
    <cellStyle name="Comma [0] 2 11" xfId="42" xr:uid="{6202E74C-6BC8-4B15-9474-48650B08763A}"/>
    <cellStyle name="Comma [0] 2 14" xfId="50" xr:uid="{01FF480C-797E-4348-88E6-70AD4A0E472D}"/>
    <cellStyle name="Comma [0] 2 16" xfId="94" xr:uid="{3B079861-DD86-4047-98BC-472CC0657FE5}"/>
    <cellStyle name="Comma [0] 2 4" xfId="7" xr:uid="{F3BDC88A-9E93-4CF2-8AA1-AA89669D018F}"/>
    <cellStyle name="Comma [0] 21" xfId="37" xr:uid="{45C47E52-F672-4FC6-AA77-AFD5B6AB9187}"/>
    <cellStyle name="Comma [0] 25" xfId="47" xr:uid="{AF82D1D0-360B-47A4-BFED-561FD7597BC0}"/>
    <cellStyle name="Comma [0] 28" xfId="81" xr:uid="{FAD011A4-41A0-4B50-8D27-89B798348B13}"/>
    <cellStyle name="Comma [0] 30" xfId="61" xr:uid="{D90119F6-3891-4988-B68D-7C4248D2A53E}"/>
    <cellStyle name="Comma [0] 4" xfId="3" xr:uid="{5F8662CB-DA1D-403B-8CF3-F51BAF2F3930}"/>
    <cellStyle name="Comma [0] 5" xfId="14" xr:uid="{91B138EE-017C-4EAA-894A-572BA6772471}"/>
    <cellStyle name="Comma [0] 6" xfId="5" xr:uid="{29D6C3BF-5CFF-47E7-952B-C46BB1148D6E}"/>
    <cellStyle name="Comma [0] 6 2 2 2 2" xfId="24" xr:uid="{EA7A7307-AA99-44EA-B99F-A5A49067C004}"/>
    <cellStyle name="Comma [0] 6 2 2 4" xfId="17" xr:uid="{B4859ADB-D32A-4F1B-94BD-3ECCC1DF4EB3}"/>
    <cellStyle name="Comma [0] 7" xfId="15" xr:uid="{096E5867-AF66-4D96-B044-9D2FAD1FE893}"/>
    <cellStyle name="Comma [0] 8" xfId="19" xr:uid="{E8B378E8-EC1F-42D7-B89A-0B4709021E04}"/>
    <cellStyle name="Comma [0] 9" xfId="21" xr:uid="{DAF69589-29BC-4678-9900-5755B8EDA2F1}"/>
    <cellStyle name="Comma 10" xfId="38" xr:uid="{98C35FD8-F3B4-43F4-AE66-D2D404997652}"/>
    <cellStyle name="Comma 10 6" xfId="34" xr:uid="{502FC4E7-F88E-454E-BB7B-516D0ADAE0AA}"/>
    <cellStyle name="Comma 10 8 2" xfId="46" xr:uid="{C54869CE-3D2E-47E1-97DD-D29A935C82F5}"/>
    <cellStyle name="Comma 10 9" xfId="43" xr:uid="{09E95A4C-1EAE-4B17-8FF9-01C2F680B8EA}"/>
    <cellStyle name="Comma 11" xfId="84" xr:uid="{F54271F4-C87E-4748-B5E5-887ECA78DE08}"/>
    <cellStyle name="Comma 12" xfId="83" xr:uid="{DE3D6C16-85AE-4DD7-BA90-B9137E87AC36}"/>
    <cellStyle name="Comma 13" xfId="85" xr:uid="{BB1AE576-1740-42AD-BEBE-3993FD2F53EC}"/>
    <cellStyle name="Comma 14" xfId="86" xr:uid="{E2E1DF08-FBE8-4341-84CF-6630D5B9A560}"/>
    <cellStyle name="Comma 15" xfId="87" xr:uid="{A7978E6B-8AD4-4AC6-A5C3-A9A0A3B3C06C}"/>
    <cellStyle name="Comma 16" xfId="88" xr:uid="{64FCAEB5-9FB2-4058-B943-EAC3B5156A42}"/>
    <cellStyle name="Comma 17" xfId="89" xr:uid="{EBF44ED2-46D7-4D2E-BFE8-DF24A5D47E5A}"/>
    <cellStyle name="Comma 18" xfId="90" xr:uid="{EBDF8785-01E6-4AED-BFFE-E5F63583F50D}"/>
    <cellStyle name="Comma 19" xfId="91" xr:uid="{3F51A35A-E56F-4291-8110-BFDDA919ABA3}"/>
    <cellStyle name="Comma 2" xfId="62" xr:uid="{B469D0BB-C80F-4A11-AFBD-BC2DD30B97AB}"/>
    <cellStyle name="Comma 2 15" xfId="49" xr:uid="{3445E109-DACF-4224-A1C9-17A7C95C7715}"/>
    <cellStyle name="Comma 20" xfId="35" xr:uid="{6992CB8B-6EA1-431D-9735-973B02420561}"/>
    <cellStyle name="Comma 21" xfId="92" xr:uid="{BC84466E-C419-4D71-85F8-6208D837E529}"/>
    <cellStyle name="Comma 22" xfId="93" xr:uid="{D274021D-7B1C-48C7-98C7-9F8E8B5C17C3}"/>
    <cellStyle name="Comma 29" xfId="32" xr:uid="{6A9E473F-3F95-48CC-9291-EBDE9C0B9383}"/>
    <cellStyle name="Comma 3" xfId="75" xr:uid="{FBBF71C0-D605-4BF0-B445-A4C36A606320}"/>
    <cellStyle name="Comma 4" xfId="76" xr:uid="{2E2AFE41-1186-4287-836A-920F754E1723}"/>
    <cellStyle name="Comma 5" xfId="77" xr:uid="{F322D39A-E60F-4056-B49D-81EEB1B49BA9}"/>
    <cellStyle name="Comma 50" xfId="53" xr:uid="{75648A56-301C-4936-AFFB-66C5A43037C8}"/>
    <cellStyle name="Comma 52" xfId="56" xr:uid="{9D9ED70C-2311-435D-AC1E-8257C8EF6DEC}"/>
    <cellStyle name="Comma 6" xfId="80" xr:uid="{1E10F190-2864-4DDF-A059-E3ED2B74A74B}"/>
    <cellStyle name="Comma 7" xfId="78" xr:uid="{E511B118-C3EB-49F1-B543-6753FC23C2CE}"/>
    <cellStyle name="Comma 8" xfId="79" xr:uid="{B8D3F1D5-A941-43EA-B8A2-6D5C14F76071}"/>
    <cellStyle name="Comma 9" xfId="82" xr:uid="{1B66FBD8-B192-4384-A286-016A4475D081}"/>
    <cellStyle name="Normal" xfId="0" builtinId="0"/>
    <cellStyle name="Normal 10" xfId="13" xr:uid="{7E3FB306-D13D-4E1A-964C-028AA9BEB21C}"/>
    <cellStyle name="Normal 10 2" xfId="25" xr:uid="{1E0F6DBD-748B-4458-B94E-2BC3364C746C}"/>
    <cellStyle name="Normal 10 2 2" xfId="26" xr:uid="{DDE92D4A-4FFA-492F-8DFE-5F4D007B6645}"/>
    <cellStyle name="Normal 10 6" xfId="27" xr:uid="{569004E5-03E6-429B-B7DB-F10B84F28178}"/>
    <cellStyle name="Normal 14" xfId="16" xr:uid="{B0FCE796-7F7E-4720-9201-52B8DD54C923}"/>
    <cellStyle name="Normal 15" xfId="29" xr:uid="{69D0AC97-968A-4A23-AF73-A4AD218792FC}"/>
    <cellStyle name="Normal 16" xfId="33" xr:uid="{63B301E8-3162-446B-B79A-A7B81E8072FE}"/>
    <cellStyle name="Normal 17" xfId="36" xr:uid="{590F02F7-EB3D-4E89-8B31-9CA22919AD62}"/>
    <cellStyle name="Normal 18" xfId="41" xr:uid="{86D688AB-2FEB-4593-B87E-20AB57B3E54E}"/>
    <cellStyle name="Normal 19" xfId="57" xr:uid="{A153F678-C98A-47F3-A01A-5D4A4AFA72E8}"/>
    <cellStyle name="Normal 2 3" xfId="12" xr:uid="{DB854D83-B3CB-4FE5-8CA8-CE7D24E8C633}"/>
    <cellStyle name="Normal 25" xfId="48" xr:uid="{A1A6A3BB-0FBF-4448-AAF9-563AB5B3AA9E}"/>
    <cellStyle name="Normal 3" xfId="6" xr:uid="{509E7BA4-DE91-4630-8D3C-7658947CE592}"/>
    <cellStyle name="Normal 3 5" xfId="23" xr:uid="{E4AFD702-F4C7-4205-8403-BE1A5EF48189}"/>
    <cellStyle name="Normal 3 5 7" xfId="45" xr:uid="{604E36CE-3D9B-4FD4-865F-EDC0242FCC30}"/>
    <cellStyle name="Normal 30" xfId="51" xr:uid="{897AB354-9575-4AC4-A1D6-DFA84D557AE9}"/>
    <cellStyle name="Normal 32" xfId="54" xr:uid="{67D3149A-1A7B-4A95-93BA-A498875C0ADE}"/>
    <cellStyle name="Normal 34" xfId="52" xr:uid="{AF8DB260-CC39-41B3-80C1-049859F6B748}"/>
    <cellStyle name="Normal 36" xfId="55" xr:uid="{8AB113C4-0760-4074-B10C-C441E3A5774A}"/>
    <cellStyle name="Normal 39" xfId="59" xr:uid="{7E1EBA84-C298-41A1-ABB8-E591B3F4FEA1}"/>
    <cellStyle name="Normal 4" xfId="4" xr:uid="{8171573E-4655-4D53-A1ED-D910CEC043BB}"/>
    <cellStyle name="Normal 4 2 6" xfId="28" xr:uid="{BF449B70-56A1-45A7-AF58-A8A969CB720E}"/>
    <cellStyle name="Normal 40" xfId="58" xr:uid="{19F2811A-89C9-431C-A4B0-9128AA3D8ECE}"/>
    <cellStyle name="Normal 41" xfId="60" xr:uid="{30ADC31A-396D-4D0A-8200-D1CE84A581CC}"/>
    <cellStyle name="Normal 5" xfId="18" xr:uid="{30F828B6-D23A-418D-B588-E326E66FBF03}"/>
    <cellStyle name="Normal 6" xfId="20" xr:uid="{2A2D6443-3C28-4BA2-9689-049133D1D1F0}"/>
    <cellStyle name="Normal 7" xfId="9" xr:uid="{87BA8DC5-30C6-4283-BC0C-48366A341DC1}"/>
    <cellStyle name="Normal 8" xfId="10" xr:uid="{F2355239-F6DE-4A58-8CE2-FE80D08D738A}"/>
    <cellStyle name="Normal 9" xfId="40" xr:uid="{244C3F2C-24D4-40F3-A1FA-D7106D56F863}"/>
    <cellStyle name="S0" xfId="63" xr:uid="{17428180-0BB9-4073-A85A-E6837772594A}"/>
    <cellStyle name="S1" xfId="64" xr:uid="{3691B42E-1615-45E7-B38A-598FFEBA4111}"/>
    <cellStyle name="S10" xfId="73" xr:uid="{AD2FF9BC-AA36-4F9C-B961-1D841B2849D2}"/>
    <cellStyle name="S11" xfId="74" xr:uid="{F125ABE7-D080-4AA6-8377-E6473AD6C788}"/>
    <cellStyle name="S2" xfId="65" xr:uid="{151D2839-DC77-4481-A716-7FFEBF24C14A}"/>
    <cellStyle name="S3" xfId="66" xr:uid="{675AD244-BF07-4666-8F1D-0DAF9F531F7C}"/>
    <cellStyle name="S4" xfId="67" xr:uid="{9A28C7B7-12EF-4C0F-9305-D466D1A3F872}"/>
    <cellStyle name="S5" xfId="68" xr:uid="{5192666B-676E-464E-A82E-9D09F0E4098E}"/>
    <cellStyle name="S6" xfId="69" xr:uid="{ABDF22B5-74E0-4E74-8A94-447F25758063}"/>
    <cellStyle name="S7" xfId="70" xr:uid="{9A736A51-6711-4EB1-BF71-A7A69D6CC2CA}"/>
    <cellStyle name="S8" xfId="71" xr:uid="{3515C7C1-7D26-4059-AFB8-1586BA2DE86D}"/>
    <cellStyle name="S9" xfId="72" xr:uid="{D65A5879-91B1-48E0-867E-6061F33B6CB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9F3E9-B8C2-41E7-ACE0-4B339989C0E4}">
  <dimension ref="A2:F1139"/>
  <sheetViews>
    <sheetView workbookViewId="0">
      <pane xSplit="3" ySplit="2" topLeftCell="D1128" activePane="bottomRight" state="frozen"/>
      <selection pane="topRight" activeCell="D1" sqref="D1"/>
      <selection pane="bottomLeft" activeCell="A3" sqref="A3"/>
      <selection pane="bottomRight" activeCell="A1118" sqref="A1118:F1139"/>
    </sheetView>
  </sheetViews>
  <sheetFormatPr defaultRowHeight="15" x14ac:dyDescent="0.25"/>
  <cols>
    <col min="1" max="3" width="13.88671875" style="103" customWidth="1"/>
    <col min="4" max="4" width="111.21875" style="103" customWidth="1"/>
    <col min="5" max="6" width="18.88671875" style="314" customWidth="1"/>
    <col min="7" max="16384" width="8.88671875" style="103"/>
  </cols>
  <sheetData>
    <row r="2" spans="1:6" ht="15.6" x14ac:dyDescent="0.25">
      <c r="A2" s="319" t="s">
        <v>0</v>
      </c>
      <c r="B2" s="102" t="s">
        <v>1</v>
      </c>
      <c r="C2" s="109" t="s">
        <v>2</v>
      </c>
      <c r="D2" s="102" t="s">
        <v>3</v>
      </c>
      <c r="E2" s="320" t="s">
        <v>4</v>
      </c>
      <c r="F2" s="179" t="s">
        <v>5</v>
      </c>
    </row>
    <row r="3" spans="1:6" x14ac:dyDescent="0.25">
      <c r="A3" s="315">
        <v>45337</v>
      </c>
      <c r="B3" s="38">
        <v>81</v>
      </c>
      <c r="C3" s="316" t="s">
        <v>2568</v>
      </c>
      <c r="D3" s="45" t="s">
        <v>2569</v>
      </c>
      <c r="E3" s="317"/>
      <c r="F3" s="318">
        <v>84977100</v>
      </c>
    </row>
    <row r="4" spans="1:6" x14ac:dyDescent="0.25">
      <c r="A4" s="230">
        <v>45337</v>
      </c>
      <c r="B4" s="11">
        <v>81</v>
      </c>
      <c r="C4" s="112" t="s">
        <v>2568</v>
      </c>
      <c r="D4" s="17" t="s">
        <v>2570</v>
      </c>
      <c r="E4" s="282"/>
      <c r="F4" s="283">
        <v>394875</v>
      </c>
    </row>
    <row r="5" spans="1:6" x14ac:dyDescent="0.25">
      <c r="A5" s="230">
        <v>45337</v>
      </c>
      <c r="B5" s="11">
        <v>81</v>
      </c>
      <c r="C5" s="112" t="s">
        <v>2568</v>
      </c>
      <c r="D5" s="17" t="s">
        <v>2571</v>
      </c>
      <c r="E5" s="282"/>
      <c r="F5" s="283">
        <v>35000</v>
      </c>
    </row>
    <row r="6" spans="1:6" x14ac:dyDescent="0.25">
      <c r="A6" s="230">
        <v>45345</v>
      </c>
      <c r="B6" s="11">
        <v>99</v>
      </c>
      <c r="C6" s="112" t="s">
        <v>2568</v>
      </c>
      <c r="D6" s="17" t="s">
        <v>2572</v>
      </c>
      <c r="E6" s="282">
        <v>62659829</v>
      </c>
      <c r="F6" s="283"/>
    </row>
    <row r="7" spans="1:6" x14ac:dyDescent="0.25">
      <c r="A7" s="230">
        <v>45345</v>
      </c>
      <c r="B7" s="11">
        <v>99</v>
      </c>
      <c r="C7" s="112" t="s">
        <v>2568</v>
      </c>
      <c r="D7" s="17" t="s">
        <v>2573</v>
      </c>
      <c r="E7" s="282"/>
      <c r="F7" s="283">
        <v>3291799</v>
      </c>
    </row>
    <row r="8" spans="1:6" x14ac:dyDescent="0.25">
      <c r="A8" s="230">
        <v>45345</v>
      </c>
      <c r="B8" s="11">
        <v>99</v>
      </c>
      <c r="C8" s="112" t="s">
        <v>2568</v>
      </c>
      <c r="D8" s="17" t="s">
        <v>2574</v>
      </c>
      <c r="E8" s="282"/>
      <c r="F8" s="283">
        <v>659000</v>
      </c>
    </row>
    <row r="9" spans="1:6" x14ac:dyDescent="0.25">
      <c r="A9" s="230">
        <v>45345</v>
      </c>
      <c r="B9" s="11">
        <v>99</v>
      </c>
      <c r="C9" s="112" t="s">
        <v>2568</v>
      </c>
      <c r="D9" s="17" t="s">
        <v>2575</v>
      </c>
      <c r="E9" s="282"/>
      <c r="F9" s="283">
        <v>5703090</v>
      </c>
    </row>
    <row r="10" spans="1:6" x14ac:dyDescent="0.25">
      <c r="A10" s="230">
        <v>45345</v>
      </c>
      <c r="B10" s="11">
        <v>99</v>
      </c>
      <c r="C10" s="112" t="s">
        <v>2568</v>
      </c>
      <c r="D10" s="17" t="s">
        <v>2576</v>
      </c>
      <c r="E10" s="282"/>
      <c r="F10" s="283">
        <v>3600000</v>
      </c>
    </row>
    <row r="11" spans="1:6" x14ac:dyDescent="0.25">
      <c r="A11" s="230">
        <v>45345</v>
      </c>
      <c r="B11" s="11">
        <v>99</v>
      </c>
      <c r="C11" s="112" t="s">
        <v>2568</v>
      </c>
      <c r="D11" s="17" t="s">
        <v>2577</v>
      </c>
      <c r="E11" s="282"/>
      <c r="F11" s="283">
        <v>1281940</v>
      </c>
    </row>
    <row r="12" spans="1:6" x14ac:dyDescent="0.25">
      <c r="A12" s="230">
        <v>45345</v>
      </c>
      <c r="B12" s="11">
        <v>99</v>
      </c>
      <c r="C12" s="112" t="s">
        <v>2568</v>
      </c>
      <c r="D12" s="17" t="s">
        <v>2578</v>
      </c>
      <c r="E12" s="282"/>
      <c r="F12" s="283">
        <v>1758500</v>
      </c>
    </row>
    <row r="13" spans="1:6" x14ac:dyDescent="0.25">
      <c r="A13" s="230">
        <v>45345</v>
      </c>
      <c r="B13" s="11">
        <v>99</v>
      </c>
      <c r="C13" s="112" t="s">
        <v>2568</v>
      </c>
      <c r="D13" s="17" t="s">
        <v>2579</v>
      </c>
      <c r="E13" s="282"/>
      <c r="F13" s="283">
        <v>862500</v>
      </c>
    </row>
    <row r="14" spans="1:6" x14ac:dyDescent="0.25">
      <c r="A14" s="230">
        <v>45345</v>
      </c>
      <c r="B14" s="11">
        <v>99</v>
      </c>
      <c r="C14" s="112" t="s">
        <v>2568</v>
      </c>
      <c r="D14" s="17" t="s">
        <v>2580</v>
      </c>
      <c r="E14" s="282"/>
      <c r="F14" s="283">
        <v>503000</v>
      </c>
    </row>
    <row r="15" spans="1:6" ht="15.6" x14ac:dyDescent="0.25">
      <c r="A15" s="230">
        <v>45345</v>
      </c>
      <c r="B15" s="11">
        <v>99</v>
      </c>
      <c r="C15" s="112" t="s">
        <v>2568</v>
      </c>
      <c r="D15" s="17" t="s">
        <v>2581</v>
      </c>
      <c r="E15" s="282"/>
      <c r="F15" s="283">
        <v>45000000</v>
      </c>
    </row>
    <row r="16" spans="1:6" x14ac:dyDescent="0.25">
      <c r="A16" s="230">
        <v>45355</v>
      </c>
      <c r="B16" s="11">
        <v>111</v>
      </c>
      <c r="C16" s="112" t="s">
        <v>2568</v>
      </c>
      <c r="D16" s="17" t="s">
        <v>2582</v>
      </c>
      <c r="E16" s="284"/>
      <c r="F16" s="283">
        <v>4332000</v>
      </c>
    </row>
    <row r="17" spans="1:6" x14ac:dyDescent="0.25">
      <c r="A17" s="230">
        <v>45355</v>
      </c>
      <c r="B17" s="11">
        <v>111</v>
      </c>
      <c r="C17" s="112" t="s">
        <v>2568</v>
      </c>
      <c r="D17" s="17" t="s">
        <v>2583</v>
      </c>
      <c r="E17" s="284"/>
      <c r="F17" s="283">
        <v>10007000</v>
      </c>
    </row>
    <row r="18" spans="1:6" x14ac:dyDescent="0.25">
      <c r="A18" s="230">
        <v>45355</v>
      </c>
      <c r="B18" s="11">
        <v>111</v>
      </c>
      <c r="C18" s="112" t="s">
        <v>2568</v>
      </c>
      <c r="D18" s="17" t="s">
        <v>2584</v>
      </c>
      <c r="E18" s="284"/>
      <c r="F18" s="283">
        <v>2275000</v>
      </c>
    </row>
    <row r="19" spans="1:6" x14ac:dyDescent="0.25">
      <c r="A19" s="230">
        <v>45379</v>
      </c>
      <c r="B19" s="11">
        <v>146</v>
      </c>
      <c r="C19" s="112" t="s">
        <v>2568</v>
      </c>
      <c r="D19" s="17" t="s">
        <v>2585</v>
      </c>
      <c r="E19" s="284"/>
      <c r="F19" s="283">
        <v>9930000</v>
      </c>
    </row>
    <row r="20" spans="1:6" x14ac:dyDescent="0.25">
      <c r="A20" s="230">
        <v>45379</v>
      </c>
      <c r="B20" s="11">
        <v>146</v>
      </c>
      <c r="C20" s="112" t="s">
        <v>2568</v>
      </c>
      <c r="D20" s="17" t="s">
        <v>2586</v>
      </c>
      <c r="E20" s="284"/>
      <c r="F20" s="283">
        <v>5139000</v>
      </c>
    </row>
    <row r="21" spans="1:6" x14ac:dyDescent="0.25">
      <c r="A21" s="230">
        <v>45408</v>
      </c>
      <c r="B21" s="11">
        <v>180</v>
      </c>
      <c r="C21" s="112" t="s">
        <v>2568</v>
      </c>
      <c r="D21" s="17" t="s">
        <v>2587</v>
      </c>
      <c r="E21" s="282"/>
      <c r="F21" s="283">
        <v>4905000</v>
      </c>
    </row>
    <row r="22" spans="1:6" x14ac:dyDescent="0.25">
      <c r="A22" s="230">
        <v>45408</v>
      </c>
      <c r="B22" s="11">
        <v>180</v>
      </c>
      <c r="C22" s="112" t="s">
        <v>2568</v>
      </c>
      <c r="D22" s="17" t="s">
        <v>2588</v>
      </c>
      <c r="E22" s="282"/>
      <c r="F22" s="283">
        <v>2040000</v>
      </c>
    </row>
    <row r="23" spans="1:6" x14ac:dyDescent="0.25">
      <c r="A23" s="230">
        <v>45419</v>
      </c>
      <c r="B23" s="11">
        <v>194</v>
      </c>
      <c r="C23" s="112" t="s">
        <v>2568</v>
      </c>
      <c r="D23" s="12" t="s">
        <v>2589</v>
      </c>
      <c r="E23" s="284"/>
      <c r="F23" s="285">
        <v>5700000</v>
      </c>
    </row>
    <row r="24" spans="1:6" x14ac:dyDescent="0.25">
      <c r="A24" s="230">
        <v>45419</v>
      </c>
      <c r="B24" s="11">
        <v>194</v>
      </c>
      <c r="C24" s="112" t="s">
        <v>2568</v>
      </c>
      <c r="D24" s="159" t="s">
        <v>2590</v>
      </c>
      <c r="E24" s="284"/>
      <c r="F24" s="285">
        <v>2500</v>
      </c>
    </row>
    <row r="25" spans="1:6" x14ac:dyDescent="0.25">
      <c r="A25" s="230">
        <v>45419</v>
      </c>
      <c r="B25" s="11">
        <v>194</v>
      </c>
      <c r="C25" s="112" t="s">
        <v>2568</v>
      </c>
      <c r="D25" s="12" t="s">
        <v>2591</v>
      </c>
      <c r="E25" s="284"/>
      <c r="F25" s="285">
        <v>1034950</v>
      </c>
    </row>
    <row r="26" spans="1:6" x14ac:dyDescent="0.25">
      <c r="A26" s="230">
        <v>45419</v>
      </c>
      <c r="B26" s="11">
        <v>194</v>
      </c>
      <c r="C26" s="112" t="s">
        <v>2568</v>
      </c>
      <c r="D26" s="159" t="s">
        <v>2592</v>
      </c>
      <c r="E26" s="284"/>
      <c r="F26" s="285">
        <v>18746300</v>
      </c>
    </row>
    <row r="27" spans="1:6" x14ac:dyDescent="0.25">
      <c r="A27" s="230">
        <v>45419</v>
      </c>
      <c r="B27" s="11">
        <v>194</v>
      </c>
      <c r="C27" s="112" t="s">
        <v>2568</v>
      </c>
      <c r="D27" s="159" t="s">
        <v>2593</v>
      </c>
      <c r="E27" s="284"/>
      <c r="F27" s="285">
        <v>1677640</v>
      </c>
    </row>
    <row r="28" spans="1:6" x14ac:dyDescent="0.25">
      <c r="A28" s="230">
        <v>45419</v>
      </c>
      <c r="B28" s="11">
        <v>194</v>
      </c>
      <c r="C28" s="112" t="s">
        <v>2568</v>
      </c>
      <c r="D28" s="159" t="s">
        <v>2594</v>
      </c>
      <c r="E28" s="284"/>
      <c r="F28" s="285">
        <v>225000</v>
      </c>
    </row>
    <row r="29" spans="1:6" x14ac:dyDescent="0.25">
      <c r="A29" s="230">
        <v>45419</v>
      </c>
      <c r="B29" s="11">
        <v>194</v>
      </c>
      <c r="C29" s="112" t="s">
        <v>2568</v>
      </c>
      <c r="D29" s="159" t="s">
        <v>2595</v>
      </c>
      <c r="E29" s="284"/>
      <c r="F29" s="285">
        <v>60000</v>
      </c>
    </row>
    <row r="30" spans="1:6" x14ac:dyDescent="0.25">
      <c r="A30" s="230">
        <v>45419</v>
      </c>
      <c r="B30" s="11">
        <v>194</v>
      </c>
      <c r="C30" s="112" t="s">
        <v>2568</v>
      </c>
      <c r="D30" s="159" t="s">
        <v>2596</v>
      </c>
      <c r="E30" s="284"/>
      <c r="F30" s="285">
        <v>900000</v>
      </c>
    </row>
    <row r="31" spans="1:6" x14ac:dyDescent="0.25">
      <c r="A31" s="230">
        <v>45419</v>
      </c>
      <c r="B31" s="11">
        <v>194</v>
      </c>
      <c r="C31" s="112" t="s">
        <v>2568</v>
      </c>
      <c r="D31" s="159" t="s">
        <v>2597</v>
      </c>
      <c r="E31" s="284"/>
      <c r="F31" s="285">
        <v>50000</v>
      </c>
    </row>
    <row r="32" spans="1:6" x14ac:dyDescent="0.25">
      <c r="A32" s="230">
        <v>45419</v>
      </c>
      <c r="B32" s="11">
        <v>194</v>
      </c>
      <c r="C32" s="112" t="s">
        <v>2568</v>
      </c>
      <c r="D32" s="159" t="s">
        <v>2598</v>
      </c>
      <c r="E32" s="284"/>
      <c r="F32" s="285">
        <v>200000</v>
      </c>
    </row>
    <row r="33" spans="1:6" x14ac:dyDescent="0.25">
      <c r="A33" s="230">
        <v>45419</v>
      </c>
      <c r="B33" s="11">
        <v>194</v>
      </c>
      <c r="C33" s="112" t="s">
        <v>2568</v>
      </c>
      <c r="D33" s="159" t="s">
        <v>2599</v>
      </c>
      <c r="E33" s="284"/>
      <c r="F33" s="285">
        <v>300000</v>
      </c>
    </row>
    <row r="34" spans="1:6" x14ac:dyDescent="0.25">
      <c r="A34" s="230">
        <v>45419</v>
      </c>
      <c r="B34" s="11">
        <v>194</v>
      </c>
      <c r="C34" s="112" t="s">
        <v>2568</v>
      </c>
      <c r="D34" s="159" t="s">
        <v>2600</v>
      </c>
      <c r="E34" s="284"/>
      <c r="F34" s="285">
        <v>2444000</v>
      </c>
    </row>
    <row r="35" spans="1:6" x14ac:dyDescent="0.25">
      <c r="A35" s="230">
        <v>45419</v>
      </c>
      <c r="B35" s="11">
        <v>194</v>
      </c>
      <c r="C35" s="112" t="s">
        <v>2568</v>
      </c>
      <c r="D35" s="159" t="s">
        <v>2601</v>
      </c>
      <c r="E35" s="284"/>
      <c r="F35" s="285">
        <v>950000</v>
      </c>
    </row>
    <row r="36" spans="1:6" x14ac:dyDescent="0.25">
      <c r="A36" s="230">
        <v>45419</v>
      </c>
      <c r="B36" s="11">
        <v>194</v>
      </c>
      <c r="C36" s="112" t="s">
        <v>2568</v>
      </c>
      <c r="D36" s="159" t="s">
        <v>2602</v>
      </c>
      <c r="E36" s="284"/>
      <c r="F36" s="285">
        <v>200000</v>
      </c>
    </row>
    <row r="37" spans="1:6" x14ac:dyDescent="0.25">
      <c r="A37" s="230">
        <v>45419</v>
      </c>
      <c r="B37" s="11">
        <v>194</v>
      </c>
      <c r="C37" s="112" t="s">
        <v>2568</v>
      </c>
      <c r="D37" s="159" t="s">
        <v>2603</v>
      </c>
      <c r="E37" s="284"/>
      <c r="F37" s="285">
        <v>4000000</v>
      </c>
    </row>
    <row r="38" spans="1:6" x14ac:dyDescent="0.25">
      <c r="A38" s="230">
        <v>45419</v>
      </c>
      <c r="B38" s="11">
        <v>194</v>
      </c>
      <c r="C38" s="112" t="s">
        <v>2568</v>
      </c>
      <c r="D38" s="12" t="s">
        <v>2604</v>
      </c>
      <c r="E38" s="284"/>
      <c r="F38" s="285">
        <v>241600</v>
      </c>
    </row>
    <row r="39" spans="1:6" x14ac:dyDescent="0.25">
      <c r="A39" s="230">
        <v>45419</v>
      </c>
      <c r="B39" s="11">
        <v>194</v>
      </c>
      <c r="C39" s="112" t="s">
        <v>2568</v>
      </c>
      <c r="D39" s="12" t="s">
        <v>2605</v>
      </c>
      <c r="E39" s="284"/>
      <c r="F39" s="285">
        <v>95949</v>
      </c>
    </row>
    <row r="40" spans="1:6" x14ac:dyDescent="0.25">
      <c r="A40" s="230">
        <v>45419</v>
      </c>
      <c r="B40" s="11">
        <v>194</v>
      </c>
      <c r="C40" s="112" t="s">
        <v>2568</v>
      </c>
      <c r="D40" s="12" t="s">
        <v>2606</v>
      </c>
      <c r="E40" s="284"/>
      <c r="F40" s="285">
        <v>1000000</v>
      </c>
    </row>
    <row r="41" spans="1:6" x14ac:dyDescent="0.25">
      <c r="A41" s="230">
        <v>45419</v>
      </c>
      <c r="B41" s="11">
        <v>194</v>
      </c>
      <c r="C41" s="112" t="s">
        <v>2568</v>
      </c>
      <c r="D41" s="12" t="s">
        <v>2607</v>
      </c>
      <c r="E41" s="284"/>
      <c r="F41" s="285">
        <v>1000000</v>
      </c>
    </row>
    <row r="42" spans="1:6" x14ac:dyDescent="0.25">
      <c r="A42" s="230">
        <v>45419</v>
      </c>
      <c r="B42" s="11">
        <v>194</v>
      </c>
      <c r="C42" s="112" t="s">
        <v>2568</v>
      </c>
      <c r="D42" s="12" t="s">
        <v>2608</v>
      </c>
      <c r="E42" s="284"/>
      <c r="F42" s="285">
        <v>750000</v>
      </c>
    </row>
    <row r="43" spans="1:6" x14ac:dyDescent="0.25">
      <c r="A43" s="230">
        <v>45419</v>
      </c>
      <c r="B43" s="11">
        <v>194</v>
      </c>
      <c r="C43" s="112" t="s">
        <v>2568</v>
      </c>
      <c r="D43" s="12" t="s">
        <v>2609</v>
      </c>
      <c r="E43" s="284"/>
      <c r="F43" s="285">
        <v>100000</v>
      </c>
    </row>
    <row r="44" spans="1:6" x14ac:dyDescent="0.25">
      <c r="A44" s="230">
        <v>45419</v>
      </c>
      <c r="B44" s="11">
        <v>194</v>
      </c>
      <c r="C44" s="112" t="s">
        <v>2568</v>
      </c>
      <c r="D44" s="12" t="s">
        <v>2610</v>
      </c>
      <c r="E44" s="284"/>
      <c r="F44" s="285">
        <v>5425000</v>
      </c>
    </row>
    <row r="45" spans="1:6" x14ac:dyDescent="0.25">
      <c r="A45" s="230">
        <v>45419</v>
      </c>
      <c r="B45" s="11">
        <v>194</v>
      </c>
      <c r="C45" s="112" t="s">
        <v>2568</v>
      </c>
      <c r="D45" s="12" t="s">
        <v>2611</v>
      </c>
      <c r="E45" s="284"/>
      <c r="F45" s="285">
        <v>180000</v>
      </c>
    </row>
    <row r="46" spans="1:6" x14ac:dyDescent="0.25">
      <c r="A46" s="230">
        <v>45419</v>
      </c>
      <c r="B46" s="11">
        <v>194</v>
      </c>
      <c r="C46" s="112" t="s">
        <v>2568</v>
      </c>
      <c r="D46" s="12" t="s">
        <v>2612</v>
      </c>
      <c r="E46" s="284"/>
      <c r="F46" s="285">
        <v>74000</v>
      </c>
    </row>
    <row r="47" spans="1:6" x14ac:dyDescent="0.25">
      <c r="A47" s="230">
        <v>45419</v>
      </c>
      <c r="B47" s="11">
        <v>194</v>
      </c>
      <c r="C47" s="112" t="s">
        <v>2568</v>
      </c>
      <c r="D47" s="12" t="s">
        <v>2613</v>
      </c>
      <c r="E47" s="284"/>
      <c r="F47" s="285">
        <v>144451</v>
      </c>
    </row>
    <row r="48" spans="1:6" x14ac:dyDescent="0.25">
      <c r="A48" s="230">
        <v>45419</v>
      </c>
      <c r="B48" s="11">
        <v>194</v>
      </c>
      <c r="C48" s="112" t="s">
        <v>2568</v>
      </c>
      <c r="D48" s="12" t="s">
        <v>2614</v>
      </c>
      <c r="E48" s="284"/>
      <c r="F48" s="285">
        <v>1200000</v>
      </c>
    </row>
    <row r="49" spans="1:6" x14ac:dyDescent="0.25">
      <c r="A49" s="230">
        <v>45419</v>
      </c>
      <c r="B49" s="11">
        <v>194</v>
      </c>
      <c r="C49" s="112" t="s">
        <v>2568</v>
      </c>
      <c r="D49" s="12" t="s">
        <v>2615</v>
      </c>
      <c r="E49" s="284"/>
      <c r="F49" s="285">
        <v>2000000</v>
      </c>
    </row>
    <row r="50" spans="1:6" x14ac:dyDescent="0.25">
      <c r="A50" s="230">
        <v>45419</v>
      </c>
      <c r="B50" s="11">
        <v>194</v>
      </c>
      <c r="C50" s="112" t="s">
        <v>2568</v>
      </c>
      <c r="D50" s="12" t="s">
        <v>2590</v>
      </c>
      <c r="E50" s="284"/>
      <c r="F50" s="285">
        <v>2500</v>
      </c>
    </row>
    <row r="51" spans="1:6" x14ac:dyDescent="0.25">
      <c r="A51" s="230">
        <v>45419</v>
      </c>
      <c r="B51" s="11">
        <v>194</v>
      </c>
      <c r="C51" s="112" t="s">
        <v>2568</v>
      </c>
      <c r="D51" s="12" t="s">
        <v>2616</v>
      </c>
      <c r="E51" s="284"/>
      <c r="F51" s="285">
        <v>6000000</v>
      </c>
    </row>
    <row r="52" spans="1:6" x14ac:dyDescent="0.25">
      <c r="A52" s="230">
        <v>45419</v>
      </c>
      <c r="B52" s="11">
        <v>194</v>
      </c>
      <c r="C52" s="112" t="s">
        <v>2568</v>
      </c>
      <c r="D52" s="12" t="s">
        <v>2617</v>
      </c>
      <c r="E52" s="284"/>
      <c r="F52" s="285">
        <v>7300000</v>
      </c>
    </row>
    <row r="53" spans="1:6" x14ac:dyDescent="0.25">
      <c r="A53" s="230">
        <v>45419</v>
      </c>
      <c r="B53" s="11">
        <v>194</v>
      </c>
      <c r="C53" s="112" t="s">
        <v>2568</v>
      </c>
      <c r="D53" s="12" t="s">
        <v>2618</v>
      </c>
      <c r="E53" s="284"/>
      <c r="F53" s="285">
        <v>39000</v>
      </c>
    </row>
    <row r="54" spans="1:6" x14ac:dyDescent="0.25">
      <c r="A54" s="230">
        <v>45419</v>
      </c>
      <c r="B54" s="11">
        <v>195</v>
      </c>
      <c r="C54" s="112" t="s">
        <v>2568</v>
      </c>
      <c r="D54" s="17" t="s">
        <v>2618</v>
      </c>
      <c r="E54" s="284"/>
      <c r="F54" s="283">
        <v>168500</v>
      </c>
    </row>
    <row r="55" spans="1:6" x14ac:dyDescent="0.25">
      <c r="A55" s="230">
        <v>45419</v>
      </c>
      <c r="B55" s="11">
        <v>195</v>
      </c>
      <c r="C55" s="112" t="s">
        <v>2568</v>
      </c>
      <c r="D55" s="17" t="s">
        <v>2619</v>
      </c>
      <c r="E55" s="284"/>
      <c r="F55" s="283">
        <v>711500</v>
      </c>
    </row>
    <row r="56" spans="1:6" x14ac:dyDescent="0.25">
      <c r="A56" s="230">
        <v>45419</v>
      </c>
      <c r="B56" s="11">
        <v>195</v>
      </c>
      <c r="C56" s="112" t="s">
        <v>2568</v>
      </c>
      <c r="D56" s="17" t="s">
        <v>2620</v>
      </c>
      <c r="E56" s="284"/>
      <c r="F56" s="283">
        <v>273880</v>
      </c>
    </row>
    <row r="57" spans="1:6" x14ac:dyDescent="0.25">
      <c r="A57" s="230">
        <v>45419</v>
      </c>
      <c r="B57" s="11">
        <v>195</v>
      </c>
      <c r="C57" s="112" t="s">
        <v>2568</v>
      </c>
      <c r="D57" s="17" t="s">
        <v>2621</v>
      </c>
      <c r="E57" s="284"/>
      <c r="F57" s="283">
        <v>27521400</v>
      </c>
    </row>
    <row r="58" spans="1:6" x14ac:dyDescent="0.25">
      <c r="A58" s="230">
        <v>45419</v>
      </c>
      <c r="B58" s="11">
        <v>195</v>
      </c>
      <c r="C58" s="112" t="s">
        <v>2568</v>
      </c>
      <c r="D58" s="17" t="s">
        <v>2622</v>
      </c>
      <c r="E58" s="284"/>
      <c r="F58" s="283">
        <v>2543480</v>
      </c>
    </row>
    <row r="59" spans="1:6" x14ac:dyDescent="0.25">
      <c r="A59" s="230">
        <v>45419</v>
      </c>
      <c r="B59" s="11">
        <v>195</v>
      </c>
      <c r="C59" s="112" t="s">
        <v>2568</v>
      </c>
      <c r="D59" s="17" t="s">
        <v>2623</v>
      </c>
      <c r="E59" s="284"/>
      <c r="F59" s="283">
        <v>2343743</v>
      </c>
    </row>
    <row r="60" spans="1:6" x14ac:dyDescent="0.25">
      <c r="A60" s="230">
        <v>45419</v>
      </c>
      <c r="B60" s="11">
        <v>195</v>
      </c>
      <c r="C60" s="112" t="s">
        <v>2568</v>
      </c>
      <c r="D60" s="17" t="s">
        <v>2624</v>
      </c>
      <c r="E60" s="282"/>
      <c r="F60" s="283">
        <v>1000000</v>
      </c>
    </row>
    <row r="61" spans="1:6" x14ac:dyDescent="0.25">
      <c r="A61" s="230">
        <v>45419</v>
      </c>
      <c r="B61" s="11">
        <v>195</v>
      </c>
      <c r="C61" s="112" t="s">
        <v>2568</v>
      </c>
      <c r="D61" s="17" t="s">
        <v>2625</v>
      </c>
      <c r="E61" s="282"/>
      <c r="F61" s="283">
        <v>1560000</v>
      </c>
    </row>
    <row r="62" spans="1:6" x14ac:dyDescent="0.25">
      <c r="A62" s="230">
        <v>45419</v>
      </c>
      <c r="B62" s="11">
        <v>195</v>
      </c>
      <c r="C62" s="112" t="s">
        <v>2568</v>
      </c>
      <c r="D62" s="17" t="s">
        <v>2626</v>
      </c>
      <c r="E62" s="282"/>
      <c r="F62" s="283">
        <v>800000</v>
      </c>
    </row>
    <row r="63" spans="1:6" x14ac:dyDescent="0.25">
      <c r="A63" s="230">
        <v>45419</v>
      </c>
      <c r="B63" s="11">
        <v>195</v>
      </c>
      <c r="C63" s="112" t="s">
        <v>2568</v>
      </c>
      <c r="D63" s="17" t="s">
        <v>2627</v>
      </c>
      <c r="E63" s="282"/>
      <c r="F63" s="283">
        <v>3336300</v>
      </c>
    </row>
    <row r="64" spans="1:6" x14ac:dyDescent="0.25">
      <c r="A64" s="230">
        <v>45419</v>
      </c>
      <c r="B64" s="11">
        <v>195</v>
      </c>
      <c r="C64" s="112" t="s">
        <v>2568</v>
      </c>
      <c r="D64" s="17" t="s">
        <v>2628</v>
      </c>
      <c r="E64" s="282"/>
      <c r="F64" s="283">
        <v>200000</v>
      </c>
    </row>
    <row r="65" spans="1:6" x14ac:dyDescent="0.25">
      <c r="A65" s="230">
        <v>45419</v>
      </c>
      <c r="B65" s="11">
        <v>195</v>
      </c>
      <c r="C65" s="112" t="s">
        <v>2568</v>
      </c>
      <c r="D65" s="17" t="s">
        <v>2629</v>
      </c>
      <c r="E65" s="282"/>
      <c r="F65" s="283">
        <v>194647</v>
      </c>
    </row>
    <row r="66" spans="1:6" x14ac:dyDescent="0.25">
      <c r="A66" s="230">
        <v>45419</v>
      </c>
      <c r="B66" s="11">
        <v>195</v>
      </c>
      <c r="C66" s="112" t="s">
        <v>2568</v>
      </c>
      <c r="D66" s="17" t="s">
        <v>2630</v>
      </c>
      <c r="E66" s="282"/>
      <c r="F66" s="283">
        <v>195000</v>
      </c>
    </row>
    <row r="67" spans="1:6" x14ac:dyDescent="0.25">
      <c r="A67" s="230">
        <v>45419</v>
      </c>
      <c r="B67" s="11">
        <v>195</v>
      </c>
      <c r="C67" s="112" t="s">
        <v>2568</v>
      </c>
      <c r="D67" s="17" t="s">
        <v>2631</v>
      </c>
      <c r="E67" s="282"/>
      <c r="F67" s="283">
        <v>640000</v>
      </c>
    </row>
    <row r="68" spans="1:6" x14ac:dyDescent="0.25">
      <c r="A68" s="230">
        <v>45419</v>
      </c>
      <c r="B68" s="11">
        <v>195</v>
      </c>
      <c r="C68" s="112" t="s">
        <v>2568</v>
      </c>
      <c r="D68" s="17" t="s">
        <v>2632</v>
      </c>
      <c r="E68" s="282"/>
      <c r="F68" s="283">
        <v>690000</v>
      </c>
    </row>
    <row r="69" spans="1:6" x14ac:dyDescent="0.25">
      <c r="A69" s="230">
        <v>45419</v>
      </c>
      <c r="B69" s="11">
        <v>195</v>
      </c>
      <c r="C69" s="112" t="s">
        <v>2568</v>
      </c>
      <c r="D69" s="17" t="s">
        <v>2633</v>
      </c>
      <c r="E69" s="282"/>
      <c r="F69" s="283">
        <v>8400000</v>
      </c>
    </row>
    <row r="70" spans="1:6" x14ac:dyDescent="0.25">
      <c r="A70" s="230">
        <v>45419</v>
      </c>
      <c r="B70" s="11">
        <v>195</v>
      </c>
      <c r="C70" s="112" t="s">
        <v>2568</v>
      </c>
      <c r="D70" s="17" t="s">
        <v>2634</v>
      </c>
      <c r="E70" s="282"/>
      <c r="F70" s="283">
        <v>2100000</v>
      </c>
    </row>
    <row r="71" spans="1:6" x14ac:dyDescent="0.25">
      <c r="A71" s="230">
        <v>45419</v>
      </c>
      <c r="B71" s="11">
        <v>195</v>
      </c>
      <c r="C71" s="112" t="s">
        <v>2568</v>
      </c>
      <c r="D71" s="17" t="s">
        <v>2635</v>
      </c>
      <c r="E71" s="282"/>
      <c r="F71" s="283">
        <v>2100000</v>
      </c>
    </row>
    <row r="72" spans="1:6" x14ac:dyDescent="0.25">
      <c r="A72" s="230">
        <v>45419</v>
      </c>
      <c r="B72" s="11">
        <v>195</v>
      </c>
      <c r="C72" s="112" t="s">
        <v>2568</v>
      </c>
      <c r="D72" s="17" t="s">
        <v>2636</v>
      </c>
      <c r="E72" s="282"/>
      <c r="F72" s="283">
        <v>7350000</v>
      </c>
    </row>
    <row r="73" spans="1:6" x14ac:dyDescent="0.25">
      <c r="A73" s="230">
        <v>45419</v>
      </c>
      <c r="B73" s="11">
        <v>195</v>
      </c>
      <c r="C73" s="112" t="s">
        <v>2568</v>
      </c>
      <c r="D73" s="17" t="s">
        <v>2637</v>
      </c>
      <c r="E73" s="284"/>
      <c r="F73" s="283">
        <v>2450000</v>
      </c>
    </row>
    <row r="74" spans="1:6" x14ac:dyDescent="0.25">
      <c r="A74" s="230">
        <v>45419</v>
      </c>
      <c r="B74" s="11">
        <v>195</v>
      </c>
      <c r="C74" s="112" t="s">
        <v>2568</v>
      </c>
      <c r="D74" s="17" t="s">
        <v>2638</v>
      </c>
      <c r="E74" s="284"/>
      <c r="F74" s="283">
        <v>4900000</v>
      </c>
    </row>
    <row r="75" spans="1:6" x14ac:dyDescent="0.25">
      <c r="A75" s="230">
        <v>45419</v>
      </c>
      <c r="B75" s="11">
        <v>195</v>
      </c>
      <c r="C75" s="112" t="s">
        <v>2568</v>
      </c>
      <c r="D75" s="17" t="s">
        <v>2639</v>
      </c>
      <c r="E75" s="284"/>
      <c r="F75" s="283">
        <v>6300000</v>
      </c>
    </row>
    <row r="76" spans="1:6" x14ac:dyDescent="0.25">
      <c r="A76" s="230">
        <v>45419</v>
      </c>
      <c r="B76" s="11">
        <v>195</v>
      </c>
      <c r="C76" s="112" t="s">
        <v>2568</v>
      </c>
      <c r="D76" s="17" t="s">
        <v>2640</v>
      </c>
      <c r="E76" s="284"/>
      <c r="F76" s="283">
        <v>6300000</v>
      </c>
    </row>
    <row r="77" spans="1:6" x14ac:dyDescent="0.25">
      <c r="A77" s="230">
        <v>45419</v>
      </c>
      <c r="B77" s="11">
        <v>195</v>
      </c>
      <c r="C77" s="112" t="s">
        <v>2568</v>
      </c>
      <c r="D77" s="17" t="s">
        <v>2641</v>
      </c>
      <c r="E77" s="284"/>
      <c r="F77" s="283">
        <v>4000000</v>
      </c>
    </row>
    <row r="78" spans="1:6" x14ac:dyDescent="0.25">
      <c r="A78" s="230">
        <v>45419</v>
      </c>
      <c r="B78" s="11">
        <v>195</v>
      </c>
      <c r="C78" s="112" t="s">
        <v>2568</v>
      </c>
      <c r="D78" s="17" t="s">
        <v>2642</v>
      </c>
      <c r="E78" s="284"/>
      <c r="F78" s="283">
        <v>250000</v>
      </c>
    </row>
    <row r="79" spans="1:6" x14ac:dyDescent="0.25">
      <c r="A79" s="270">
        <v>45425</v>
      </c>
      <c r="B79" s="106" t="s">
        <v>2643</v>
      </c>
      <c r="C79" s="111" t="s">
        <v>2568</v>
      </c>
      <c r="D79" s="65" t="s">
        <v>2644</v>
      </c>
      <c r="E79" s="286"/>
      <c r="F79" s="287">
        <v>46000000</v>
      </c>
    </row>
    <row r="80" spans="1:6" x14ac:dyDescent="0.25">
      <c r="A80" s="270">
        <v>45425</v>
      </c>
      <c r="B80" s="106" t="s">
        <v>2643</v>
      </c>
      <c r="C80" s="111" t="s">
        <v>2568</v>
      </c>
      <c r="D80" s="65" t="s">
        <v>2645</v>
      </c>
      <c r="E80" s="286"/>
      <c r="F80" s="287">
        <v>4622000</v>
      </c>
    </row>
    <row r="81" spans="1:6" x14ac:dyDescent="0.25">
      <c r="A81" s="270">
        <v>45425</v>
      </c>
      <c r="B81" s="106" t="s">
        <v>2643</v>
      </c>
      <c r="C81" s="111" t="s">
        <v>2568</v>
      </c>
      <c r="D81" s="65" t="s">
        <v>2646</v>
      </c>
      <c r="E81" s="286"/>
      <c r="F81" s="287">
        <v>16542000</v>
      </c>
    </row>
    <row r="82" spans="1:6" x14ac:dyDescent="0.25">
      <c r="A82" s="270">
        <v>45425</v>
      </c>
      <c r="B82" s="106" t="s">
        <v>2643</v>
      </c>
      <c r="C82" s="111" t="s">
        <v>2568</v>
      </c>
      <c r="D82" s="65" t="s">
        <v>2647</v>
      </c>
      <c r="E82" s="286"/>
      <c r="F82" s="287">
        <v>16632000</v>
      </c>
    </row>
    <row r="83" spans="1:6" ht="15.6" x14ac:dyDescent="0.25">
      <c r="A83" s="270">
        <v>45425</v>
      </c>
      <c r="B83" s="106" t="s">
        <v>2643</v>
      </c>
      <c r="C83" s="111" t="s">
        <v>2568</v>
      </c>
      <c r="D83" s="65" t="s">
        <v>2648</v>
      </c>
      <c r="E83" s="286"/>
      <c r="F83" s="287">
        <v>942000</v>
      </c>
    </row>
    <row r="84" spans="1:6" ht="15.6" x14ac:dyDescent="0.25">
      <c r="A84" s="270">
        <v>45425</v>
      </c>
      <c r="B84" s="106" t="s">
        <v>2643</v>
      </c>
      <c r="C84" s="111" t="s">
        <v>2568</v>
      </c>
      <c r="D84" s="65" t="s">
        <v>2649</v>
      </c>
      <c r="E84" s="286"/>
      <c r="F84" s="287">
        <v>942000</v>
      </c>
    </row>
    <row r="85" spans="1:6" x14ac:dyDescent="0.25">
      <c r="A85" s="270">
        <v>45425</v>
      </c>
      <c r="B85" s="106" t="s">
        <v>2643</v>
      </c>
      <c r="C85" s="111" t="s">
        <v>2568</v>
      </c>
      <c r="D85" s="65" t="s">
        <v>2650</v>
      </c>
      <c r="E85" s="286"/>
      <c r="F85" s="287">
        <v>5360000</v>
      </c>
    </row>
    <row r="86" spans="1:6" ht="15.6" x14ac:dyDescent="0.25">
      <c r="A86" s="270">
        <v>45425</v>
      </c>
      <c r="B86" s="106" t="s">
        <v>2643</v>
      </c>
      <c r="C86" s="111" t="s">
        <v>2568</v>
      </c>
      <c r="D86" s="65" t="s">
        <v>2651</v>
      </c>
      <c r="E86" s="286"/>
      <c r="F86" s="287">
        <v>3600000</v>
      </c>
    </row>
    <row r="87" spans="1:6" x14ac:dyDescent="0.25">
      <c r="A87" s="270">
        <v>45425</v>
      </c>
      <c r="B87" s="106" t="s">
        <v>2643</v>
      </c>
      <c r="C87" s="111" t="s">
        <v>2568</v>
      </c>
      <c r="D87" s="65" t="s">
        <v>2652</v>
      </c>
      <c r="E87" s="286"/>
      <c r="F87" s="287">
        <v>5360000</v>
      </c>
    </row>
    <row r="88" spans="1:6" x14ac:dyDescent="0.25">
      <c r="A88" s="230">
        <v>45432</v>
      </c>
      <c r="B88" s="11">
        <v>205</v>
      </c>
      <c r="C88" s="112" t="s">
        <v>2568</v>
      </c>
      <c r="D88" s="12" t="s">
        <v>2653</v>
      </c>
      <c r="E88" s="282"/>
      <c r="F88" s="283">
        <v>897000</v>
      </c>
    </row>
    <row r="89" spans="1:6" x14ac:dyDescent="0.25">
      <c r="A89" s="230">
        <v>45432</v>
      </c>
      <c r="B89" s="11">
        <v>205</v>
      </c>
      <c r="C89" s="112" t="s">
        <v>2568</v>
      </c>
      <c r="D89" s="12" t="s">
        <v>2654</v>
      </c>
      <c r="E89" s="284"/>
      <c r="F89" s="283">
        <v>580000</v>
      </c>
    </row>
    <row r="90" spans="1:6" x14ac:dyDescent="0.25">
      <c r="A90" s="230">
        <v>45432</v>
      </c>
      <c r="B90" s="11">
        <v>205</v>
      </c>
      <c r="C90" s="112" t="s">
        <v>2568</v>
      </c>
      <c r="D90" s="12" t="s">
        <v>2655</v>
      </c>
      <c r="E90" s="284"/>
      <c r="F90" s="283">
        <v>282350</v>
      </c>
    </row>
    <row r="91" spans="1:6" x14ac:dyDescent="0.25">
      <c r="A91" s="230">
        <v>45432</v>
      </c>
      <c r="B91" s="11">
        <v>205</v>
      </c>
      <c r="C91" s="112" t="s">
        <v>2568</v>
      </c>
      <c r="D91" s="12" t="s">
        <v>2656</v>
      </c>
      <c r="E91" s="284"/>
      <c r="F91" s="283">
        <v>2094820</v>
      </c>
    </row>
    <row r="92" spans="1:6" x14ac:dyDescent="0.25">
      <c r="A92" s="230">
        <v>45432</v>
      </c>
      <c r="B92" s="11">
        <v>205</v>
      </c>
      <c r="C92" s="112" t="s">
        <v>2568</v>
      </c>
      <c r="D92" s="12" t="s">
        <v>2657</v>
      </c>
      <c r="E92" s="282"/>
      <c r="F92" s="283">
        <v>600000</v>
      </c>
    </row>
    <row r="93" spans="1:6" x14ac:dyDescent="0.25">
      <c r="A93" s="230">
        <v>45432</v>
      </c>
      <c r="B93" s="11">
        <v>205</v>
      </c>
      <c r="C93" s="112" t="s">
        <v>2568</v>
      </c>
      <c r="D93" s="12" t="s">
        <v>2658</v>
      </c>
      <c r="E93" s="282"/>
      <c r="F93" s="283">
        <v>101000</v>
      </c>
    </row>
    <row r="94" spans="1:6" x14ac:dyDescent="0.25">
      <c r="A94" s="230">
        <v>45432</v>
      </c>
      <c r="B94" s="11">
        <v>205</v>
      </c>
      <c r="C94" s="112" t="s">
        <v>2568</v>
      </c>
      <c r="D94" s="12" t="s">
        <v>2659</v>
      </c>
      <c r="E94" s="282"/>
      <c r="F94" s="283">
        <v>86000</v>
      </c>
    </row>
    <row r="95" spans="1:6" x14ac:dyDescent="0.25">
      <c r="A95" s="230">
        <v>45432</v>
      </c>
      <c r="B95" s="11">
        <v>205</v>
      </c>
      <c r="C95" s="112" t="s">
        <v>2568</v>
      </c>
      <c r="D95" s="12" t="s">
        <v>2660</v>
      </c>
      <c r="E95" s="284"/>
      <c r="F95" s="283">
        <v>16480250</v>
      </c>
    </row>
    <row r="96" spans="1:6" x14ac:dyDescent="0.25">
      <c r="A96" s="230">
        <v>45432</v>
      </c>
      <c r="B96" s="11">
        <v>205</v>
      </c>
      <c r="C96" s="112" t="s">
        <v>2568</v>
      </c>
      <c r="D96" s="12" t="s">
        <v>2661</v>
      </c>
      <c r="E96" s="282"/>
      <c r="F96" s="283">
        <v>80000</v>
      </c>
    </row>
    <row r="97" spans="1:6" x14ac:dyDescent="0.25">
      <c r="A97" s="230">
        <v>45432</v>
      </c>
      <c r="B97" s="11">
        <v>205</v>
      </c>
      <c r="C97" s="112" t="s">
        <v>2568</v>
      </c>
      <c r="D97" s="12" t="s">
        <v>2662</v>
      </c>
      <c r="E97" s="282"/>
      <c r="F97" s="283">
        <v>22000</v>
      </c>
    </row>
    <row r="98" spans="1:6" x14ac:dyDescent="0.25">
      <c r="A98" s="230">
        <v>45432</v>
      </c>
      <c r="B98" s="11">
        <v>205</v>
      </c>
      <c r="C98" s="112" t="s">
        <v>2568</v>
      </c>
      <c r="D98" s="12" t="s">
        <v>2663</v>
      </c>
      <c r="E98" s="282"/>
      <c r="F98" s="283">
        <v>144000</v>
      </c>
    </row>
    <row r="99" spans="1:6" x14ac:dyDescent="0.25">
      <c r="A99" s="230">
        <v>45432</v>
      </c>
      <c r="B99" s="11">
        <v>205</v>
      </c>
      <c r="C99" s="112" t="s">
        <v>2568</v>
      </c>
      <c r="D99" s="12" t="s">
        <v>2664</v>
      </c>
      <c r="E99" s="282"/>
      <c r="F99" s="283">
        <v>157000</v>
      </c>
    </row>
    <row r="100" spans="1:6" x14ac:dyDescent="0.25">
      <c r="A100" s="230">
        <v>45432</v>
      </c>
      <c r="B100" s="11">
        <v>205</v>
      </c>
      <c r="C100" s="112" t="s">
        <v>2568</v>
      </c>
      <c r="D100" s="12" t="s">
        <v>2665</v>
      </c>
      <c r="E100" s="282"/>
      <c r="F100" s="283">
        <v>4000000</v>
      </c>
    </row>
    <row r="101" spans="1:6" x14ac:dyDescent="0.25">
      <c r="A101" s="230">
        <v>45432</v>
      </c>
      <c r="B101" s="11">
        <v>205</v>
      </c>
      <c r="C101" s="112" t="s">
        <v>2568</v>
      </c>
      <c r="D101" s="12" t="s">
        <v>2666</v>
      </c>
      <c r="E101" s="282"/>
      <c r="F101" s="283">
        <v>6000000</v>
      </c>
    </row>
    <row r="102" spans="1:6" x14ac:dyDescent="0.25">
      <c r="A102" s="230">
        <v>45432</v>
      </c>
      <c r="B102" s="11">
        <v>205</v>
      </c>
      <c r="C102" s="112" t="s">
        <v>2568</v>
      </c>
      <c r="D102" s="12" t="s">
        <v>2667</v>
      </c>
      <c r="E102" s="282"/>
      <c r="F102" s="283">
        <v>14700000</v>
      </c>
    </row>
    <row r="103" spans="1:6" x14ac:dyDescent="0.25">
      <c r="A103" s="230">
        <v>45432</v>
      </c>
      <c r="B103" s="11">
        <v>205</v>
      </c>
      <c r="C103" s="112" t="s">
        <v>2568</v>
      </c>
      <c r="D103" s="12" t="s">
        <v>2668</v>
      </c>
      <c r="E103" s="282"/>
      <c r="F103" s="283">
        <v>433300</v>
      </c>
    </row>
    <row r="104" spans="1:6" x14ac:dyDescent="0.25">
      <c r="A104" s="230">
        <v>45432</v>
      </c>
      <c r="B104" s="11">
        <v>205</v>
      </c>
      <c r="C104" s="112" t="s">
        <v>2568</v>
      </c>
      <c r="D104" s="12" t="s">
        <v>2669</v>
      </c>
      <c r="E104" s="282"/>
      <c r="F104" s="283">
        <v>600000</v>
      </c>
    </row>
    <row r="105" spans="1:6" x14ac:dyDescent="0.25">
      <c r="A105" s="230">
        <v>45432</v>
      </c>
      <c r="B105" s="11">
        <v>205</v>
      </c>
      <c r="C105" s="112" t="s">
        <v>2568</v>
      </c>
      <c r="D105" s="12" t="s">
        <v>2670</v>
      </c>
      <c r="E105" s="282"/>
      <c r="F105" s="283">
        <v>600000</v>
      </c>
    </row>
    <row r="106" spans="1:6" x14ac:dyDescent="0.25">
      <c r="A106" s="230">
        <v>45456</v>
      </c>
      <c r="B106" s="11">
        <v>221</v>
      </c>
      <c r="C106" s="112" t="s">
        <v>2568</v>
      </c>
      <c r="D106" s="17" t="s">
        <v>2671</v>
      </c>
      <c r="E106" s="282"/>
      <c r="F106" s="283">
        <v>20170000</v>
      </c>
    </row>
    <row r="107" spans="1:6" x14ac:dyDescent="0.25">
      <c r="A107" s="230">
        <v>45490</v>
      </c>
      <c r="B107" s="11">
        <v>244</v>
      </c>
      <c r="C107" s="112" t="s">
        <v>2568</v>
      </c>
      <c r="D107" s="161" t="s">
        <v>2672</v>
      </c>
      <c r="E107" s="282"/>
      <c r="F107" s="283">
        <v>146800</v>
      </c>
    </row>
    <row r="108" spans="1:6" x14ac:dyDescent="0.25">
      <c r="A108" s="230">
        <v>45490</v>
      </c>
      <c r="B108" s="11">
        <v>244</v>
      </c>
      <c r="C108" s="112" t="s">
        <v>2568</v>
      </c>
      <c r="D108" s="161" t="s">
        <v>2673</v>
      </c>
      <c r="E108" s="282"/>
      <c r="F108" s="283">
        <v>4178500</v>
      </c>
    </row>
    <row r="109" spans="1:6" x14ac:dyDescent="0.25">
      <c r="A109" s="230">
        <v>45490</v>
      </c>
      <c r="B109" s="11">
        <v>244</v>
      </c>
      <c r="C109" s="112" t="s">
        <v>2568</v>
      </c>
      <c r="D109" s="162" t="s">
        <v>2674</v>
      </c>
      <c r="E109" s="282"/>
      <c r="F109" s="283">
        <v>29900</v>
      </c>
    </row>
    <row r="110" spans="1:6" x14ac:dyDescent="0.25">
      <c r="A110" s="230">
        <v>45490</v>
      </c>
      <c r="B110" s="11">
        <v>244</v>
      </c>
      <c r="C110" s="112" t="s">
        <v>2568</v>
      </c>
      <c r="D110" s="162" t="s">
        <v>2675</v>
      </c>
      <c r="E110" s="282"/>
      <c r="F110" s="283">
        <v>65000</v>
      </c>
    </row>
    <row r="111" spans="1:6" x14ac:dyDescent="0.25">
      <c r="A111" s="230">
        <v>45490</v>
      </c>
      <c r="B111" s="11">
        <v>244</v>
      </c>
      <c r="C111" s="112" t="s">
        <v>2568</v>
      </c>
      <c r="D111" s="162" t="s">
        <v>2676</v>
      </c>
      <c r="E111" s="282"/>
      <c r="F111" s="283">
        <v>799720</v>
      </c>
    </row>
    <row r="112" spans="1:6" x14ac:dyDescent="0.25">
      <c r="A112" s="230">
        <v>45490</v>
      </c>
      <c r="B112" s="11">
        <v>244</v>
      </c>
      <c r="C112" s="112" t="s">
        <v>2568</v>
      </c>
      <c r="D112" s="162" t="s">
        <v>2658</v>
      </c>
      <c r="E112" s="282"/>
      <c r="F112" s="283">
        <v>77000</v>
      </c>
    </row>
    <row r="113" spans="1:6" x14ac:dyDescent="0.25">
      <c r="A113" s="230">
        <v>45490</v>
      </c>
      <c r="B113" s="11">
        <v>244</v>
      </c>
      <c r="C113" s="112" t="s">
        <v>2568</v>
      </c>
      <c r="D113" s="162" t="s">
        <v>2677</v>
      </c>
      <c r="E113" s="282"/>
      <c r="F113" s="283">
        <v>900000</v>
      </c>
    </row>
    <row r="114" spans="1:6" x14ac:dyDescent="0.25">
      <c r="A114" s="230">
        <v>45490</v>
      </c>
      <c r="B114" s="11">
        <v>244</v>
      </c>
      <c r="C114" s="112" t="s">
        <v>2568</v>
      </c>
      <c r="D114" s="162" t="s">
        <v>2678</v>
      </c>
      <c r="E114" s="282"/>
      <c r="F114" s="283">
        <v>50000</v>
      </c>
    </row>
    <row r="115" spans="1:6" x14ac:dyDescent="0.25">
      <c r="A115" s="230">
        <v>45490</v>
      </c>
      <c r="B115" s="11">
        <v>244</v>
      </c>
      <c r="C115" s="112" t="s">
        <v>2568</v>
      </c>
      <c r="D115" s="162" t="s">
        <v>2679</v>
      </c>
      <c r="E115" s="282"/>
      <c r="F115" s="283">
        <v>120000</v>
      </c>
    </row>
    <row r="116" spans="1:6" x14ac:dyDescent="0.25">
      <c r="A116" s="230">
        <v>45490</v>
      </c>
      <c r="B116" s="11">
        <v>244</v>
      </c>
      <c r="C116" s="112" t="s">
        <v>2568</v>
      </c>
      <c r="D116" s="162" t="s">
        <v>2680</v>
      </c>
      <c r="E116" s="282"/>
      <c r="F116" s="283">
        <v>300000</v>
      </c>
    </row>
    <row r="117" spans="1:6" x14ac:dyDescent="0.25">
      <c r="A117" s="230">
        <v>45490</v>
      </c>
      <c r="B117" s="11">
        <v>244</v>
      </c>
      <c r="C117" s="112" t="s">
        <v>2568</v>
      </c>
      <c r="D117" s="162" t="s">
        <v>2681</v>
      </c>
      <c r="E117" s="282"/>
      <c r="F117" s="283">
        <v>166347</v>
      </c>
    </row>
    <row r="118" spans="1:6" x14ac:dyDescent="0.25">
      <c r="A118" s="230">
        <v>45490</v>
      </c>
      <c r="B118" s="11">
        <v>244</v>
      </c>
      <c r="C118" s="112" t="s">
        <v>2568</v>
      </c>
      <c r="D118" s="162" t="s">
        <v>2682</v>
      </c>
      <c r="E118" s="282"/>
      <c r="F118" s="283">
        <v>600000</v>
      </c>
    </row>
    <row r="119" spans="1:6" x14ac:dyDescent="0.25">
      <c r="A119" s="230">
        <v>45490</v>
      </c>
      <c r="B119" s="11">
        <v>244</v>
      </c>
      <c r="C119" s="112" t="s">
        <v>2568</v>
      </c>
      <c r="D119" s="162" t="s">
        <v>2683</v>
      </c>
      <c r="E119" s="282"/>
      <c r="F119" s="283">
        <v>200000</v>
      </c>
    </row>
    <row r="120" spans="1:6" x14ac:dyDescent="0.25">
      <c r="A120" s="230">
        <v>45490</v>
      </c>
      <c r="B120" s="11">
        <v>244</v>
      </c>
      <c r="C120" s="112" t="s">
        <v>2568</v>
      </c>
      <c r="D120" s="162" t="s">
        <v>2684</v>
      </c>
      <c r="E120" s="282"/>
      <c r="F120" s="283">
        <v>2500000</v>
      </c>
    </row>
    <row r="121" spans="1:6" x14ac:dyDescent="0.25">
      <c r="A121" s="230">
        <v>45490</v>
      </c>
      <c r="B121" s="11">
        <v>244</v>
      </c>
      <c r="C121" s="112" t="s">
        <v>2568</v>
      </c>
      <c r="D121" s="162" t="s">
        <v>2685</v>
      </c>
      <c r="E121" s="282"/>
      <c r="F121" s="283">
        <v>4000000</v>
      </c>
    </row>
    <row r="122" spans="1:6" x14ac:dyDescent="0.25">
      <c r="A122" s="230">
        <v>45490</v>
      </c>
      <c r="B122" s="11">
        <v>244</v>
      </c>
      <c r="C122" s="112" t="s">
        <v>2568</v>
      </c>
      <c r="D122" s="162" t="s">
        <v>2686</v>
      </c>
      <c r="E122" s="282"/>
      <c r="F122" s="283">
        <v>5000000</v>
      </c>
    </row>
    <row r="123" spans="1:6" x14ac:dyDescent="0.25">
      <c r="A123" s="230">
        <v>45490</v>
      </c>
      <c r="B123" s="11">
        <v>244</v>
      </c>
      <c r="C123" s="112" t="s">
        <v>2568</v>
      </c>
      <c r="D123" s="162" t="s">
        <v>2687</v>
      </c>
      <c r="E123" s="282"/>
      <c r="F123" s="283">
        <v>2000000</v>
      </c>
    </row>
    <row r="124" spans="1:6" x14ac:dyDescent="0.25">
      <c r="A124" s="230">
        <v>45490</v>
      </c>
      <c r="B124" s="11">
        <v>244</v>
      </c>
      <c r="C124" s="112" t="s">
        <v>2568</v>
      </c>
      <c r="D124" s="162" t="s">
        <v>2688</v>
      </c>
      <c r="E124" s="282"/>
      <c r="F124" s="283">
        <v>6000000</v>
      </c>
    </row>
    <row r="125" spans="1:6" x14ac:dyDescent="0.25">
      <c r="A125" s="230">
        <v>45490</v>
      </c>
      <c r="B125" s="11">
        <v>244</v>
      </c>
      <c r="C125" s="112" t="s">
        <v>2568</v>
      </c>
      <c r="D125" s="162" t="s">
        <v>2689</v>
      </c>
      <c r="E125" s="282"/>
      <c r="F125" s="283">
        <v>2000000</v>
      </c>
    </row>
    <row r="126" spans="1:6" x14ac:dyDescent="0.25">
      <c r="A126" s="230">
        <v>45490</v>
      </c>
      <c r="B126" s="11">
        <v>244</v>
      </c>
      <c r="C126" s="112" t="s">
        <v>2568</v>
      </c>
      <c r="D126" s="162" t="s">
        <v>2690</v>
      </c>
      <c r="E126" s="282"/>
      <c r="F126" s="283">
        <v>2660000</v>
      </c>
    </row>
    <row r="127" spans="1:6" x14ac:dyDescent="0.25">
      <c r="A127" s="230">
        <v>45490</v>
      </c>
      <c r="B127" s="11">
        <v>244</v>
      </c>
      <c r="C127" s="112" t="s">
        <v>2568</v>
      </c>
      <c r="D127" s="162" t="s">
        <v>2691</v>
      </c>
      <c r="E127" s="282"/>
      <c r="F127" s="283">
        <v>3990000</v>
      </c>
    </row>
    <row r="128" spans="1:6" x14ac:dyDescent="0.25">
      <c r="A128" s="230">
        <v>45490</v>
      </c>
      <c r="B128" s="11">
        <v>244</v>
      </c>
      <c r="C128" s="112" t="s">
        <v>2568</v>
      </c>
      <c r="D128" s="162" t="s">
        <v>2692</v>
      </c>
      <c r="E128" s="282"/>
      <c r="F128" s="283">
        <v>3990000</v>
      </c>
    </row>
    <row r="129" spans="1:6" x14ac:dyDescent="0.25">
      <c r="A129" s="230">
        <v>45490</v>
      </c>
      <c r="B129" s="11">
        <v>245</v>
      </c>
      <c r="C129" s="112" t="s">
        <v>2568</v>
      </c>
      <c r="D129" s="163" t="s">
        <v>2693</v>
      </c>
      <c r="E129" s="282"/>
      <c r="F129" s="283">
        <v>3063514</v>
      </c>
    </row>
    <row r="130" spans="1:6" x14ac:dyDescent="0.25">
      <c r="A130" s="230">
        <v>45490</v>
      </c>
      <c r="B130" s="11">
        <v>245</v>
      </c>
      <c r="C130" s="112" t="s">
        <v>2568</v>
      </c>
      <c r="D130" s="163" t="s">
        <v>2694</v>
      </c>
      <c r="E130" s="282"/>
      <c r="F130" s="283">
        <v>1200000</v>
      </c>
    </row>
    <row r="131" spans="1:6" x14ac:dyDescent="0.25">
      <c r="A131" s="230">
        <v>45490</v>
      </c>
      <c r="B131" s="11">
        <v>245</v>
      </c>
      <c r="C131" s="112" t="s">
        <v>2568</v>
      </c>
      <c r="D131" s="163" t="s">
        <v>2695</v>
      </c>
      <c r="E131" s="282"/>
      <c r="F131" s="283">
        <v>5113000</v>
      </c>
    </row>
    <row r="132" spans="1:6" x14ac:dyDescent="0.25">
      <c r="A132" s="230">
        <v>45490</v>
      </c>
      <c r="B132" s="11">
        <v>245</v>
      </c>
      <c r="C132" s="112" t="s">
        <v>2568</v>
      </c>
      <c r="D132" s="163" t="s">
        <v>2696</v>
      </c>
      <c r="E132" s="282"/>
      <c r="F132" s="283">
        <v>240300</v>
      </c>
    </row>
    <row r="133" spans="1:6" x14ac:dyDescent="0.25">
      <c r="A133" s="230">
        <v>45490</v>
      </c>
      <c r="B133" s="11">
        <v>245</v>
      </c>
      <c r="C133" s="112" t="s">
        <v>2568</v>
      </c>
      <c r="D133" s="163" t="s">
        <v>2697</v>
      </c>
      <c r="E133" s="282"/>
      <c r="F133" s="283">
        <v>1378500</v>
      </c>
    </row>
    <row r="134" spans="1:6" x14ac:dyDescent="0.25">
      <c r="A134" s="230">
        <v>45490</v>
      </c>
      <c r="B134" s="11">
        <v>245</v>
      </c>
      <c r="C134" s="112" t="s">
        <v>2568</v>
      </c>
      <c r="D134" s="163" t="s">
        <v>2698</v>
      </c>
      <c r="E134" s="282"/>
      <c r="F134" s="283">
        <v>120000</v>
      </c>
    </row>
    <row r="135" spans="1:6" x14ac:dyDescent="0.25">
      <c r="A135" s="230">
        <v>45490</v>
      </c>
      <c r="B135" s="11">
        <v>245</v>
      </c>
      <c r="C135" s="112" t="s">
        <v>2568</v>
      </c>
      <c r="D135" s="163" t="s">
        <v>2699</v>
      </c>
      <c r="E135" s="282"/>
      <c r="F135" s="283">
        <v>108000</v>
      </c>
    </row>
    <row r="136" spans="1:6" x14ac:dyDescent="0.25">
      <c r="A136" s="230">
        <v>45490</v>
      </c>
      <c r="B136" s="11">
        <v>245</v>
      </c>
      <c r="C136" s="112" t="s">
        <v>2568</v>
      </c>
      <c r="D136" s="163" t="s">
        <v>2700</v>
      </c>
      <c r="E136" s="282"/>
      <c r="F136" s="283">
        <v>400000</v>
      </c>
    </row>
    <row r="137" spans="1:6" x14ac:dyDescent="0.25">
      <c r="A137" s="230">
        <v>45490</v>
      </c>
      <c r="B137" s="11">
        <v>245</v>
      </c>
      <c r="C137" s="112" t="s">
        <v>2568</v>
      </c>
      <c r="D137" s="163" t="s">
        <v>2701</v>
      </c>
      <c r="E137" s="282"/>
      <c r="F137" s="283">
        <v>44000</v>
      </c>
    </row>
    <row r="138" spans="1:6" x14ac:dyDescent="0.25">
      <c r="A138" s="230">
        <v>45490</v>
      </c>
      <c r="B138" s="11">
        <v>245</v>
      </c>
      <c r="C138" s="112" t="s">
        <v>2568</v>
      </c>
      <c r="D138" s="163" t="s">
        <v>2702</v>
      </c>
      <c r="E138" s="282"/>
      <c r="F138" s="283">
        <v>9700000</v>
      </c>
    </row>
    <row r="139" spans="1:6" x14ac:dyDescent="0.25">
      <c r="A139" s="230">
        <v>45490</v>
      </c>
      <c r="B139" s="11">
        <v>245</v>
      </c>
      <c r="C139" s="112" t="s">
        <v>2568</v>
      </c>
      <c r="D139" s="163" t="s">
        <v>2703</v>
      </c>
      <c r="E139" s="282"/>
      <c r="F139" s="283">
        <v>292500</v>
      </c>
    </row>
    <row r="140" spans="1:6" x14ac:dyDescent="0.25">
      <c r="A140" s="230">
        <v>45490</v>
      </c>
      <c r="B140" s="11">
        <v>245</v>
      </c>
      <c r="C140" s="112" t="s">
        <v>2568</v>
      </c>
      <c r="D140" s="163" t="s">
        <v>2704</v>
      </c>
      <c r="E140" s="284"/>
      <c r="F140" s="288">
        <v>1850000</v>
      </c>
    </row>
    <row r="141" spans="1:6" x14ac:dyDescent="0.25">
      <c r="A141" s="230">
        <v>45490</v>
      </c>
      <c r="B141" s="11">
        <v>245</v>
      </c>
      <c r="C141" s="112" t="s">
        <v>2568</v>
      </c>
      <c r="D141" s="163" t="s">
        <v>2705</v>
      </c>
      <c r="E141" s="284"/>
      <c r="F141" s="288">
        <v>820000</v>
      </c>
    </row>
    <row r="142" spans="1:6" x14ac:dyDescent="0.25">
      <c r="A142" s="230">
        <v>45490</v>
      </c>
      <c r="B142" s="11">
        <v>245</v>
      </c>
      <c r="C142" s="112" t="s">
        <v>2568</v>
      </c>
      <c r="D142" s="163" t="s">
        <v>2706</v>
      </c>
      <c r="E142" s="282"/>
      <c r="F142" s="283">
        <v>98000</v>
      </c>
    </row>
    <row r="143" spans="1:6" x14ac:dyDescent="0.25">
      <c r="A143" s="230">
        <v>45490</v>
      </c>
      <c r="B143" s="11">
        <v>245</v>
      </c>
      <c r="C143" s="112" t="s">
        <v>2568</v>
      </c>
      <c r="D143" s="163" t="s">
        <v>2707</v>
      </c>
      <c r="E143" s="282"/>
      <c r="F143" s="283">
        <v>30000</v>
      </c>
    </row>
    <row r="144" spans="1:6" x14ac:dyDescent="0.25">
      <c r="A144" s="230">
        <v>45490</v>
      </c>
      <c r="B144" s="11">
        <v>245</v>
      </c>
      <c r="C144" s="112" t="s">
        <v>2568</v>
      </c>
      <c r="D144" s="163" t="s">
        <v>2708</v>
      </c>
      <c r="E144" s="282"/>
      <c r="F144" s="283">
        <v>600000</v>
      </c>
    </row>
    <row r="145" spans="1:6" x14ac:dyDescent="0.25">
      <c r="A145" s="230">
        <v>45490</v>
      </c>
      <c r="B145" s="11">
        <v>245</v>
      </c>
      <c r="C145" s="112" t="s">
        <v>2568</v>
      </c>
      <c r="D145" s="163" t="s">
        <v>2709</v>
      </c>
      <c r="E145" s="282"/>
      <c r="F145" s="283">
        <v>69000</v>
      </c>
    </row>
    <row r="146" spans="1:6" x14ac:dyDescent="0.25">
      <c r="A146" s="230">
        <v>45490</v>
      </c>
      <c r="B146" s="11">
        <v>245</v>
      </c>
      <c r="C146" s="112" t="s">
        <v>2568</v>
      </c>
      <c r="D146" s="163" t="s">
        <v>2710</v>
      </c>
      <c r="E146" s="282"/>
      <c r="F146" s="283">
        <v>2600000</v>
      </c>
    </row>
    <row r="147" spans="1:6" x14ac:dyDescent="0.25">
      <c r="A147" s="230">
        <v>45490</v>
      </c>
      <c r="B147" s="11">
        <v>245</v>
      </c>
      <c r="C147" s="112" t="s">
        <v>2568</v>
      </c>
      <c r="D147" s="163" t="s">
        <v>2711</v>
      </c>
      <c r="E147" s="282"/>
      <c r="F147" s="283">
        <v>600000</v>
      </c>
    </row>
    <row r="148" spans="1:6" x14ac:dyDescent="0.25">
      <c r="A148" s="230">
        <v>45490</v>
      </c>
      <c r="B148" s="11">
        <v>245</v>
      </c>
      <c r="C148" s="112" t="s">
        <v>2568</v>
      </c>
      <c r="D148" s="163" t="s">
        <v>2712</v>
      </c>
      <c r="E148" s="282"/>
      <c r="F148" s="283">
        <v>9000000</v>
      </c>
    </row>
    <row r="149" spans="1:6" x14ac:dyDescent="0.25">
      <c r="A149" s="230">
        <v>45490</v>
      </c>
      <c r="B149" s="11">
        <v>245</v>
      </c>
      <c r="C149" s="112" t="s">
        <v>2568</v>
      </c>
      <c r="D149" s="163" t="s">
        <v>2713</v>
      </c>
      <c r="E149" s="284"/>
      <c r="F149" s="283">
        <v>810708</v>
      </c>
    </row>
    <row r="150" spans="1:6" x14ac:dyDescent="0.25">
      <c r="A150" s="230">
        <v>45490</v>
      </c>
      <c r="B150" s="11">
        <v>245</v>
      </c>
      <c r="C150" s="112" t="s">
        <v>2568</v>
      </c>
      <c r="D150" s="163" t="s">
        <v>2714</v>
      </c>
      <c r="E150" s="284"/>
      <c r="F150" s="283">
        <v>4800000</v>
      </c>
    </row>
    <row r="151" spans="1:6" x14ac:dyDescent="0.25">
      <c r="A151" s="230">
        <v>45490</v>
      </c>
      <c r="B151" s="11">
        <v>245</v>
      </c>
      <c r="C151" s="112" t="s">
        <v>2568</v>
      </c>
      <c r="D151" s="163" t="s">
        <v>2715</v>
      </c>
      <c r="E151" s="286"/>
      <c r="F151" s="283">
        <v>600000</v>
      </c>
    </row>
    <row r="152" spans="1:6" x14ac:dyDescent="0.25">
      <c r="A152" s="230">
        <v>45490</v>
      </c>
      <c r="B152" s="11">
        <v>245</v>
      </c>
      <c r="C152" s="112" t="s">
        <v>2568</v>
      </c>
      <c r="D152" s="163" t="s">
        <v>2716</v>
      </c>
      <c r="E152" s="284"/>
      <c r="F152" s="283">
        <v>2000000</v>
      </c>
    </row>
    <row r="153" spans="1:6" x14ac:dyDescent="0.25">
      <c r="A153" s="230">
        <v>45490</v>
      </c>
      <c r="B153" s="11">
        <v>245</v>
      </c>
      <c r="C153" s="112" t="s">
        <v>2568</v>
      </c>
      <c r="D153" s="163" t="s">
        <v>2717</v>
      </c>
      <c r="E153" s="284"/>
      <c r="F153" s="283">
        <v>800000</v>
      </c>
    </row>
    <row r="154" spans="1:6" x14ac:dyDescent="0.25">
      <c r="A154" s="230">
        <v>45490</v>
      </c>
      <c r="B154" s="11">
        <v>245</v>
      </c>
      <c r="C154" s="112" t="s">
        <v>2568</v>
      </c>
      <c r="D154" s="163" t="s">
        <v>2718</v>
      </c>
      <c r="E154" s="284"/>
      <c r="F154" s="283">
        <v>600000</v>
      </c>
    </row>
    <row r="155" spans="1:6" x14ac:dyDescent="0.25">
      <c r="A155" s="230">
        <v>45490</v>
      </c>
      <c r="B155" s="11">
        <v>245</v>
      </c>
      <c r="C155" s="112" t="s">
        <v>2568</v>
      </c>
      <c r="D155" s="163" t="s">
        <v>2719</v>
      </c>
      <c r="E155" s="284"/>
      <c r="F155" s="283">
        <v>100000</v>
      </c>
    </row>
    <row r="156" spans="1:6" x14ac:dyDescent="0.25">
      <c r="A156" s="230">
        <v>45490</v>
      </c>
      <c r="B156" s="11">
        <v>245</v>
      </c>
      <c r="C156" s="112" t="s">
        <v>2568</v>
      </c>
      <c r="D156" s="163" t="s">
        <v>2720</v>
      </c>
      <c r="E156" s="286"/>
      <c r="F156" s="283">
        <v>6000000</v>
      </c>
    </row>
    <row r="157" spans="1:6" x14ac:dyDescent="0.25">
      <c r="A157" s="230">
        <v>45490</v>
      </c>
      <c r="B157" s="11">
        <v>245</v>
      </c>
      <c r="C157" s="112" t="s">
        <v>2568</v>
      </c>
      <c r="D157" s="163" t="s">
        <v>2721</v>
      </c>
      <c r="E157" s="284"/>
      <c r="F157" s="283">
        <v>1167739</v>
      </c>
    </row>
    <row r="158" spans="1:6" x14ac:dyDescent="0.25">
      <c r="A158" s="230">
        <v>45490</v>
      </c>
      <c r="B158" s="11">
        <v>245</v>
      </c>
      <c r="C158" s="112" t="s">
        <v>2568</v>
      </c>
      <c r="D158" s="163" t="s">
        <v>2722</v>
      </c>
      <c r="E158" s="284"/>
      <c r="F158" s="283">
        <v>52000</v>
      </c>
    </row>
    <row r="159" spans="1:6" x14ac:dyDescent="0.25">
      <c r="A159" s="230">
        <v>45490</v>
      </c>
      <c r="B159" s="11">
        <v>245</v>
      </c>
      <c r="C159" s="112" t="s">
        <v>2568</v>
      </c>
      <c r="D159" s="163" t="s">
        <v>2723</v>
      </c>
      <c r="E159" s="284"/>
      <c r="F159" s="283">
        <v>4000000</v>
      </c>
    </row>
    <row r="160" spans="1:6" x14ac:dyDescent="0.25">
      <c r="A160" s="230">
        <v>45490</v>
      </c>
      <c r="B160" s="11">
        <v>245</v>
      </c>
      <c r="C160" s="112" t="s">
        <v>2568</v>
      </c>
      <c r="D160" s="163" t="s">
        <v>2724</v>
      </c>
      <c r="E160" s="284"/>
      <c r="F160" s="283">
        <v>2000000</v>
      </c>
    </row>
    <row r="161" spans="1:6" x14ac:dyDescent="0.25">
      <c r="A161" s="230">
        <v>45490</v>
      </c>
      <c r="B161" s="11">
        <v>245</v>
      </c>
      <c r="C161" s="112" t="s">
        <v>2568</v>
      </c>
      <c r="D161" s="163" t="s">
        <v>2725</v>
      </c>
      <c r="E161" s="284"/>
      <c r="F161" s="283">
        <v>1680000</v>
      </c>
    </row>
    <row r="162" spans="1:6" x14ac:dyDescent="0.25">
      <c r="A162" s="230">
        <v>45490</v>
      </c>
      <c r="B162" s="11">
        <v>245</v>
      </c>
      <c r="C162" s="112" t="s">
        <v>2568</v>
      </c>
      <c r="D162" s="163" t="s">
        <v>2725</v>
      </c>
      <c r="E162" s="284"/>
      <c r="F162" s="283">
        <v>280000</v>
      </c>
    </row>
    <row r="163" spans="1:6" x14ac:dyDescent="0.25">
      <c r="A163" s="230">
        <v>45490</v>
      </c>
      <c r="B163" s="11">
        <v>245</v>
      </c>
      <c r="C163" s="112" t="s">
        <v>2568</v>
      </c>
      <c r="D163" s="163" t="s">
        <v>2726</v>
      </c>
      <c r="E163" s="284"/>
      <c r="F163" s="283">
        <v>2660000</v>
      </c>
    </row>
    <row r="164" spans="1:6" x14ac:dyDescent="0.25">
      <c r="A164" s="230">
        <v>45490</v>
      </c>
      <c r="B164" s="11">
        <v>245</v>
      </c>
      <c r="C164" s="112" t="s">
        <v>2568</v>
      </c>
      <c r="D164" s="163" t="s">
        <v>2727</v>
      </c>
      <c r="E164" s="284"/>
      <c r="F164" s="283">
        <v>3990000</v>
      </c>
    </row>
    <row r="165" spans="1:6" x14ac:dyDescent="0.25">
      <c r="A165" s="230">
        <v>45490</v>
      </c>
      <c r="B165" s="11">
        <v>245</v>
      </c>
      <c r="C165" s="112" t="s">
        <v>2568</v>
      </c>
      <c r="D165" s="163" t="s">
        <v>2728</v>
      </c>
      <c r="E165" s="284"/>
      <c r="F165" s="283">
        <v>900000</v>
      </c>
    </row>
    <row r="166" spans="1:6" x14ac:dyDescent="0.25">
      <c r="A166" s="230">
        <v>45490</v>
      </c>
      <c r="B166" s="11">
        <v>245</v>
      </c>
      <c r="C166" s="112" t="s">
        <v>2568</v>
      </c>
      <c r="D166" s="163" t="s">
        <v>2729</v>
      </c>
      <c r="E166" s="284"/>
      <c r="F166" s="283">
        <v>4550000</v>
      </c>
    </row>
    <row r="167" spans="1:6" x14ac:dyDescent="0.25">
      <c r="A167" s="230">
        <v>45490</v>
      </c>
      <c r="B167" s="11">
        <v>245</v>
      </c>
      <c r="C167" s="112" t="s">
        <v>2568</v>
      </c>
      <c r="D167" s="163" t="s">
        <v>2730</v>
      </c>
      <c r="E167" s="284"/>
      <c r="F167" s="283">
        <v>600000</v>
      </c>
    </row>
    <row r="168" spans="1:6" x14ac:dyDescent="0.25">
      <c r="A168" s="230">
        <v>45490</v>
      </c>
      <c r="B168" s="11">
        <v>245</v>
      </c>
      <c r="C168" s="112" t="s">
        <v>2568</v>
      </c>
      <c r="D168" s="163" t="s">
        <v>2731</v>
      </c>
      <c r="E168" s="284"/>
      <c r="F168" s="283">
        <v>1000000</v>
      </c>
    </row>
    <row r="169" spans="1:6" x14ac:dyDescent="0.25">
      <c r="A169" s="230">
        <v>45518</v>
      </c>
      <c r="B169" s="11" t="s">
        <v>2732</v>
      </c>
      <c r="C169" s="112" t="s">
        <v>2568</v>
      </c>
      <c r="D169" s="17" t="s">
        <v>2733</v>
      </c>
      <c r="E169" s="284"/>
      <c r="F169" s="283">
        <v>5000000</v>
      </c>
    </row>
    <row r="170" spans="1:6" x14ac:dyDescent="0.25">
      <c r="A170" s="270">
        <v>45581</v>
      </c>
      <c r="B170" s="106">
        <v>334</v>
      </c>
      <c r="C170" s="111" t="s">
        <v>2568</v>
      </c>
      <c r="D170" s="65" t="s">
        <v>2734</v>
      </c>
      <c r="E170" s="286"/>
      <c r="F170" s="287">
        <v>22950000</v>
      </c>
    </row>
    <row r="171" spans="1:6" x14ac:dyDescent="0.25">
      <c r="A171" s="270">
        <v>45581</v>
      </c>
      <c r="B171" s="106">
        <v>334</v>
      </c>
      <c r="C171" s="111" t="s">
        <v>2568</v>
      </c>
      <c r="D171" s="65" t="s">
        <v>2735</v>
      </c>
      <c r="E171" s="286"/>
      <c r="F171" s="287">
        <v>64000000</v>
      </c>
    </row>
    <row r="172" spans="1:6" x14ac:dyDescent="0.25">
      <c r="A172" s="270">
        <v>45581</v>
      </c>
      <c r="B172" s="106" t="s">
        <v>2736</v>
      </c>
      <c r="C172" s="111" t="s">
        <v>2568</v>
      </c>
      <c r="D172" s="65" t="s">
        <v>2737</v>
      </c>
      <c r="E172" s="286"/>
      <c r="F172" s="287">
        <v>4800000</v>
      </c>
    </row>
    <row r="173" spans="1:6" x14ac:dyDescent="0.25">
      <c r="A173" s="270">
        <v>45581</v>
      </c>
      <c r="B173" s="106" t="s">
        <v>2736</v>
      </c>
      <c r="C173" s="111" t="s">
        <v>2568</v>
      </c>
      <c r="D173" s="65" t="s">
        <v>2738</v>
      </c>
      <c r="E173" s="286"/>
      <c r="F173" s="287">
        <v>4300000</v>
      </c>
    </row>
    <row r="174" spans="1:6" x14ac:dyDescent="0.25">
      <c r="A174" s="270">
        <v>45581</v>
      </c>
      <c r="B174" s="106" t="s">
        <v>2736</v>
      </c>
      <c r="C174" s="111" t="s">
        <v>2568</v>
      </c>
      <c r="D174" s="65" t="s">
        <v>2739</v>
      </c>
      <c r="E174" s="286"/>
      <c r="F174" s="287">
        <v>3950000</v>
      </c>
    </row>
    <row r="175" spans="1:6" x14ac:dyDescent="0.25">
      <c r="A175" s="230">
        <v>45586</v>
      </c>
      <c r="B175" s="11" t="s">
        <v>2740</v>
      </c>
      <c r="C175" s="112" t="s">
        <v>2568</v>
      </c>
      <c r="D175" s="17" t="s">
        <v>2741</v>
      </c>
      <c r="E175" s="282"/>
      <c r="F175" s="289">
        <v>200000</v>
      </c>
    </row>
    <row r="176" spans="1:6" x14ac:dyDescent="0.25">
      <c r="A176" s="230">
        <v>45586</v>
      </c>
      <c r="B176" s="11" t="s">
        <v>2740</v>
      </c>
      <c r="C176" s="112" t="s">
        <v>2568</v>
      </c>
      <c r="D176" s="17" t="s">
        <v>2742</v>
      </c>
      <c r="E176" s="282"/>
      <c r="F176" s="289">
        <v>200000</v>
      </c>
    </row>
    <row r="177" spans="1:6" x14ac:dyDescent="0.25">
      <c r="A177" s="230">
        <v>45586</v>
      </c>
      <c r="B177" s="11" t="s">
        <v>2740</v>
      </c>
      <c r="C177" s="112" t="s">
        <v>2568</v>
      </c>
      <c r="D177" s="17" t="s">
        <v>2743</v>
      </c>
      <c r="E177" s="282"/>
      <c r="F177" s="289">
        <v>100000</v>
      </c>
    </row>
    <row r="178" spans="1:6" x14ac:dyDescent="0.25">
      <c r="A178" s="230">
        <v>45586</v>
      </c>
      <c r="B178" s="11" t="s">
        <v>2740</v>
      </c>
      <c r="C178" s="112" t="s">
        <v>2568</v>
      </c>
      <c r="D178" s="17" t="s">
        <v>2744</v>
      </c>
      <c r="E178" s="282"/>
      <c r="F178" s="289">
        <v>105000</v>
      </c>
    </row>
    <row r="179" spans="1:6" x14ac:dyDescent="0.25">
      <c r="A179" s="230">
        <v>45586</v>
      </c>
      <c r="B179" s="11" t="s">
        <v>2740</v>
      </c>
      <c r="C179" s="112" t="s">
        <v>2568</v>
      </c>
      <c r="D179" s="17" t="s">
        <v>2745</v>
      </c>
      <c r="E179" s="282"/>
      <c r="F179" s="289">
        <v>165000</v>
      </c>
    </row>
    <row r="180" spans="1:6" x14ac:dyDescent="0.25">
      <c r="A180" s="230">
        <v>45586</v>
      </c>
      <c r="B180" s="11" t="s">
        <v>2740</v>
      </c>
      <c r="C180" s="112" t="s">
        <v>2568</v>
      </c>
      <c r="D180" s="17" t="s">
        <v>2746</v>
      </c>
      <c r="E180" s="282"/>
      <c r="F180" s="289">
        <v>307000</v>
      </c>
    </row>
    <row r="181" spans="1:6" x14ac:dyDescent="0.25">
      <c r="A181" s="230">
        <v>45586</v>
      </c>
      <c r="B181" s="11" t="s">
        <v>2740</v>
      </c>
      <c r="C181" s="112" t="s">
        <v>2568</v>
      </c>
      <c r="D181" s="17" t="s">
        <v>2747</v>
      </c>
      <c r="E181" s="282"/>
      <c r="F181" s="289">
        <v>1623570</v>
      </c>
    </row>
    <row r="182" spans="1:6" x14ac:dyDescent="0.25">
      <c r="A182" s="230">
        <v>45586</v>
      </c>
      <c r="B182" s="11" t="s">
        <v>2740</v>
      </c>
      <c r="C182" s="112" t="s">
        <v>2568</v>
      </c>
      <c r="D182" s="17" t="s">
        <v>2748</v>
      </c>
      <c r="E182" s="282"/>
      <c r="F182" s="289">
        <v>1650000</v>
      </c>
    </row>
    <row r="183" spans="1:6" x14ac:dyDescent="0.25">
      <c r="A183" s="230">
        <v>45586</v>
      </c>
      <c r="B183" s="11" t="s">
        <v>2740</v>
      </c>
      <c r="C183" s="112" t="s">
        <v>2568</v>
      </c>
      <c r="D183" s="17" t="s">
        <v>2749</v>
      </c>
      <c r="E183" s="282"/>
      <c r="F183" s="289">
        <v>65000</v>
      </c>
    </row>
    <row r="184" spans="1:6" x14ac:dyDescent="0.25">
      <c r="A184" s="230">
        <v>45586</v>
      </c>
      <c r="B184" s="11" t="s">
        <v>2740</v>
      </c>
      <c r="C184" s="112" t="s">
        <v>2568</v>
      </c>
      <c r="D184" s="17" t="s">
        <v>2750</v>
      </c>
      <c r="E184" s="282"/>
      <c r="F184" s="289">
        <v>1295000</v>
      </c>
    </row>
    <row r="185" spans="1:6" x14ac:dyDescent="0.25">
      <c r="A185" s="230">
        <v>45586</v>
      </c>
      <c r="B185" s="11" t="s">
        <v>2740</v>
      </c>
      <c r="C185" s="112" t="s">
        <v>2568</v>
      </c>
      <c r="D185" s="17" t="s">
        <v>2751</v>
      </c>
      <c r="E185" s="282"/>
      <c r="F185" s="289">
        <v>17000</v>
      </c>
    </row>
    <row r="186" spans="1:6" x14ac:dyDescent="0.25">
      <c r="A186" s="230">
        <v>45586</v>
      </c>
      <c r="B186" s="11" t="s">
        <v>2740</v>
      </c>
      <c r="C186" s="112" t="s">
        <v>2568</v>
      </c>
      <c r="D186" s="17" t="s">
        <v>2752</v>
      </c>
      <c r="E186" s="282"/>
      <c r="F186" s="289">
        <v>137000</v>
      </c>
    </row>
    <row r="187" spans="1:6" x14ac:dyDescent="0.25">
      <c r="A187" s="230">
        <v>45586</v>
      </c>
      <c r="B187" s="11" t="s">
        <v>2740</v>
      </c>
      <c r="C187" s="112" t="s">
        <v>2568</v>
      </c>
      <c r="D187" s="17" t="s">
        <v>2753</v>
      </c>
      <c r="E187" s="282"/>
      <c r="F187" s="289">
        <v>200000</v>
      </c>
    </row>
    <row r="188" spans="1:6" x14ac:dyDescent="0.25">
      <c r="A188" s="230">
        <v>45586</v>
      </c>
      <c r="B188" s="11" t="s">
        <v>2740</v>
      </c>
      <c r="C188" s="112" t="s">
        <v>2568</v>
      </c>
      <c r="D188" s="17" t="s">
        <v>2754</v>
      </c>
      <c r="E188" s="282"/>
      <c r="F188" s="289">
        <v>210000</v>
      </c>
    </row>
    <row r="189" spans="1:6" x14ac:dyDescent="0.25">
      <c r="A189" s="230">
        <v>45586</v>
      </c>
      <c r="B189" s="11" t="s">
        <v>2740</v>
      </c>
      <c r="C189" s="112" t="s">
        <v>2568</v>
      </c>
      <c r="D189" s="17" t="s">
        <v>2755</v>
      </c>
      <c r="E189" s="282"/>
      <c r="F189" s="289">
        <v>78873</v>
      </c>
    </row>
    <row r="190" spans="1:6" x14ac:dyDescent="0.25">
      <c r="A190" s="230">
        <v>45586</v>
      </c>
      <c r="B190" s="11" t="s">
        <v>2740</v>
      </c>
      <c r="C190" s="112" t="s">
        <v>2568</v>
      </c>
      <c r="D190" s="17" t="s">
        <v>2756</v>
      </c>
      <c r="E190" s="282"/>
      <c r="F190" s="289">
        <v>2563500</v>
      </c>
    </row>
    <row r="191" spans="1:6" x14ac:dyDescent="0.25">
      <c r="A191" s="230">
        <v>45586</v>
      </c>
      <c r="B191" s="11" t="s">
        <v>2740</v>
      </c>
      <c r="C191" s="112" t="s">
        <v>2568</v>
      </c>
      <c r="D191" s="17" t="s">
        <v>2757</v>
      </c>
      <c r="E191" s="282"/>
      <c r="F191" s="289">
        <v>350500</v>
      </c>
    </row>
    <row r="192" spans="1:6" x14ac:dyDescent="0.25">
      <c r="A192" s="230">
        <v>45586</v>
      </c>
      <c r="B192" s="11" t="s">
        <v>2740</v>
      </c>
      <c r="C192" s="112" t="s">
        <v>2568</v>
      </c>
      <c r="D192" s="17" t="s">
        <v>2758</v>
      </c>
      <c r="E192" s="282"/>
      <c r="F192" s="289">
        <v>3100000</v>
      </c>
    </row>
    <row r="193" spans="1:6" x14ac:dyDescent="0.25">
      <c r="A193" s="230">
        <v>45586</v>
      </c>
      <c r="B193" s="11" t="s">
        <v>2740</v>
      </c>
      <c r="C193" s="112" t="s">
        <v>2568</v>
      </c>
      <c r="D193" s="17" t="s">
        <v>2759</v>
      </c>
      <c r="E193" s="282"/>
      <c r="F193" s="289">
        <v>300000</v>
      </c>
    </row>
    <row r="194" spans="1:6" x14ac:dyDescent="0.25">
      <c r="A194" s="230">
        <v>45586</v>
      </c>
      <c r="B194" s="11" t="s">
        <v>2740</v>
      </c>
      <c r="C194" s="112" t="s">
        <v>2568</v>
      </c>
      <c r="D194" s="17" t="s">
        <v>2760</v>
      </c>
      <c r="E194" s="282"/>
      <c r="F194" s="289">
        <v>388200</v>
      </c>
    </row>
    <row r="195" spans="1:6" x14ac:dyDescent="0.25">
      <c r="A195" s="230">
        <v>45586</v>
      </c>
      <c r="B195" s="11" t="s">
        <v>2740</v>
      </c>
      <c r="C195" s="112" t="s">
        <v>2568</v>
      </c>
      <c r="D195" s="17" t="s">
        <v>2761</v>
      </c>
      <c r="E195" s="282"/>
      <c r="F195" s="289">
        <v>22000</v>
      </c>
    </row>
    <row r="196" spans="1:6" x14ac:dyDescent="0.25">
      <c r="A196" s="230">
        <v>45586</v>
      </c>
      <c r="B196" s="11" t="s">
        <v>2740</v>
      </c>
      <c r="C196" s="112" t="s">
        <v>2568</v>
      </c>
      <c r="D196" s="17" t="s">
        <v>1035</v>
      </c>
      <c r="E196" s="282"/>
      <c r="F196" s="289">
        <v>5500</v>
      </c>
    </row>
    <row r="197" spans="1:6" x14ac:dyDescent="0.25">
      <c r="A197" s="230">
        <v>45586</v>
      </c>
      <c r="B197" s="11" t="s">
        <v>2740</v>
      </c>
      <c r="C197" s="112" t="s">
        <v>2568</v>
      </c>
      <c r="D197" s="17" t="s">
        <v>2762</v>
      </c>
      <c r="E197" s="282"/>
      <c r="F197" s="289">
        <v>774300</v>
      </c>
    </row>
    <row r="198" spans="1:6" x14ac:dyDescent="0.25">
      <c r="A198" s="230">
        <v>45586</v>
      </c>
      <c r="B198" s="11" t="s">
        <v>2740</v>
      </c>
      <c r="C198" s="112" t="s">
        <v>2568</v>
      </c>
      <c r="D198" s="17" t="s">
        <v>2763</v>
      </c>
      <c r="E198" s="282"/>
      <c r="F198" s="289">
        <v>49000</v>
      </c>
    </row>
    <row r="199" spans="1:6" x14ac:dyDescent="0.25">
      <c r="A199" s="230">
        <v>45586</v>
      </c>
      <c r="B199" s="11" t="s">
        <v>2740</v>
      </c>
      <c r="C199" s="112" t="s">
        <v>2568</v>
      </c>
      <c r="D199" s="17" t="s">
        <v>2764</v>
      </c>
      <c r="E199" s="282"/>
      <c r="F199" s="289">
        <v>11760000</v>
      </c>
    </row>
    <row r="200" spans="1:6" x14ac:dyDescent="0.25">
      <c r="A200" s="230">
        <v>45586</v>
      </c>
      <c r="B200" s="11" t="s">
        <v>2740</v>
      </c>
      <c r="C200" s="112" t="s">
        <v>2568</v>
      </c>
      <c r="D200" s="17" t="s">
        <v>2765</v>
      </c>
      <c r="E200" s="282"/>
      <c r="F200" s="289">
        <v>1500000</v>
      </c>
    </row>
    <row r="201" spans="1:6" x14ac:dyDescent="0.25">
      <c r="A201" s="230">
        <v>45586</v>
      </c>
      <c r="B201" s="11" t="s">
        <v>2740</v>
      </c>
      <c r="C201" s="112" t="s">
        <v>2568</v>
      </c>
      <c r="D201" s="17" t="s">
        <v>2766</v>
      </c>
      <c r="E201" s="282"/>
      <c r="F201" s="289">
        <v>4000000</v>
      </c>
    </row>
    <row r="202" spans="1:6" x14ac:dyDescent="0.25">
      <c r="A202" s="230">
        <v>45586</v>
      </c>
      <c r="B202" s="11" t="s">
        <v>2740</v>
      </c>
      <c r="C202" s="112" t="s">
        <v>2568</v>
      </c>
      <c r="D202" s="17" t="s">
        <v>2767</v>
      </c>
      <c r="E202" s="282"/>
      <c r="F202" s="289">
        <v>877075</v>
      </c>
    </row>
    <row r="203" spans="1:6" x14ac:dyDescent="0.25">
      <c r="A203" s="230">
        <v>45586</v>
      </c>
      <c r="B203" s="11" t="s">
        <v>2740</v>
      </c>
      <c r="C203" s="112" t="s">
        <v>2568</v>
      </c>
      <c r="D203" s="17" t="s">
        <v>2768</v>
      </c>
      <c r="E203" s="282"/>
      <c r="F203" s="289">
        <v>2000000</v>
      </c>
    </row>
    <row r="204" spans="1:6" x14ac:dyDescent="0.25">
      <c r="A204" s="230">
        <v>45586</v>
      </c>
      <c r="B204" s="11" t="s">
        <v>2740</v>
      </c>
      <c r="C204" s="112" t="s">
        <v>2568</v>
      </c>
      <c r="D204" s="17" t="s">
        <v>2769</v>
      </c>
      <c r="E204" s="282"/>
      <c r="F204" s="289">
        <v>1000000</v>
      </c>
    </row>
    <row r="205" spans="1:6" x14ac:dyDescent="0.25">
      <c r="A205" s="230">
        <v>45586</v>
      </c>
      <c r="B205" s="11" t="s">
        <v>2740</v>
      </c>
      <c r="C205" s="112" t="s">
        <v>2568</v>
      </c>
      <c r="D205" s="17" t="s">
        <v>2770</v>
      </c>
      <c r="E205" s="282"/>
      <c r="F205" s="289">
        <v>300000</v>
      </c>
    </row>
    <row r="206" spans="1:6" x14ac:dyDescent="0.25">
      <c r="A206" s="230">
        <v>45586</v>
      </c>
      <c r="B206" s="11" t="s">
        <v>2740</v>
      </c>
      <c r="C206" s="112" t="s">
        <v>2568</v>
      </c>
      <c r="D206" s="17" t="s">
        <v>2771</v>
      </c>
      <c r="E206" s="282"/>
      <c r="F206" s="289">
        <v>200000</v>
      </c>
    </row>
    <row r="207" spans="1:6" x14ac:dyDescent="0.25">
      <c r="A207" s="230">
        <v>45586</v>
      </c>
      <c r="B207" s="11" t="s">
        <v>2740</v>
      </c>
      <c r="C207" s="112" t="s">
        <v>2568</v>
      </c>
      <c r="D207" s="17" t="s">
        <v>2772</v>
      </c>
      <c r="E207" s="282"/>
      <c r="F207" s="289">
        <v>3900000</v>
      </c>
    </row>
    <row r="208" spans="1:6" x14ac:dyDescent="0.25">
      <c r="A208" s="230">
        <v>45586</v>
      </c>
      <c r="B208" s="11" t="s">
        <v>2740</v>
      </c>
      <c r="C208" s="112" t="s">
        <v>2568</v>
      </c>
      <c r="D208" s="17" t="s">
        <v>2773</v>
      </c>
      <c r="E208" s="282"/>
      <c r="F208" s="289">
        <v>2000000</v>
      </c>
    </row>
    <row r="209" spans="1:6" x14ac:dyDescent="0.25">
      <c r="A209" s="230">
        <v>45586</v>
      </c>
      <c r="B209" s="11" t="s">
        <v>2740</v>
      </c>
      <c r="C209" s="112" t="s">
        <v>2568</v>
      </c>
      <c r="D209" s="17" t="s">
        <v>2774</v>
      </c>
      <c r="E209" s="282"/>
      <c r="F209" s="289">
        <v>1000000</v>
      </c>
    </row>
    <row r="210" spans="1:6" x14ac:dyDescent="0.25">
      <c r="A210" s="230">
        <v>45586</v>
      </c>
      <c r="B210" s="11" t="s">
        <v>2740</v>
      </c>
      <c r="C210" s="112" t="s">
        <v>2568</v>
      </c>
      <c r="D210" s="17" t="s">
        <v>2775</v>
      </c>
      <c r="E210" s="282"/>
      <c r="F210" s="289">
        <v>2400000</v>
      </c>
    </row>
    <row r="211" spans="1:6" x14ac:dyDescent="0.25">
      <c r="A211" s="230">
        <v>45586</v>
      </c>
      <c r="B211" s="11">
        <v>339</v>
      </c>
      <c r="C211" s="112" t="s">
        <v>2568</v>
      </c>
      <c r="D211" s="17" t="s">
        <v>2776</v>
      </c>
      <c r="E211" s="284">
        <v>45565132</v>
      </c>
      <c r="F211" s="283"/>
    </row>
    <row r="212" spans="1:6" x14ac:dyDescent="0.25">
      <c r="A212" s="230">
        <v>45586</v>
      </c>
      <c r="B212" s="11">
        <v>339</v>
      </c>
      <c r="C212" s="112" t="s">
        <v>2568</v>
      </c>
      <c r="D212" s="17" t="s">
        <v>2777</v>
      </c>
      <c r="E212" s="284"/>
      <c r="F212" s="283">
        <v>1063054</v>
      </c>
    </row>
    <row r="213" spans="1:6" x14ac:dyDescent="0.25">
      <c r="A213" s="230">
        <v>45586</v>
      </c>
      <c r="B213" s="11">
        <v>339</v>
      </c>
      <c r="C213" s="112" t="s">
        <v>2568</v>
      </c>
      <c r="D213" s="17" t="s">
        <v>2778</v>
      </c>
      <c r="E213" s="284"/>
      <c r="F213" s="283">
        <v>896000</v>
      </c>
    </row>
    <row r="214" spans="1:6" x14ac:dyDescent="0.25">
      <c r="A214" s="230">
        <v>45586</v>
      </c>
      <c r="B214" s="11">
        <v>339</v>
      </c>
      <c r="C214" s="112" t="s">
        <v>2568</v>
      </c>
      <c r="D214" s="17" t="s">
        <v>2779</v>
      </c>
      <c r="E214" s="284"/>
      <c r="F214" s="283">
        <v>2000000</v>
      </c>
    </row>
    <row r="215" spans="1:6" x14ac:dyDescent="0.25">
      <c r="A215" s="230">
        <v>45586</v>
      </c>
      <c r="B215" s="11">
        <v>339</v>
      </c>
      <c r="C215" s="112" t="s">
        <v>2568</v>
      </c>
      <c r="D215" s="17" t="s">
        <v>2780</v>
      </c>
      <c r="E215" s="284"/>
      <c r="F215" s="283">
        <v>5250000</v>
      </c>
    </row>
    <row r="216" spans="1:6" x14ac:dyDescent="0.25">
      <c r="A216" s="230">
        <v>45586</v>
      </c>
      <c r="B216" s="11">
        <v>339</v>
      </c>
      <c r="C216" s="112" t="s">
        <v>2568</v>
      </c>
      <c r="D216" s="17" t="s">
        <v>2781</v>
      </c>
      <c r="E216" s="284"/>
      <c r="F216" s="283">
        <v>13900000</v>
      </c>
    </row>
    <row r="217" spans="1:6" x14ac:dyDescent="0.25">
      <c r="A217" s="230">
        <v>45586</v>
      </c>
      <c r="B217" s="11">
        <v>339</v>
      </c>
      <c r="C217" s="112" t="s">
        <v>2568</v>
      </c>
      <c r="D217" s="17" t="s">
        <v>2782</v>
      </c>
      <c r="E217" s="284"/>
      <c r="F217" s="283">
        <v>229000</v>
      </c>
    </row>
    <row r="218" spans="1:6" x14ac:dyDescent="0.25">
      <c r="A218" s="230">
        <v>45586</v>
      </c>
      <c r="B218" s="11">
        <v>339</v>
      </c>
      <c r="C218" s="112" t="s">
        <v>2568</v>
      </c>
      <c r="D218" s="17" t="s">
        <v>2783</v>
      </c>
      <c r="E218" s="284"/>
      <c r="F218" s="283">
        <v>2400000</v>
      </c>
    </row>
    <row r="219" spans="1:6" x14ac:dyDescent="0.25">
      <c r="A219" s="230">
        <v>45586</v>
      </c>
      <c r="B219" s="11">
        <v>339</v>
      </c>
      <c r="C219" s="112" t="s">
        <v>2568</v>
      </c>
      <c r="D219" s="17" t="s">
        <v>2783</v>
      </c>
      <c r="E219" s="284"/>
      <c r="F219" s="283">
        <v>6000000</v>
      </c>
    </row>
    <row r="220" spans="1:6" x14ac:dyDescent="0.25">
      <c r="A220" s="230">
        <v>45586</v>
      </c>
      <c r="B220" s="11">
        <v>339</v>
      </c>
      <c r="C220" s="112" t="s">
        <v>2568</v>
      </c>
      <c r="D220" s="17" t="s">
        <v>2784</v>
      </c>
      <c r="E220" s="284"/>
      <c r="F220" s="283">
        <v>1218331</v>
      </c>
    </row>
    <row r="221" spans="1:6" x14ac:dyDescent="0.25">
      <c r="A221" s="230">
        <v>45586</v>
      </c>
      <c r="B221" s="11">
        <v>339</v>
      </c>
      <c r="C221" s="112" t="s">
        <v>2568</v>
      </c>
      <c r="D221" s="17" t="s">
        <v>2785</v>
      </c>
      <c r="E221" s="284"/>
      <c r="F221" s="283">
        <v>563840</v>
      </c>
    </row>
    <row r="222" spans="1:6" x14ac:dyDescent="0.25">
      <c r="A222" s="230">
        <v>45586</v>
      </c>
      <c r="B222" s="11">
        <v>339</v>
      </c>
      <c r="C222" s="112" t="s">
        <v>2568</v>
      </c>
      <c r="D222" s="17" t="s">
        <v>2786</v>
      </c>
      <c r="E222" s="284"/>
      <c r="F222" s="283">
        <v>3827900</v>
      </c>
    </row>
    <row r="223" spans="1:6" x14ac:dyDescent="0.25">
      <c r="A223" s="230">
        <v>45586</v>
      </c>
      <c r="B223" s="11">
        <v>339</v>
      </c>
      <c r="C223" s="112" t="s">
        <v>2568</v>
      </c>
      <c r="D223" s="17" t="s">
        <v>2787</v>
      </c>
      <c r="E223" s="284"/>
      <c r="F223" s="283">
        <v>1200000</v>
      </c>
    </row>
    <row r="224" spans="1:6" x14ac:dyDescent="0.25">
      <c r="A224" s="230">
        <v>45586</v>
      </c>
      <c r="B224" s="11">
        <v>339</v>
      </c>
      <c r="C224" s="112" t="s">
        <v>2568</v>
      </c>
      <c r="D224" s="17" t="s">
        <v>2788</v>
      </c>
      <c r="E224" s="284"/>
      <c r="F224" s="283">
        <v>100000</v>
      </c>
    </row>
    <row r="225" spans="1:6" x14ac:dyDescent="0.25">
      <c r="A225" s="230">
        <v>45586</v>
      </c>
      <c r="B225" s="11">
        <v>339</v>
      </c>
      <c r="C225" s="112" t="s">
        <v>2568</v>
      </c>
      <c r="D225" s="17" t="s">
        <v>2789</v>
      </c>
      <c r="E225" s="284"/>
      <c r="F225" s="283">
        <v>22000</v>
      </c>
    </row>
    <row r="226" spans="1:6" x14ac:dyDescent="0.25">
      <c r="A226" s="230">
        <v>45586</v>
      </c>
      <c r="B226" s="11">
        <v>339</v>
      </c>
      <c r="C226" s="112" t="s">
        <v>2568</v>
      </c>
      <c r="D226" s="17" t="s">
        <v>2790</v>
      </c>
      <c r="E226" s="284"/>
      <c r="F226" s="283">
        <v>420137</v>
      </c>
    </row>
    <row r="227" spans="1:6" x14ac:dyDescent="0.25">
      <c r="A227" s="230">
        <v>45586</v>
      </c>
      <c r="B227" s="11">
        <v>339</v>
      </c>
      <c r="C227" s="112" t="s">
        <v>2568</v>
      </c>
      <c r="D227" s="17" t="s">
        <v>2791</v>
      </c>
      <c r="E227" s="284"/>
      <c r="F227" s="283">
        <v>25000</v>
      </c>
    </row>
    <row r="228" spans="1:6" x14ac:dyDescent="0.25">
      <c r="A228" s="230">
        <v>45586</v>
      </c>
      <c r="B228" s="11">
        <v>339</v>
      </c>
      <c r="C228" s="112" t="s">
        <v>2568</v>
      </c>
      <c r="D228" s="17" t="s">
        <v>2792</v>
      </c>
      <c r="E228" s="284"/>
      <c r="F228" s="283">
        <v>48000</v>
      </c>
    </row>
    <row r="229" spans="1:6" x14ac:dyDescent="0.25">
      <c r="A229" s="230">
        <v>45586</v>
      </c>
      <c r="B229" s="11">
        <v>339</v>
      </c>
      <c r="C229" s="112" t="s">
        <v>2568</v>
      </c>
      <c r="D229" s="17" t="s">
        <v>2793</v>
      </c>
      <c r="E229" s="284"/>
      <c r="F229" s="283">
        <v>582250</v>
      </c>
    </row>
    <row r="230" spans="1:6" x14ac:dyDescent="0.25">
      <c r="A230" s="230">
        <v>45586</v>
      </c>
      <c r="B230" s="11">
        <v>339</v>
      </c>
      <c r="C230" s="112" t="s">
        <v>2568</v>
      </c>
      <c r="D230" s="17" t="s">
        <v>2794</v>
      </c>
      <c r="E230" s="284"/>
      <c r="F230" s="283">
        <v>200000</v>
      </c>
    </row>
    <row r="231" spans="1:6" x14ac:dyDescent="0.25">
      <c r="A231" s="230">
        <v>45586</v>
      </c>
      <c r="B231" s="11">
        <v>339</v>
      </c>
      <c r="C231" s="112" t="s">
        <v>2568</v>
      </c>
      <c r="D231" s="17" t="s">
        <v>2795</v>
      </c>
      <c r="E231" s="284"/>
      <c r="F231" s="283">
        <v>150000</v>
      </c>
    </row>
    <row r="232" spans="1:6" x14ac:dyDescent="0.25">
      <c r="A232" s="230">
        <v>45586</v>
      </c>
      <c r="B232" s="11">
        <v>339</v>
      </c>
      <c r="C232" s="112" t="s">
        <v>2568</v>
      </c>
      <c r="D232" s="17" t="s">
        <v>2796</v>
      </c>
      <c r="E232" s="284"/>
      <c r="F232" s="283">
        <v>597914</v>
      </c>
    </row>
    <row r="233" spans="1:6" x14ac:dyDescent="0.25">
      <c r="A233" s="230">
        <v>45586</v>
      </c>
      <c r="B233" s="11">
        <v>339</v>
      </c>
      <c r="C233" s="112" t="s">
        <v>2568</v>
      </c>
      <c r="D233" s="17" t="s">
        <v>2797</v>
      </c>
      <c r="E233" s="284"/>
      <c r="F233" s="283">
        <v>329706</v>
      </c>
    </row>
    <row r="234" spans="1:6" x14ac:dyDescent="0.25">
      <c r="A234" s="230">
        <v>45586</v>
      </c>
      <c r="B234" s="11">
        <v>339</v>
      </c>
      <c r="C234" s="112" t="s">
        <v>2568</v>
      </c>
      <c r="D234" s="17" t="s">
        <v>2798</v>
      </c>
      <c r="E234" s="284"/>
      <c r="F234" s="283">
        <v>42000</v>
      </c>
    </row>
    <row r="235" spans="1:6" x14ac:dyDescent="0.25">
      <c r="A235" s="230">
        <v>45586</v>
      </c>
      <c r="B235" s="11">
        <v>339</v>
      </c>
      <c r="C235" s="112" t="s">
        <v>2568</v>
      </c>
      <c r="D235" s="17" t="s">
        <v>2799</v>
      </c>
      <c r="E235" s="284"/>
      <c r="F235" s="283">
        <v>4500000</v>
      </c>
    </row>
    <row r="236" spans="1:6" x14ac:dyDescent="0.25">
      <c r="A236" s="230">
        <v>45586</v>
      </c>
      <c r="B236" s="11">
        <v>340</v>
      </c>
      <c r="C236" s="112" t="s">
        <v>2568</v>
      </c>
      <c r="D236" s="17" t="s">
        <v>2776</v>
      </c>
      <c r="E236" s="284">
        <v>58096495</v>
      </c>
      <c r="F236" s="283"/>
    </row>
    <row r="237" spans="1:6" x14ac:dyDescent="0.25">
      <c r="A237" s="230">
        <v>45586</v>
      </c>
      <c r="B237" s="11">
        <v>340</v>
      </c>
      <c r="C237" s="112" t="s">
        <v>2568</v>
      </c>
      <c r="D237" s="17" t="s">
        <v>2800</v>
      </c>
      <c r="E237" s="284"/>
      <c r="F237" s="283">
        <v>1500000</v>
      </c>
    </row>
    <row r="238" spans="1:6" x14ac:dyDescent="0.25">
      <c r="A238" s="230">
        <v>45586</v>
      </c>
      <c r="B238" s="11">
        <v>340</v>
      </c>
      <c r="C238" s="112" t="s">
        <v>2568</v>
      </c>
      <c r="D238" s="17" t="s">
        <v>2801</v>
      </c>
      <c r="E238" s="284"/>
      <c r="F238" s="283">
        <v>6000000</v>
      </c>
    </row>
    <row r="239" spans="1:6" x14ac:dyDescent="0.25">
      <c r="A239" s="230">
        <v>45586</v>
      </c>
      <c r="B239" s="11">
        <v>340</v>
      </c>
      <c r="C239" s="112" t="s">
        <v>2568</v>
      </c>
      <c r="D239" s="17" t="s">
        <v>2802</v>
      </c>
      <c r="E239" s="284"/>
      <c r="F239" s="283">
        <v>2000000</v>
      </c>
    </row>
    <row r="240" spans="1:6" x14ac:dyDescent="0.25">
      <c r="A240" s="230">
        <v>45586</v>
      </c>
      <c r="B240" s="11">
        <v>340</v>
      </c>
      <c r="C240" s="112" t="s">
        <v>2568</v>
      </c>
      <c r="D240" s="17" t="s">
        <v>2803</v>
      </c>
      <c r="E240" s="284"/>
      <c r="F240" s="283">
        <v>1000000</v>
      </c>
    </row>
    <row r="241" spans="1:6" x14ac:dyDescent="0.25">
      <c r="A241" s="230">
        <v>45586</v>
      </c>
      <c r="B241" s="11">
        <v>340</v>
      </c>
      <c r="C241" s="112" t="s">
        <v>2568</v>
      </c>
      <c r="D241" s="17" t="s">
        <v>2804</v>
      </c>
      <c r="E241" s="284"/>
      <c r="F241" s="283">
        <v>2000000</v>
      </c>
    </row>
    <row r="242" spans="1:6" x14ac:dyDescent="0.25">
      <c r="A242" s="230">
        <v>45586</v>
      </c>
      <c r="B242" s="11">
        <v>340</v>
      </c>
      <c r="C242" s="112" t="s">
        <v>2568</v>
      </c>
      <c r="D242" s="17" t="s">
        <v>2805</v>
      </c>
      <c r="E242" s="284"/>
      <c r="F242" s="283">
        <v>2000000</v>
      </c>
    </row>
    <row r="243" spans="1:6" x14ac:dyDescent="0.25">
      <c r="A243" s="230">
        <v>45586</v>
      </c>
      <c r="B243" s="11">
        <v>340</v>
      </c>
      <c r="C243" s="112" t="s">
        <v>2568</v>
      </c>
      <c r="D243" s="17" t="s">
        <v>2806</v>
      </c>
      <c r="E243" s="284"/>
      <c r="F243" s="283">
        <v>500000</v>
      </c>
    </row>
    <row r="244" spans="1:6" x14ac:dyDescent="0.25">
      <c r="A244" s="230">
        <v>45586</v>
      </c>
      <c r="B244" s="11">
        <v>340</v>
      </c>
      <c r="C244" s="112" t="s">
        <v>2568</v>
      </c>
      <c r="D244" s="17" t="s">
        <v>2807</v>
      </c>
      <c r="E244" s="284"/>
      <c r="F244" s="283">
        <v>9850000</v>
      </c>
    </row>
    <row r="245" spans="1:6" x14ac:dyDescent="0.25">
      <c r="A245" s="230">
        <v>45586</v>
      </c>
      <c r="B245" s="11">
        <v>340</v>
      </c>
      <c r="C245" s="112" t="s">
        <v>2568</v>
      </c>
      <c r="D245" s="17" t="s">
        <v>2808</v>
      </c>
      <c r="E245" s="284"/>
      <c r="F245" s="283">
        <v>6000000</v>
      </c>
    </row>
    <row r="246" spans="1:6" x14ac:dyDescent="0.25">
      <c r="A246" s="230">
        <v>45586</v>
      </c>
      <c r="B246" s="11">
        <v>340</v>
      </c>
      <c r="C246" s="112" t="s">
        <v>2568</v>
      </c>
      <c r="D246" s="17" t="s">
        <v>2809</v>
      </c>
      <c r="E246" s="284"/>
      <c r="F246" s="283">
        <v>100000</v>
      </c>
    </row>
    <row r="247" spans="1:6" x14ac:dyDescent="0.25">
      <c r="A247" s="230">
        <v>45586</v>
      </c>
      <c r="B247" s="11">
        <v>340</v>
      </c>
      <c r="C247" s="112" t="s">
        <v>2568</v>
      </c>
      <c r="D247" s="17" t="s">
        <v>2810</v>
      </c>
      <c r="E247" s="284"/>
      <c r="F247" s="283">
        <v>100000</v>
      </c>
    </row>
    <row r="248" spans="1:6" x14ac:dyDescent="0.25">
      <c r="A248" s="230">
        <v>45586</v>
      </c>
      <c r="B248" s="11">
        <v>340</v>
      </c>
      <c r="C248" s="112" t="s">
        <v>2568</v>
      </c>
      <c r="D248" s="17" t="s">
        <v>2811</v>
      </c>
      <c r="E248" s="284"/>
      <c r="F248" s="283">
        <v>515000</v>
      </c>
    </row>
    <row r="249" spans="1:6" x14ac:dyDescent="0.25">
      <c r="A249" s="230">
        <v>45586</v>
      </c>
      <c r="B249" s="11">
        <v>340</v>
      </c>
      <c r="C249" s="112" t="s">
        <v>2568</v>
      </c>
      <c r="D249" s="17" t="s">
        <v>2812</v>
      </c>
      <c r="E249" s="284"/>
      <c r="F249" s="283">
        <v>2000000</v>
      </c>
    </row>
    <row r="250" spans="1:6" x14ac:dyDescent="0.25">
      <c r="A250" s="230">
        <v>45586</v>
      </c>
      <c r="B250" s="11">
        <v>340</v>
      </c>
      <c r="C250" s="112" t="s">
        <v>2568</v>
      </c>
      <c r="D250" s="17" t="s">
        <v>2813</v>
      </c>
      <c r="E250" s="284"/>
      <c r="F250" s="283">
        <v>205200</v>
      </c>
    </row>
    <row r="251" spans="1:6" x14ac:dyDescent="0.25">
      <c r="A251" s="230">
        <v>45586</v>
      </c>
      <c r="B251" s="11">
        <v>340</v>
      </c>
      <c r="C251" s="112" t="s">
        <v>2568</v>
      </c>
      <c r="D251" s="17" t="s">
        <v>2814</v>
      </c>
      <c r="E251" s="284"/>
      <c r="F251" s="283">
        <v>185000</v>
      </c>
    </row>
    <row r="252" spans="1:6" x14ac:dyDescent="0.25">
      <c r="A252" s="230">
        <v>45586</v>
      </c>
      <c r="B252" s="11">
        <v>340</v>
      </c>
      <c r="C252" s="112" t="s">
        <v>2568</v>
      </c>
      <c r="D252" s="17" t="s">
        <v>2815</v>
      </c>
      <c r="E252" s="284"/>
      <c r="F252" s="283">
        <v>600000</v>
      </c>
    </row>
    <row r="253" spans="1:6" x14ac:dyDescent="0.25">
      <c r="A253" s="230">
        <v>45586</v>
      </c>
      <c r="B253" s="11">
        <v>340</v>
      </c>
      <c r="C253" s="112" t="s">
        <v>2568</v>
      </c>
      <c r="D253" s="17" t="s">
        <v>2816</v>
      </c>
      <c r="E253" s="284"/>
      <c r="F253" s="283">
        <v>771925</v>
      </c>
    </row>
    <row r="254" spans="1:6" x14ac:dyDescent="0.25">
      <c r="A254" s="230">
        <v>45586</v>
      </c>
      <c r="B254" s="11">
        <v>340</v>
      </c>
      <c r="C254" s="112" t="s">
        <v>2568</v>
      </c>
      <c r="D254" s="17" t="s">
        <v>2817</v>
      </c>
      <c r="E254" s="284"/>
      <c r="F254" s="283">
        <v>1431049</v>
      </c>
    </row>
    <row r="255" spans="1:6" x14ac:dyDescent="0.25">
      <c r="A255" s="230">
        <v>45586</v>
      </c>
      <c r="B255" s="11">
        <v>340</v>
      </c>
      <c r="C255" s="112" t="s">
        <v>2568</v>
      </c>
      <c r="D255" s="17" t="s">
        <v>2818</v>
      </c>
      <c r="E255" s="284"/>
      <c r="F255" s="283">
        <v>189400</v>
      </c>
    </row>
    <row r="256" spans="1:6" x14ac:dyDescent="0.25">
      <c r="A256" s="230">
        <v>45586</v>
      </c>
      <c r="B256" s="11">
        <v>340</v>
      </c>
      <c r="C256" s="112" t="s">
        <v>2568</v>
      </c>
      <c r="D256" s="17" t="s">
        <v>2819</v>
      </c>
      <c r="E256" s="284"/>
      <c r="F256" s="283">
        <v>21000</v>
      </c>
    </row>
    <row r="257" spans="1:6" x14ac:dyDescent="0.25">
      <c r="A257" s="230">
        <v>45586</v>
      </c>
      <c r="B257" s="11">
        <v>340</v>
      </c>
      <c r="C257" s="112" t="s">
        <v>2568</v>
      </c>
      <c r="D257" s="17" t="s">
        <v>2820</v>
      </c>
      <c r="E257" s="284"/>
      <c r="F257" s="283">
        <v>23000</v>
      </c>
    </row>
    <row r="258" spans="1:6" x14ac:dyDescent="0.25">
      <c r="A258" s="230">
        <v>45586</v>
      </c>
      <c r="B258" s="11">
        <v>340</v>
      </c>
      <c r="C258" s="112" t="s">
        <v>2568</v>
      </c>
      <c r="D258" s="17" t="s">
        <v>2821</v>
      </c>
      <c r="E258" s="284"/>
      <c r="F258" s="283">
        <v>1515000</v>
      </c>
    </row>
    <row r="259" spans="1:6" x14ac:dyDescent="0.25">
      <c r="A259" s="230">
        <v>45586</v>
      </c>
      <c r="B259" s="11">
        <v>340</v>
      </c>
      <c r="C259" s="112" t="s">
        <v>2568</v>
      </c>
      <c r="D259" s="17" t="s">
        <v>2822</v>
      </c>
      <c r="E259" s="284"/>
      <c r="F259" s="283">
        <v>188500</v>
      </c>
    </row>
    <row r="260" spans="1:6" x14ac:dyDescent="0.25">
      <c r="A260" s="230">
        <v>45586</v>
      </c>
      <c r="B260" s="11">
        <v>340</v>
      </c>
      <c r="C260" s="112" t="s">
        <v>2568</v>
      </c>
      <c r="D260" s="17" t="s">
        <v>2823</v>
      </c>
      <c r="E260" s="284"/>
      <c r="F260" s="283">
        <v>5226000</v>
      </c>
    </row>
    <row r="261" spans="1:6" x14ac:dyDescent="0.25">
      <c r="A261" s="230">
        <v>45586</v>
      </c>
      <c r="B261" s="11">
        <v>340</v>
      </c>
      <c r="C261" s="112" t="s">
        <v>2568</v>
      </c>
      <c r="D261" s="17" t="s">
        <v>2824</v>
      </c>
      <c r="E261" s="284"/>
      <c r="F261" s="283">
        <v>361750</v>
      </c>
    </row>
    <row r="262" spans="1:6" x14ac:dyDescent="0.25">
      <c r="A262" s="230">
        <v>45586</v>
      </c>
      <c r="B262" s="11">
        <v>340</v>
      </c>
      <c r="C262" s="112" t="s">
        <v>2568</v>
      </c>
      <c r="D262" s="17" t="s">
        <v>2782</v>
      </c>
      <c r="E262" s="284"/>
      <c r="F262" s="283">
        <v>56700</v>
      </c>
    </row>
    <row r="263" spans="1:6" x14ac:dyDescent="0.25">
      <c r="A263" s="230">
        <v>45586</v>
      </c>
      <c r="B263" s="11">
        <v>340</v>
      </c>
      <c r="C263" s="112" t="s">
        <v>2568</v>
      </c>
      <c r="D263" s="17" t="s">
        <v>2825</v>
      </c>
      <c r="E263" s="284"/>
      <c r="F263" s="283">
        <v>634750</v>
      </c>
    </row>
    <row r="264" spans="1:6" x14ac:dyDescent="0.25">
      <c r="A264" s="230">
        <v>45586</v>
      </c>
      <c r="B264" s="11">
        <v>340</v>
      </c>
      <c r="C264" s="112" t="s">
        <v>2568</v>
      </c>
      <c r="D264" s="17" t="s">
        <v>2826</v>
      </c>
      <c r="E264" s="284"/>
      <c r="F264" s="283">
        <v>917860</v>
      </c>
    </row>
    <row r="265" spans="1:6" x14ac:dyDescent="0.25">
      <c r="A265" s="230">
        <v>45586</v>
      </c>
      <c r="B265" s="11">
        <v>340</v>
      </c>
      <c r="C265" s="112" t="s">
        <v>2568</v>
      </c>
      <c r="D265" s="17" t="s">
        <v>2827</v>
      </c>
      <c r="E265" s="284"/>
      <c r="F265" s="283">
        <v>106000</v>
      </c>
    </row>
    <row r="266" spans="1:6" x14ac:dyDescent="0.25">
      <c r="A266" s="230">
        <v>45586</v>
      </c>
      <c r="B266" s="11">
        <v>340</v>
      </c>
      <c r="C266" s="112" t="s">
        <v>2568</v>
      </c>
      <c r="D266" s="17" t="s">
        <v>2828</v>
      </c>
      <c r="E266" s="284"/>
      <c r="F266" s="283">
        <v>6000000</v>
      </c>
    </row>
    <row r="267" spans="1:6" x14ac:dyDescent="0.25">
      <c r="A267" s="230">
        <v>45586</v>
      </c>
      <c r="B267" s="11">
        <v>340</v>
      </c>
      <c r="C267" s="112" t="s">
        <v>2568</v>
      </c>
      <c r="D267" s="17" t="s">
        <v>2829</v>
      </c>
      <c r="E267" s="284"/>
      <c r="F267" s="283">
        <v>1175100</v>
      </c>
    </row>
    <row r="268" spans="1:6" x14ac:dyDescent="0.25">
      <c r="A268" s="230">
        <v>45586</v>
      </c>
      <c r="B268" s="11">
        <v>340</v>
      </c>
      <c r="C268" s="112" t="s">
        <v>2568</v>
      </c>
      <c r="D268" s="17" t="s">
        <v>2830</v>
      </c>
      <c r="E268" s="284"/>
      <c r="F268" s="283">
        <v>2750400</v>
      </c>
    </row>
    <row r="269" spans="1:6" x14ac:dyDescent="0.25">
      <c r="A269" s="230">
        <v>45586</v>
      </c>
      <c r="B269" s="11">
        <v>340</v>
      </c>
      <c r="C269" s="112" t="s">
        <v>2568</v>
      </c>
      <c r="D269" s="17" t="s">
        <v>2831</v>
      </c>
      <c r="E269" s="284"/>
      <c r="F269" s="283">
        <v>217761</v>
      </c>
    </row>
    <row r="270" spans="1:6" x14ac:dyDescent="0.25">
      <c r="A270" s="230">
        <v>45586</v>
      </c>
      <c r="B270" s="11">
        <v>340</v>
      </c>
      <c r="C270" s="112" t="s">
        <v>2568</v>
      </c>
      <c r="D270" s="17" t="s">
        <v>2832</v>
      </c>
      <c r="E270" s="284"/>
      <c r="F270" s="283">
        <v>1123000</v>
      </c>
    </row>
    <row r="271" spans="1:6" x14ac:dyDescent="0.25">
      <c r="A271" s="230">
        <v>45586</v>
      </c>
      <c r="B271" s="11">
        <v>340</v>
      </c>
      <c r="C271" s="112" t="s">
        <v>2568</v>
      </c>
      <c r="D271" s="17" t="s">
        <v>2833</v>
      </c>
      <c r="E271" s="284"/>
      <c r="F271" s="283">
        <v>440000</v>
      </c>
    </row>
    <row r="272" spans="1:6" x14ac:dyDescent="0.25">
      <c r="A272" s="230">
        <v>45586</v>
      </c>
      <c r="B272" s="11">
        <v>340</v>
      </c>
      <c r="C272" s="112" t="s">
        <v>2568</v>
      </c>
      <c r="D272" s="17" t="s">
        <v>2834</v>
      </c>
      <c r="E272" s="284"/>
      <c r="F272" s="283">
        <v>59800</v>
      </c>
    </row>
    <row r="273" spans="1:6" x14ac:dyDescent="0.25">
      <c r="A273" s="230">
        <v>45586</v>
      </c>
      <c r="B273" s="11">
        <v>340</v>
      </c>
      <c r="C273" s="112" t="s">
        <v>2568</v>
      </c>
      <c r="D273" s="17" t="s">
        <v>2835</v>
      </c>
      <c r="E273" s="284"/>
      <c r="F273" s="283">
        <v>287300</v>
      </c>
    </row>
    <row r="274" spans="1:6" x14ac:dyDescent="0.25">
      <c r="A274" s="230">
        <v>45586</v>
      </c>
      <c r="B274" s="11">
        <v>340</v>
      </c>
      <c r="C274" s="112" t="s">
        <v>2568</v>
      </c>
      <c r="D274" s="17" t="s">
        <v>2818</v>
      </c>
      <c r="E274" s="284"/>
      <c r="F274" s="283">
        <v>45000</v>
      </c>
    </row>
    <row r="275" spans="1:6" x14ac:dyDescent="0.25">
      <c r="A275" s="230">
        <v>45586</v>
      </c>
      <c r="B275" s="11">
        <v>341</v>
      </c>
      <c r="C275" s="112" t="s">
        <v>2568</v>
      </c>
      <c r="D275" s="17" t="s">
        <v>2776</v>
      </c>
      <c r="E275" s="282">
        <v>30912279</v>
      </c>
      <c r="F275" s="283"/>
    </row>
    <row r="276" spans="1:6" x14ac:dyDescent="0.25">
      <c r="A276" s="230">
        <v>45586</v>
      </c>
      <c r="B276" s="11">
        <v>341</v>
      </c>
      <c r="C276" s="112" t="s">
        <v>2568</v>
      </c>
      <c r="D276" s="17" t="s">
        <v>2836</v>
      </c>
      <c r="E276" s="282"/>
      <c r="F276" s="283">
        <v>6000000</v>
      </c>
    </row>
    <row r="277" spans="1:6" x14ac:dyDescent="0.25">
      <c r="A277" s="230">
        <v>45586</v>
      </c>
      <c r="B277" s="11">
        <v>341</v>
      </c>
      <c r="C277" s="112" t="s">
        <v>2568</v>
      </c>
      <c r="D277" s="17" t="s">
        <v>2837</v>
      </c>
      <c r="E277" s="282"/>
      <c r="F277" s="283">
        <v>100000</v>
      </c>
    </row>
    <row r="278" spans="1:6" x14ac:dyDescent="0.25">
      <c r="A278" s="230">
        <v>45586</v>
      </c>
      <c r="B278" s="11">
        <v>341</v>
      </c>
      <c r="C278" s="112" t="s">
        <v>2568</v>
      </c>
      <c r="D278" s="17" t="s">
        <v>2838</v>
      </c>
      <c r="E278" s="282"/>
      <c r="F278" s="283">
        <v>287000</v>
      </c>
    </row>
    <row r="279" spans="1:6" x14ac:dyDescent="0.25">
      <c r="A279" s="230">
        <v>45586</v>
      </c>
      <c r="B279" s="11">
        <v>341</v>
      </c>
      <c r="C279" s="112" t="s">
        <v>2568</v>
      </c>
      <c r="D279" s="17" t="s">
        <v>2839</v>
      </c>
      <c r="E279" s="282"/>
      <c r="F279" s="283">
        <v>1758875</v>
      </c>
    </row>
    <row r="280" spans="1:6" x14ac:dyDescent="0.25">
      <c r="A280" s="230">
        <v>45586</v>
      </c>
      <c r="B280" s="11">
        <v>341</v>
      </c>
      <c r="C280" s="112" t="s">
        <v>2568</v>
      </c>
      <c r="D280" s="17" t="s">
        <v>2840</v>
      </c>
      <c r="E280" s="282"/>
      <c r="F280" s="283">
        <v>491000</v>
      </c>
    </row>
    <row r="281" spans="1:6" x14ac:dyDescent="0.25">
      <c r="A281" s="230">
        <v>45586</v>
      </c>
      <c r="B281" s="11">
        <v>341</v>
      </c>
      <c r="C281" s="112" t="s">
        <v>2568</v>
      </c>
      <c r="D281" s="17" t="s">
        <v>2705</v>
      </c>
      <c r="E281" s="282"/>
      <c r="F281" s="283">
        <v>210485</v>
      </c>
    </row>
    <row r="282" spans="1:6" x14ac:dyDescent="0.25">
      <c r="A282" s="230">
        <v>45586</v>
      </c>
      <c r="B282" s="11">
        <v>341</v>
      </c>
      <c r="C282" s="112" t="s">
        <v>2568</v>
      </c>
      <c r="D282" s="17" t="s">
        <v>2841</v>
      </c>
      <c r="E282" s="282"/>
      <c r="F282" s="283">
        <v>2000000</v>
      </c>
    </row>
    <row r="283" spans="1:6" x14ac:dyDescent="0.25">
      <c r="A283" s="230">
        <v>45586</v>
      </c>
      <c r="B283" s="11">
        <v>341</v>
      </c>
      <c r="C283" s="112" t="s">
        <v>2568</v>
      </c>
      <c r="D283" s="17" t="s">
        <v>2817</v>
      </c>
      <c r="E283" s="282"/>
      <c r="F283" s="283">
        <v>3109680</v>
      </c>
    </row>
    <row r="284" spans="1:6" x14ac:dyDescent="0.25">
      <c r="A284" s="230">
        <v>45586</v>
      </c>
      <c r="B284" s="11">
        <v>341</v>
      </c>
      <c r="C284" s="112" t="s">
        <v>2568</v>
      </c>
      <c r="D284" s="17" t="s">
        <v>2842</v>
      </c>
      <c r="E284" s="282"/>
      <c r="F284" s="283">
        <v>5000</v>
      </c>
    </row>
    <row r="285" spans="1:6" x14ac:dyDescent="0.25">
      <c r="A285" s="230">
        <v>45586</v>
      </c>
      <c r="B285" s="11">
        <v>341</v>
      </c>
      <c r="C285" s="112" t="s">
        <v>2568</v>
      </c>
      <c r="D285" s="17" t="s">
        <v>2843</v>
      </c>
      <c r="E285" s="282"/>
      <c r="F285" s="283">
        <v>878000</v>
      </c>
    </row>
    <row r="286" spans="1:6" x14ac:dyDescent="0.25">
      <c r="A286" s="230">
        <v>45586</v>
      </c>
      <c r="B286" s="11">
        <v>341</v>
      </c>
      <c r="C286" s="112" t="s">
        <v>2568</v>
      </c>
      <c r="D286" s="17" t="s">
        <v>2844</v>
      </c>
      <c r="E286" s="282"/>
      <c r="F286" s="283">
        <v>433300</v>
      </c>
    </row>
    <row r="287" spans="1:6" x14ac:dyDescent="0.25">
      <c r="A287" s="230">
        <v>45586</v>
      </c>
      <c r="B287" s="11">
        <v>341</v>
      </c>
      <c r="C287" s="112" t="s">
        <v>2568</v>
      </c>
      <c r="D287" s="17" t="s">
        <v>2845</v>
      </c>
      <c r="E287" s="282"/>
      <c r="F287" s="283">
        <v>452500</v>
      </c>
    </row>
    <row r="288" spans="1:6" x14ac:dyDescent="0.25">
      <c r="A288" s="230">
        <v>45586</v>
      </c>
      <c r="B288" s="11">
        <v>341</v>
      </c>
      <c r="C288" s="112" t="s">
        <v>2568</v>
      </c>
      <c r="D288" s="17" t="s">
        <v>2846</v>
      </c>
      <c r="E288" s="282"/>
      <c r="F288" s="283">
        <v>215000</v>
      </c>
    </row>
    <row r="289" spans="1:6" x14ac:dyDescent="0.25">
      <c r="A289" s="230">
        <v>45586</v>
      </c>
      <c r="B289" s="11">
        <v>341</v>
      </c>
      <c r="C289" s="112" t="s">
        <v>2568</v>
      </c>
      <c r="D289" s="17" t="s">
        <v>2847</v>
      </c>
      <c r="E289" s="282"/>
      <c r="F289" s="283">
        <v>380000</v>
      </c>
    </row>
    <row r="290" spans="1:6" x14ac:dyDescent="0.25">
      <c r="A290" s="230">
        <v>45586</v>
      </c>
      <c r="B290" s="11">
        <v>341</v>
      </c>
      <c r="C290" s="112" t="s">
        <v>2568</v>
      </c>
      <c r="D290" s="17" t="s">
        <v>2848</v>
      </c>
      <c r="E290" s="282"/>
      <c r="F290" s="283">
        <v>597000</v>
      </c>
    </row>
    <row r="291" spans="1:6" x14ac:dyDescent="0.25">
      <c r="A291" s="230">
        <v>45586</v>
      </c>
      <c r="B291" s="11">
        <v>341</v>
      </c>
      <c r="C291" s="112" t="s">
        <v>2568</v>
      </c>
      <c r="D291" s="17" t="s">
        <v>2849</v>
      </c>
      <c r="E291" s="282"/>
      <c r="F291" s="283">
        <v>600000</v>
      </c>
    </row>
    <row r="292" spans="1:6" x14ac:dyDescent="0.25">
      <c r="A292" s="230">
        <v>45586</v>
      </c>
      <c r="B292" s="11">
        <v>341</v>
      </c>
      <c r="C292" s="112" t="s">
        <v>2568</v>
      </c>
      <c r="D292" s="17" t="s">
        <v>2850</v>
      </c>
      <c r="E292" s="282"/>
      <c r="F292" s="283">
        <v>406000</v>
      </c>
    </row>
    <row r="293" spans="1:6" x14ac:dyDescent="0.25">
      <c r="A293" s="230">
        <v>45586</v>
      </c>
      <c r="B293" s="11">
        <v>341</v>
      </c>
      <c r="C293" s="112" t="s">
        <v>2568</v>
      </c>
      <c r="D293" s="17" t="s">
        <v>2851</v>
      </c>
      <c r="E293" s="282"/>
      <c r="F293" s="283">
        <v>502500</v>
      </c>
    </row>
    <row r="294" spans="1:6" x14ac:dyDescent="0.25">
      <c r="A294" s="230">
        <v>45586</v>
      </c>
      <c r="B294" s="11">
        <v>341</v>
      </c>
      <c r="C294" s="112" t="s">
        <v>2568</v>
      </c>
      <c r="D294" s="17" t="s">
        <v>2852</v>
      </c>
      <c r="E294" s="282"/>
      <c r="F294" s="283">
        <v>600000</v>
      </c>
    </row>
    <row r="295" spans="1:6" x14ac:dyDescent="0.25">
      <c r="A295" s="230">
        <v>45586</v>
      </c>
      <c r="B295" s="11">
        <v>341</v>
      </c>
      <c r="C295" s="112" t="s">
        <v>2568</v>
      </c>
      <c r="D295" s="17" t="s">
        <v>2853</v>
      </c>
      <c r="E295" s="282"/>
      <c r="F295" s="283">
        <v>88750</v>
      </c>
    </row>
    <row r="296" spans="1:6" x14ac:dyDescent="0.25">
      <c r="A296" s="230">
        <v>45586</v>
      </c>
      <c r="B296" s="11">
        <v>341</v>
      </c>
      <c r="C296" s="112" t="s">
        <v>2568</v>
      </c>
      <c r="D296" s="17" t="s">
        <v>2854</v>
      </c>
      <c r="E296" s="282"/>
      <c r="F296" s="283">
        <v>281389</v>
      </c>
    </row>
    <row r="297" spans="1:6" x14ac:dyDescent="0.25">
      <c r="A297" s="230">
        <v>45586</v>
      </c>
      <c r="B297" s="11">
        <v>341</v>
      </c>
      <c r="C297" s="112" t="s">
        <v>2568</v>
      </c>
      <c r="D297" s="17" t="s">
        <v>2855</v>
      </c>
      <c r="E297" s="282"/>
      <c r="F297" s="283">
        <v>88000</v>
      </c>
    </row>
    <row r="298" spans="1:6" x14ac:dyDescent="0.25">
      <c r="A298" s="230">
        <v>45586</v>
      </c>
      <c r="B298" s="11">
        <v>341</v>
      </c>
      <c r="C298" s="112" t="s">
        <v>2568</v>
      </c>
      <c r="D298" s="17" t="s">
        <v>2856</v>
      </c>
      <c r="E298" s="282"/>
      <c r="F298" s="283">
        <v>15400</v>
      </c>
    </row>
    <row r="299" spans="1:6" x14ac:dyDescent="0.25">
      <c r="A299" s="230">
        <v>45586</v>
      </c>
      <c r="B299" s="11">
        <v>341</v>
      </c>
      <c r="C299" s="112" t="s">
        <v>2568</v>
      </c>
      <c r="D299" s="17" t="s">
        <v>2857</v>
      </c>
      <c r="E299" s="282"/>
      <c r="F299" s="283">
        <v>2000000</v>
      </c>
    </row>
    <row r="300" spans="1:6" x14ac:dyDescent="0.25">
      <c r="A300" s="230">
        <v>45586</v>
      </c>
      <c r="B300" s="11">
        <v>341</v>
      </c>
      <c r="C300" s="112" t="s">
        <v>2568</v>
      </c>
      <c r="D300" s="17" t="s">
        <v>2858</v>
      </c>
      <c r="E300" s="282"/>
      <c r="F300" s="283">
        <v>2500000</v>
      </c>
    </row>
    <row r="301" spans="1:6" x14ac:dyDescent="0.25">
      <c r="A301" s="230">
        <v>45586</v>
      </c>
      <c r="B301" s="11">
        <v>341</v>
      </c>
      <c r="C301" s="112" t="s">
        <v>2568</v>
      </c>
      <c r="D301" s="17" t="s">
        <v>2859</v>
      </c>
      <c r="E301" s="282"/>
      <c r="F301" s="283">
        <v>100000</v>
      </c>
    </row>
    <row r="302" spans="1:6" x14ac:dyDescent="0.25">
      <c r="A302" s="230">
        <v>45586</v>
      </c>
      <c r="B302" s="11">
        <v>341</v>
      </c>
      <c r="C302" s="112" t="s">
        <v>2568</v>
      </c>
      <c r="D302" s="17" t="s">
        <v>2860</v>
      </c>
      <c r="E302" s="282"/>
      <c r="F302" s="283">
        <v>2000000</v>
      </c>
    </row>
    <row r="303" spans="1:6" x14ac:dyDescent="0.25">
      <c r="A303" s="230">
        <v>45586</v>
      </c>
      <c r="B303" s="11">
        <v>341</v>
      </c>
      <c r="C303" s="112" t="s">
        <v>2568</v>
      </c>
      <c r="D303" s="17" t="s">
        <v>2782</v>
      </c>
      <c r="E303" s="282"/>
      <c r="F303" s="283">
        <v>108800</v>
      </c>
    </row>
    <row r="304" spans="1:6" x14ac:dyDescent="0.25">
      <c r="A304" s="230">
        <v>45586</v>
      </c>
      <c r="B304" s="11">
        <v>341</v>
      </c>
      <c r="C304" s="112" t="s">
        <v>2568</v>
      </c>
      <c r="D304" s="17" t="s">
        <v>2861</v>
      </c>
      <c r="E304" s="282"/>
      <c r="F304" s="283">
        <v>1775500</v>
      </c>
    </row>
    <row r="305" spans="1:6" x14ac:dyDescent="0.25">
      <c r="A305" s="230">
        <v>45586</v>
      </c>
      <c r="B305" s="11">
        <v>341</v>
      </c>
      <c r="C305" s="112" t="s">
        <v>2568</v>
      </c>
      <c r="D305" s="17" t="s">
        <v>2862</v>
      </c>
      <c r="E305" s="282"/>
      <c r="F305" s="283">
        <v>466600</v>
      </c>
    </row>
    <row r="306" spans="1:6" x14ac:dyDescent="0.25">
      <c r="A306" s="230">
        <v>45586</v>
      </c>
      <c r="B306" s="11">
        <v>341</v>
      </c>
      <c r="C306" s="112" t="s">
        <v>2568</v>
      </c>
      <c r="D306" s="17" t="s">
        <v>2863</v>
      </c>
      <c r="E306" s="282"/>
      <c r="F306" s="283">
        <v>2461500</v>
      </c>
    </row>
    <row r="307" spans="1:6" x14ac:dyDescent="0.25">
      <c r="A307" s="230">
        <v>45588</v>
      </c>
      <c r="B307" s="11">
        <v>344</v>
      </c>
      <c r="C307" s="112" t="s">
        <v>2568</v>
      </c>
      <c r="D307" s="17" t="s">
        <v>2864</v>
      </c>
      <c r="E307" s="282"/>
      <c r="F307" s="283">
        <v>27600000</v>
      </c>
    </row>
    <row r="308" spans="1:6" x14ac:dyDescent="0.25">
      <c r="A308" s="230">
        <v>45588</v>
      </c>
      <c r="B308" s="11">
        <v>344</v>
      </c>
      <c r="C308" s="112" t="s">
        <v>2568</v>
      </c>
      <c r="D308" s="17" t="s">
        <v>2865</v>
      </c>
      <c r="E308" s="282"/>
      <c r="F308" s="283">
        <v>29000000</v>
      </c>
    </row>
    <row r="309" spans="1:6" x14ac:dyDescent="0.25">
      <c r="A309" s="230">
        <v>45588</v>
      </c>
      <c r="B309" s="11">
        <v>344</v>
      </c>
      <c r="C309" s="112" t="s">
        <v>2568</v>
      </c>
      <c r="D309" s="17" t="s">
        <v>2866</v>
      </c>
      <c r="E309" s="282"/>
      <c r="F309" s="283">
        <v>16500000</v>
      </c>
    </row>
    <row r="310" spans="1:6" x14ac:dyDescent="0.25">
      <c r="A310" s="230">
        <v>45588</v>
      </c>
      <c r="B310" s="11">
        <v>344</v>
      </c>
      <c r="C310" s="112" t="s">
        <v>2568</v>
      </c>
      <c r="D310" s="17" t="s">
        <v>2867</v>
      </c>
      <c r="E310" s="282"/>
      <c r="F310" s="283">
        <v>12900000</v>
      </c>
    </row>
    <row r="311" spans="1:6" x14ac:dyDescent="0.25">
      <c r="A311" s="230">
        <v>45588</v>
      </c>
      <c r="B311" s="11">
        <v>344</v>
      </c>
      <c r="C311" s="112" t="s">
        <v>2568</v>
      </c>
      <c r="D311" s="17" t="s">
        <v>2868</v>
      </c>
      <c r="E311" s="282"/>
      <c r="F311" s="283">
        <v>14000000</v>
      </c>
    </row>
    <row r="312" spans="1:6" x14ac:dyDescent="0.25">
      <c r="A312" s="230">
        <v>45608</v>
      </c>
      <c r="B312" s="11" t="s">
        <v>2869</v>
      </c>
      <c r="C312" s="112" t="s">
        <v>2568</v>
      </c>
      <c r="D312" s="17" t="s">
        <v>2870</v>
      </c>
      <c r="E312" s="282"/>
      <c r="F312" s="289">
        <v>3383890</v>
      </c>
    </row>
    <row r="313" spans="1:6" x14ac:dyDescent="0.25">
      <c r="A313" s="230">
        <v>45608</v>
      </c>
      <c r="B313" s="11" t="s">
        <v>2869</v>
      </c>
      <c r="C313" s="112" t="s">
        <v>2568</v>
      </c>
      <c r="D313" s="17" t="s">
        <v>2871</v>
      </c>
      <c r="E313" s="282"/>
      <c r="F313" s="289">
        <v>1269500</v>
      </c>
    </row>
    <row r="314" spans="1:6" x14ac:dyDescent="0.25">
      <c r="A314" s="230">
        <v>45608</v>
      </c>
      <c r="B314" s="11" t="s">
        <v>2869</v>
      </c>
      <c r="C314" s="112" t="s">
        <v>2568</v>
      </c>
      <c r="D314" s="17" t="s">
        <v>2872</v>
      </c>
      <c r="E314" s="282"/>
      <c r="F314" s="289">
        <v>24000</v>
      </c>
    </row>
    <row r="315" spans="1:6" x14ac:dyDescent="0.25">
      <c r="A315" s="230">
        <v>45608</v>
      </c>
      <c r="B315" s="11" t="s">
        <v>2869</v>
      </c>
      <c r="C315" s="112" t="s">
        <v>2568</v>
      </c>
      <c r="D315" s="17" t="s">
        <v>2873</v>
      </c>
      <c r="E315" s="282"/>
      <c r="F315" s="289">
        <v>360000</v>
      </c>
    </row>
    <row r="316" spans="1:6" x14ac:dyDescent="0.25">
      <c r="A316" s="230">
        <v>45608</v>
      </c>
      <c r="B316" s="11" t="s">
        <v>2869</v>
      </c>
      <c r="C316" s="112" t="s">
        <v>2568</v>
      </c>
      <c r="D316" s="17" t="s">
        <v>2763</v>
      </c>
      <c r="E316" s="282"/>
      <c r="F316" s="289">
        <v>40000</v>
      </c>
    </row>
    <row r="317" spans="1:6" x14ac:dyDescent="0.25">
      <c r="A317" s="230">
        <v>45608</v>
      </c>
      <c r="B317" s="11" t="s">
        <v>2869</v>
      </c>
      <c r="C317" s="112" t="s">
        <v>2568</v>
      </c>
      <c r="D317" s="17" t="s">
        <v>2874</v>
      </c>
      <c r="E317" s="282"/>
      <c r="F317" s="289">
        <v>250202</v>
      </c>
    </row>
    <row r="318" spans="1:6" x14ac:dyDescent="0.25">
      <c r="A318" s="230">
        <v>45608</v>
      </c>
      <c r="B318" s="11" t="s">
        <v>2869</v>
      </c>
      <c r="C318" s="112" t="s">
        <v>2568</v>
      </c>
      <c r="D318" s="17" t="s">
        <v>2875</v>
      </c>
      <c r="E318" s="282"/>
      <c r="F318" s="289">
        <v>750000</v>
      </c>
    </row>
    <row r="319" spans="1:6" x14ac:dyDescent="0.25">
      <c r="A319" s="230">
        <v>45608</v>
      </c>
      <c r="B319" s="11" t="s">
        <v>2869</v>
      </c>
      <c r="C319" s="112" t="s">
        <v>2568</v>
      </c>
      <c r="D319" s="12" t="s">
        <v>2876</v>
      </c>
      <c r="E319" s="282"/>
      <c r="F319" s="285">
        <v>891000</v>
      </c>
    </row>
    <row r="320" spans="1:6" x14ac:dyDescent="0.25">
      <c r="A320" s="230">
        <v>45608</v>
      </c>
      <c r="B320" s="11" t="s">
        <v>2869</v>
      </c>
      <c r="C320" s="112" t="s">
        <v>2568</v>
      </c>
      <c r="D320" s="12" t="s">
        <v>2877</v>
      </c>
      <c r="E320" s="282"/>
      <c r="F320" s="285">
        <v>31000</v>
      </c>
    </row>
    <row r="321" spans="1:6" x14ac:dyDescent="0.25">
      <c r="A321" s="230">
        <v>45608</v>
      </c>
      <c r="B321" s="11" t="s">
        <v>2869</v>
      </c>
      <c r="C321" s="112" t="s">
        <v>2568</v>
      </c>
      <c r="D321" s="12" t="s">
        <v>2878</v>
      </c>
      <c r="E321" s="282"/>
      <c r="F321" s="285">
        <v>1524000</v>
      </c>
    </row>
    <row r="322" spans="1:6" x14ac:dyDescent="0.25">
      <c r="A322" s="230">
        <v>45608</v>
      </c>
      <c r="B322" s="11" t="s">
        <v>2869</v>
      </c>
      <c r="C322" s="112" t="s">
        <v>2568</v>
      </c>
      <c r="D322" s="12" t="s">
        <v>2879</v>
      </c>
      <c r="E322" s="282"/>
      <c r="F322" s="285">
        <v>99000</v>
      </c>
    </row>
    <row r="323" spans="1:6" x14ac:dyDescent="0.25">
      <c r="A323" s="230">
        <v>45608</v>
      </c>
      <c r="B323" s="11" t="s">
        <v>2869</v>
      </c>
      <c r="C323" s="112" t="s">
        <v>2568</v>
      </c>
      <c r="D323" s="12" t="s">
        <v>2880</v>
      </c>
      <c r="E323" s="282"/>
      <c r="F323" s="285">
        <v>25500</v>
      </c>
    </row>
    <row r="324" spans="1:6" x14ac:dyDescent="0.25">
      <c r="A324" s="230">
        <v>45608</v>
      </c>
      <c r="B324" s="11" t="s">
        <v>2869</v>
      </c>
      <c r="C324" s="112" t="s">
        <v>2568</v>
      </c>
      <c r="D324" s="12" t="s">
        <v>2881</v>
      </c>
      <c r="E324" s="282"/>
      <c r="F324" s="285">
        <v>294000</v>
      </c>
    </row>
    <row r="325" spans="1:6" x14ac:dyDescent="0.25">
      <c r="A325" s="230">
        <v>45608</v>
      </c>
      <c r="B325" s="11" t="s">
        <v>2869</v>
      </c>
      <c r="C325" s="112" t="s">
        <v>2568</v>
      </c>
      <c r="D325" s="12" t="s">
        <v>2882</v>
      </c>
      <c r="E325" s="282"/>
      <c r="F325" s="285">
        <v>575200</v>
      </c>
    </row>
    <row r="326" spans="1:6" x14ac:dyDescent="0.25">
      <c r="A326" s="230">
        <v>45608</v>
      </c>
      <c r="B326" s="11" t="s">
        <v>2869</v>
      </c>
      <c r="C326" s="112" t="s">
        <v>2568</v>
      </c>
      <c r="D326" s="12" t="s">
        <v>2883</v>
      </c>
      <c r="E326" s="282"/>
      <c r="F326" s="285">
        <v>72000</v>
      </c>
    </row>
    <row r="327" spans="1:6" x14ac:dyDescent="0.25">
      <c r="A327" s="230">
        <v>45608</v>
      </c>
      <c r="B327" s="11" t="s">
        <v>2869</v>
      </c>
      <c r="C327" s="112" t="s">
        <v>2568</v>
      </c>
      <c r="D327" s="12" t="s">
        <v>2884</v>
      </c>
      <c r="E327" s="282"/>
      <c r="F327" s="285">
        <v>15000</v>
      </c>
    </row>
    <row r="328" spans="1:6" x14ac:dyDescent="0.25">
      <c r="A328" s="230">
        <v>45608</v>
      </c>
      <c r="B328" s="11" t="s">
        <v>2869</v>
      </c>
      <c r="C328" s="112" t="s">
        <v>2568</v>
      </c>
      <c r="D328" s="12" t="s">
        <v>2885</v>
      </c>
      <c r="E328" s="282"/>
      <c r="F328" s="285">
        <v>158500</v>
      </c>
    </row>
    <row r="329" spans="1:6" x14ac:dyDescent="0.25">
      <c r="A329" s="230">
        <v>45608</v>
      </c>
      <c r="B329" s="11" t="s">
        <v>2869</v>
      </c>
      <c r="C329" s="112" t="s">
        <v>2568</v>
      </c>
      <c r="D329" s="12" t="s">
        <v>2886</v>
      </c>
      <c r="E329" s="282"/>
      <c r="F329" s="285">
        <v>2500000</v>
      </c>
    </row>
    <row r="330" spans="1:6" x14ac:dyDescent="0.25">
      <c r="A330" s="230">
        <v>45608</v>
      </c>
      <c r="B330" s="11" t="s">
        <v>2869</v>
      </c>
      <c r="C330" s="112" t="s">
        <v>2568</v>
      </c>
      <c r="D330" s="12" t="s">
        <v>2887</v>
      </c>
      <c r="E330" s="282"/>
      <c r="F330" s="285">
        <v>289200</v>
      </c>
    </row>
    <row r="331" spans="1:6" x14ac:dyDescent="0.25">
      <c r="A331" s="230">
        <v>45608</v>
      </c>
      <c r="B331" s="11" t="s">
        <v>2869</v>
      </c>
      <c r="C331" s="112" t="s">
        <v>2568</v>
      </c>
      <c r="D331" s="12" t="s">
        <v>2888</v>
      </c>
      <c r="E331" s="282"/>
      <c r="F331" s="285">
        <v>5000000</v>
      </c>
    </row>
    <row r="332" spans="1:6" x14ac:dyDescent="0.25">
      <c r="A332" s="230">
        <v>45608</v>
      </c>
      <c r="B332" s="11" t="s">
        <v>2869</v>
      </c>
      <c r="C332" s="112" t="s">
        <v>2568</v>
      </c>
      <c r="D332" s="12" t="s">
        <v>2889</v>
      </c>
      <c r="E332" s="282"/>
      <c r="F332" s="285">
        <v>37400</v>
      </c>
    </row>
    <row r="333" spans="1:6" x14ac:dyDescent="0.25">
      <c r="A333" s="230">
        <v>45608</v>
      </c>
      <c r="B333" s="11" t="s">
        <v>2869</v>
      </c>
      <c r="C333" s="112" t="s">
        <v>2568</v>
      </c>
      <c r="D333" s="12" t="s">
        <v>2890</v>
      </c>
      <c r="E333" s="282"/>
      <c r="F333" s="285">
        <v>500000</v>
      </c>
    </row>
    <row r="334" spans="1:6" x14ac:dyDescent="0.25">
      <c r="A334" s="230">
        <v>45608</v>
      </c>
      <c r="B334" s="11" t="s">
        <v>2869</v>
      </c>
      <c r="C334" s="112" t="s">
        <v>2568</v>
      </c>
      <c r="D334" s="12" t="s">
        <v>2891</v>
      </c>
      <c r="E334" s="282"/>
      <c r="F334" s="285">
        <v>561671</v>
      </c>
    </row>
    <row r="335" spans="1:6" x14ac:dyDescent="0.25">
      <c r="A335" s="230">
        <v>45608</v>
      </c>
      <c r="B335" s="11" t="s">
        <v>2869</v>
      </c>
      <c r="C335" s="112" t="s">
        <v>2568</v>
      </c>
      <c r="D335" s="12" t="s">
        <v>2892</v>
      </c>
      <c r="E335" s="282"/>
      <c r="F335" s="285">
        <v>213400</v>
      </c>
    </row>
    <row r="336" spans="1:6" x14ac:dyDescent="0.25">
      <c r="A336" s="230">
        <v>45642</v>
      </c>
      <c r="B336" s="11">
        <v>451</v>
      </c>
      <c r="C336" s="112" t="s">
        <v>2568</v>
      </c>
      <c r="D336" s="12" t="s">
        <v>2893</v>
      </c>
      <c r="E336" s="282"/>
      <c r="F336" s="283">
        <v>24082500</v>
      </c>
    </row>
    <row r="337" spans="1:6" x14ac:dyDescent="0.25">
      <c r="A337" s="230">
        <v>45642</v>
      </c>
      <c r="B337" s="11">
        <v>451</v>
      </c>
      <c r="C337" s="112" t="s">
        <v>2568</v>
      </c>
      <c r="D337" s="12" t="s">
        <v>2894</v>
      </c>
      <c r="E337" s="282"/>
      <c r="F337" s="283">
        <v>2500</v>
      </c>
    </row>
    <row r="338" spans="1:6" x14ac:dyDescent="0.25">
      <c r="A338" s="230">
        <v>45651</v>
      </c>
      <c r="B338" s="11">
        <v>495</v>
      </c>
      <c r="C338" s="112" t="s">
        <v>2568</v>
      </c>
      <c r="D338" s="17" t="s">
        <v>2895</v>
      </c>
      <c r="E338" s="282"/>
      <c r="F338" s="283">
        <v>202250</v>
      </c>
    </row>
    <row r="339" spans="1:6" x14ac:dyDescent="0.25">
      <c r="A339" s="230">
        <v>45655</v>
      </c>
      <c r="B339" s="11">
        <v>514</v>
      </c>
      <c r="C339" s="112" t="s">
        <v>2568</v>
      </c>
      <c r="D339" s="17" t="s">
        <v>2896</v>
      </c>
      <c r="E339" s="282"/>
      <c r="F339" s="283">
        <v>507500</v>
      </c>
    </row>
    <row r="340" spans="1:6" x14ac:dyDescent="0.25">
      <c r="A340" s="230">
        <v>45655</v>
      </c>
      <c r="B340" s="11">
        <v>516</v>
      </c>
      <c r="C340" s="112" t="s">
        <v>2568</v>
      </c>
      <c r="D340" s="17" t="s">
        <v>2897</v>
      </c>
      <c r="E340" s="282"/>
      <c r="F340" s="283">
        <v>1000000</v>
      </c>
    </row>
    <row r="341" spans="1:6" x14ac:dyDescent="0.25">
      <c r="A341" s="230">
        <v>45655</v>
      </c>
      <c r="B341" s="11">
        <v>516</v>
      </c>
      <c r="C341" s="112" t="s">
        <v>2568</v>
      </c>
      <c r="D341" s="17" t="s">
        <v>2898</v>
      </c>
      <c r="E341" s="282"/>
      <c r="F341" s="283">
        <v>2500</v>
      </c>
    </row>
    <row r="342" spans="1:6" x14ac:dyDescent="0.25">
      <c r="A342" s="230">
        <v>45315</v>
      </c>
      <c r="B342" s="11" t="s">
        <v>2899</v>
      </c>
      <c r="C342" s="112" t="s">
        <v>2568</v>
      </c>
      <c r="D342" s="17" t="s">
        <v>2900</v>
      </c>
      <c r="E342" s="282"/>
      <c r="F342" s="290">
        <v>26367898</v>
      </c>
    </row>
    <row r="343" spans="1:6" x14ac:dyDescent="0.25">
      <c r="A343" s="230">
        <v>45315</v>
      </c>
      <c r="B343" s="11" t="s">
        <v>2901</v>
      </c>
      <c r="C343" s="112" t="s">
        <v>2568</v>
      </c>
      <c r="D343" s="17" t="s">
        <v>2902</v>
      </c>
      <c r="E343" s="282"/>
      <c r="F343" s="290">
        <v>17929560</v>
      </c>
    </row>
    <row r="344" spans="1:6" x14ac:dyDescent="0.25">
      <c r="A344" s="230">
        <v>45315</v>
      </c>
      <c r="B344" s="11" t="s">
        <v>2901</v>
      </c>
      <c r="C344" s="112" t="s">
        <v>2568</v>
      </c>
      <c r="D344" s="17" t="s">
        <v>2903</v>
      </c>
      <c r="E344" s="282"/>
      <c r="F344" s="290">
        <v>397375</v>
      </c>
    </row>
    <row r="345" spans="1:6" x14ac:dyDescent="0.25">
      <c r="A345" s="271">
        <v>45329</v>
      </c>
      <c r="B345" s="15" t="s">
        <v>2904</v>
      </c>
      <c r="C345" s="113" t="s">
        <v>2568</v>
      </c>
      <c r="D345" s="17" t="s">
        <v>2905</v>
      </c>
      <c r="E345" s="282"/>
      <c r="F345" s="290">
        <v>18863485</v>
      </c>
    </row>
    <row r="346" spans="1:6" x14ac:dyDescent="0.25">
      <c r="A346" s="271">
        <v>45329</v>
      </c>
      <c r="B346" s="15" t="s">
        <v>2904</v>
      </c>
      <c r="C346" s="113" t="s">
        <v>2568</v>
      </c>
      <c r="D346" s="17" t="s">
        <v>2906</v>
      </c>
      <c r="E346" s="282"/>
      <c r="F346" s="290">
        <v>396625</v>
      </c>
    </row>
    <row r="347" spans="1:6" x14ac:dyDescent="0.25">
      <c r="A347" s="230">
        <v>45358</v>
      </c>
      <c r="B347" s="11" t="s">
        <v>2907</v>
      </c>
      <c r="C347" s="112" t="s">
        <v>2568</v>
      </c>
      <c r="D347" s="17" t="s">
        <v>2908</v>
      </c>
      <c r="E347" s="282"/>
      <c r="F347" s="290">
        <v>11210338</v>
      </c>
    </row>
    <row r="348" spans="1:6" x14ac:dyDescent="0.25">
      <c r="A348" s="230">
        <v>45358</v>
      </c>
      <c r="B348" s="11" t="s">
        <v>2907</v>
      </c>
      <c r="C348" s="112" t="s">
        <v>2568</v>
      </c>
      <c r="D348" s="17" t="s">
        <v>2909</v>
      </c>
      <c r="E348" s="282"/>
      <c r="F348" s="290">
        <v>396125</v>
      </c>
    </row>
    <row r="349" spans="1:6" x14ac:dyDescent="0.25">
      <c r="A349" s="230">
        <v>45365</v>
      </c>
      <c r="B349" s="11" t="s">
        <v>2910</v>
      </c>
      <c r="C349" s="112" t="s">
        <v>2568</v>
      </c>
      <c r="D349" s="17" t="s">
        <v>2911</v>
      </c>
      <c r="E349" s="282"/>
      <c r="F349" s="290">
        <v>2258483</v>
      </c>
    </row>
    <row r="350" spans="1:6" x14ac:dyDescent="0.25">
      <c r="A350" s="230">
        <v>45365</v>
      </c>
      <c r="B350" s="11" t="s">
        <v>2910</v>
      </c>
      <c r="C350" s="112" t="s">
        <v>2568</v>
      </c>
      <c r="D350" s="17" t="s">
        <v>2912</v>
      </c>
      <c r="E350" s="282"/>
      <c r="F350" s="290">
        <v>24843</v>
      </c>
    </row>
    <row r="351" spans="1:6" x14ac:dyDescent="0.25">
      <c r="A351" s="230">
        <v>45365</v>
      </c>
      <c r="B351" s="11" t="s">
        <v>2910</v>
      </c>
      <c r="C351" s="112" t="s">
        <v>2568</v>
      </c>
      <c r="D351" s="17" t="s">
        <v>2913</v>
      </c>
      <c r="E351" s="282"/>
      <c r="F351" s="290">
        <v>-45170</v>
      </c>
    </row>
    <row r="352" spans="1:6" x14ac:dyDescent="0.25">
      <c r="A352" s="230">
        <v>45365</v>
      </c>
      <c r="B352" s="11" t="s">
        <v>2910</v>
      </c>
      <c r="C352" s="112" t="s">
        <v>2568</v>
      </c>
      <c r="D352" s="17" t="s">
        <v>105</v>
      </c>
      <c r="E352" s="282"/>
      <c r="F352" s="290">
        <v>2900</v>
      </c>
    </row>
    <row r="353" spans="1:6" x14ac:dyDescent="0.25">
      <c r="A353" s="271">
        <v>45372</v>
      </c>
      <c r="B353" s="15" t="s">
        <v>2914</v>
      </c>
      <c r="C353" s="113" t="s">
        <v>2568</v>
      </c>
      <c r="D353" s="12" t="s">
        <v>2915</v>
      </c>
      <c r="E353" s="291"/>
      <c r="F353" s="292">
        <v>22864219</v>
      </c>
    </row>
    <row r="354" spans="1:6" x14ac:dyDescent="0.25">
      <c r="A354" s="271">
        <v>45372</v>
      </c>
      <c r="B354" s="15" t="s">
        <v>2914</v>
      </c>
      <c r="C354" s="113" t="s">
        <v>2568</v>
      </c>
      <c r="D354" s="12" t="s">
        <v>2916</v>
      </c>
      <c r="E354" s="291"/>
      <c r="F354" s="292">
        <v>395750</v>
      </c>
    </row>
    <row r="355" spans="1:6" x14ac:dyDescent="0.25">
      <c r="A355" s="230">
        <v>45379</v>
      </c>
      <c r="B355" s="11" t="s">
        <v>2917</v>
      </c>
      <c r="C355" s="112" t="s">
        <v>2568</v>
      </c>
      <c r="D355" s="17" t="s">
        <v>2918</v>
      </c>
      <c r="E355" s="282"/>
      <c r="F355" s="290">
        <v>62125056</v>
      </c>
    </row>
    <row r="356" spans="1:6" x14ac:dyDescent="0.25">
      <c r="A356" s="230">
        <v>45379</v>
      </c>
      <c r="B356" s="11" t="s">
        <v>2917</v>
      </c>
      <c r="C356" s="112" t="s">
        <v>2568</v>
      </c>
      <c r="D356" s="17" t="s">
        <v>2919</v>
      </c>
      <c r="E356" s="282"/>
      <c r="F356" s="290">
        <v>401250</v>
      </c>
    </row>
    <row r="357" spans="1:6" x14ac:dyDescent="0.25">
      <c r="A357" s="230">
        <v>45379</v>
      </c>
      <c r="B357" s="11" t="s">
        <v>2920</v>
      </c>
      <c r="C357" s="112" t="s">
        <v>2568</v>
      </c>
      <c r="D357" s="17" t="s">
        <v>2921</v>
      </c>
      <c r="E357" s="282"/>
      <c r="F357" s="290">
        <v>37450000</v>
      </c>
    </row>
    <row r="358" spans="1:6" x14ac:dyDescent="0.25">
      <c r="A358" s="230">
        <v>45379</v>
      </c>
      <c r="B358" s="11" t="s">
        <v>2920</v>
      </c>
      <c r="C358" s="112" t="s">
        <v>2568</v>
      </c>
      <c r="D358" s="17" t="s">
        <v>2922</v>
      </c>
      <c r="E358" s="282"/>
      <c r="F358" s="290">
        <v>4119500</v>
      </c>
    </row>
    <row r="359" spans="1:6" x14ac:dyDescent="0.25">
      <c r="A359" s="230">
        <v>45385</v>
      </c>
      <c r="B359" s="11" t="s">
        <v>2923</v>
      </c>
      <c r="C359" s="112" t="s">
        <v>2568</v>
      </c>
      <c r="D359" s="17" t="s">
        <v>2924</v>
      </c>
      <c r="E359" s="282"/>
      <c r="F359" s="290">
        <v>58099020</v>
      </c>
    </row>
    <row r="360" spans="1:6" x14ac:dyDescent="0.25">
      <c r="A360" s="230">
        <v>45419</v>
      </c>
      <c r="B360" s="11" t="s">
        <v>2925</v>
      </c>
      <c r="C360" s="112" t="s">
        <v>2568</v>
      </c>
      <c r="D360" s="17" t="s">
        <v>2926</v>
      </c>
      <c r="E360" s="282"/>
      <c r="F360" s="290">
        <v>117500000</v>
      </c>
    </row>
    <row r="361" spans="1:6" x14ac:dyDescent="0.25">
      <c r="A361" s="230">
        <v>45419</v>
      </c>
      <c r="B361" s="11" t="s">
        <v>2925</v>
      </c>
      <c r="C361" s="112" t="s">
        <v>2568</v>
      </c>
      <c r="D361" s="17" t="s">
        <v>2927</v>
      </c>
      <c r="E361" s="282"/>
      <c r="F361" s="290">
        <v>2900</v>
      </c>
    </row>
    <row r="362" spans="1:6" x14ac:dyDescent="0.25">
      <c r="A362" s="230">
        <v>45419</v>
      </c>
      <c r="B362" s="11" t="s">
        <v>2928</v>
      </c>
      <c r="C362" s="112" t="s">
        <v>2568</v>
      </c>
      <c r="D362" s="17" t="s">
        <v>2929</v>
      </c>
      <c r="E362" s="282"/>
      <c r="F362" s="290">
        <v>13500</v>
      </c>
    </row>
    <row r="363" spans="1:6" x14ac:dyDescent="0.25">
      <c r="A363" s="230">
        <v>45419</v>
      </c>
      <c r="B363" s="11" t="s">
        <v>2928</v>
      </c>
      <c r="C363" s="112" t="s">
        <v>2568</v>
      </c>
      <c r="D363" s="17" t="s">
        <v>2930</v>
      </c>
      <c r="E363" s="282"/>
      <c r="F363" s="290">
        <v>2900</v>
      </c>
    </row>
    <row r="364" spans="1:6" x14ac:dyDescent="0.25">
      <c r="A364" s="230">
        <v>45420</v>
      </c>
      <c r="B364" s="11" t="s">
        <v>2931</v>
      </c>
      <c r="C364" s="112" t="s">
        <v>2568</v>
      </c>
      <c r="D364" s="17" t="s">
        <v>2932</v>
      </c>
      <c r="E364" s="282"/>
      <c r="F364" s="290">
        <v>61394000</v>
      </c>
    </row>
    <row r="365" spans="1:6" x14ac:dyDescent="0.25">
      <c r="A365" s="230">
        <v>45420</v>
      </c>
      <c r="B365" s="11" t="s">
        <v>2931</v>
      </c>
      <c r="C365" s="112" t="s">
        <v>2568</v>
      </c>
      <c r="D365" s="17" t="s">
        <v>2933</v>
      </c>
      <c r="E365" s="282"/>
      <c r="F365" s="290">
        <v>2900</v>
      </c>
    </row>
    <row r="366" spans="1:6" x14ac:dyDescent="0.25">
      <c r="A366" s="230">
        <v>45427</v>
      </c>
      <c r="B366" s="11" t="s">
        <v>2934</v>
      </c>
      <c r="C366" s="112" t="s">
        <v>2568</v>
      </c>
      <c r="D366" s="28" t="s">
        <v>2935</v>
      </c>
      <c r="E366" s="282"/>
      <c r="F366" s="290">
        <v>1075000</v>
      </c>
    </row>
    <row r="367" spans="1:6" x14ac:dyDescent="0.25">
      <c r="A367" s="230">
        <v>45427</v>
      </c>
      <c r="B367" s="11" t="s">
        <v>2934</v>
      </c>
      <c r="C367" s="112" t="s">
        <v>2568</v>
      </c>
      <c r="D367" s="17" t="s">
        <v>2936</v>
      </c>
      <c r="E367" s="282"/>
      <c r="F367" s="290">
        <v>1800000</v>
      </c>
    </row>
    <row r="368" spans="1:6" x14ac:dyDescent="0.25">
      <c r="A368" s="230">
        <v>45427</v>
      </c>
      <c r="B368" s="11" t="s">
        <v>2934</v>
      </c>
      <c r="C368" s="112" t="s">
        <v>2568</v>
      </c>
      <c r="D368" s="17" t="s">
        <v>2937</v>
      </c>
      <c r="E368" s="282"/>
      <c r="F368" s="290">
        <v>2500</v>
      </c>
    </row>
    <row r="369" spans="1:6" x14ac:dyDescent="0.25">
      <c r="A369" s="230">
        <v>45427</v>
      </c>
      <c r="B369" s="11" t="s">
        <v>2934</v>
      </c>
      <c r="C369" s="112" t="s">
        <v>2568</v>
      </c>
      <c r="D369" s="17" t="s">
        <v>2938</v>
      </c>
      <c r="E369" s="282"/>
      <c r="F369" s="290">
        <v>1360856</v>
      </c>
    </row>
    <row r="370" spans="1:6" x14ac:dyDescent="0.25">
      <c r="A370" s="230">
        <v>45432</v>
      </c>
      <c r="B370" s="11" t="s">
        <v>2939</v>
      </c>
      <c r="C370" s="112" t="s">
        <v>2568</v>
      </c>
      <c r="D370" s="165" t="s">
        <v>2940</v>
      </c>
      <c r="E370" s="282"/>
      <c r="F370" s="290">
        <v>6620000</v>
      </c>
    </row>
    <row r="371" spans="1:6" x14ac:dyDescent="0.25">
      <c r="A371" s="230">
        <v>45432</v>
      </c>
      <c r="B371" s="11" t="s">
        <v>2939</v>
      </c>
      <c r="C371" s="112" t="s">
        <v>2568</v>
      </c>
      <c r="D371" s="166" t="s">
        <v>1787</v>
      </c>
      <c r="E371" s="282"/>
      <c r="F371" s="290">
        <v>216200</v>
      </c>
    </row>
    <row r="372" spans="1:6" x14ac:dyDescent="0.25">
      <c r="A372" s="230">
        <v>45434</v>
      </c>
      <c r="B372" s="11" t="s">
        <v>2941</v>
      </c>
      <c r="C372" s="113" t="s">
        <v>2568</v>
      </c>
      <c r="D372" s="12" t="s">
        <v>2942</v>
      </c>
      <c r="E372" s="282"/>
      <c r="F372" s="290">
        <v>1300000</v>
      </c>
    </row>
    <row r="373" spans="1:6" x14ac:dyDescent="0.25">
      <c r="A373" s="230">
        <v>45434</v>
      </c>
      <c r="B373" s="11" t="s">
        <v>2941</v>
      </c>
      <c r="C373" s="113" t="s">
        <v>2568</v>
      </c>
      <c r="D373" s="12" t="s">
        <v>2943</v>
      </c>
      <c r="E373" s="282"/>
      <c r="F373" s="290">
        <v>2500</v>
      </c>
    </row>
    <row r="374" spans="1:6" x14ac:dyDescent="0.25">
      <c r="A374" s="230">
        <v>45434</v>
      </c>
      <c r="B374" s="11" t="s">
        <v>2941</v>
      </c>
      <c r="C374" s="113" t="s">
        <v>2568</v>
      </c>
      <c r="D374" s="12" t="s">
        <v>2944</v>
      </c>
      <c r="E374" s="282"/>
      <c r="F374" s="290">
        <v>3050000</v>
      </c>
    </row>
    <row r="375" spans="1:6" x14ac:dyDescent="0.25">
      <c r="A375" s="230">
        <v>45434</v>
      </c>
      <c r="B375" s="11" t="s">
        <v>2941</v>
      </c>
      <c r="C375" s="113" t="s">
        <v>2568</v>
      </c>
      <c r="D375" s="12" t="s">
        <v>50</v>
      </c>
      <c r="E375" s="282"/>
      <c r="F375" s="290">
        <v>2500</v>
      </c>
    </row>
    <row r="376" spans="1:6" x14ac:dyDescent="0.25">
      <c r="A376" s="230">
        <v>45434</v>
      </c>
      <c r="B376" s="11" t="s">
        <v>2945</v>
      </c>
      <c r="C376" s="112" t="s">
        <v>2568</v>
      </c>
      <c r="D376" s="17" t="s">
        <v>2946</v>
      </c>
      <c r="E376" s="282"/>
      <c r="F376" s="290">
        <v>30470</v>
      </c>
    </row>
    <row r="377" spans="1:6" x14ac:dyDescent="0.25">
      <c r="A377" s="230">
        <v>45434</v>
      </c>
      <c r="B377" s="11" t="s">
        <v>2945</v>
      </c>
      <c r="C377" s="112" t="s">
        <v>2568</v>
      </c>
      <c r="D377" s="17" t="s">
        <v>2947</v>
      </c>
      <c r="E377" s="282"/>
      <c r="F377" s="290">
        <v>-55400</v>
      </c>
    </row>
    <row r="378" spans="1:6" x14ac:dyDescent="0.25">
      <c r="A378" s="230">
        <v>45441</v>
      </c>
      <c r="B378" s="11" t="s">
        <v>2948</v>
      </c>
      <c r="C378" s="112" t="s">
        <v>2568</v>
      </c>
      <c r="D378" s="17" t="s">
        <v>2949</v>
      </c>
      <c r="E378" s="282"/>
      <c r="F378" s="290">
        <v>9765000</v>
      </c>
    </row>
    <row r="379" spans="1:6" x14ac:dyDescent="0.25">
      <c r="A379" s="230">
        <v>45441</v>
      </c>
      <c r="B379" s="11" t="s">
        <v>2948</v>
      </c>
      <c r="C379" s="112" t="s">
        <v>2568</v>
      </c>
      <c r="D379" s="17" t="s">
        <v>2950</v>
      </c>
      <c r="E379" s="282"/>
      <c r="F379" s="290">
        <v>2900</v>
      </c>
    </row>
    <row r="380" spans="1:6" x14ac:dyDescent="0.25">
      <c r="A380" s="230">
        <v>45441</v>
      </c>
      <c r="B380" s="11" t="s">
        <v>2951</v>
      </c>
      <c r="C380" s="112" t="s">
        <v>2568</v>
      </c>
      <c r="D380" s="17" t="s">
        <v>2952</v>
      </c>
      <c r="E380" s="282"/>
      <c r="F380" s="290">
        <v>6246680</v>
      </c>
    </row>
    <row r="381" spans="1:6" x14ac:dyDescent="0.25">
      <c r="A381" s="230">
        <v>45441</v>
      </c>
      <c r="B381" s="11" t="s">
        <v>2951</v>
      </c>
      <c r="C381" s="112" t="s">
        <v>2568</v>
      </c>
      <c r="D381" s="17" t="s">
        <v>2953</v>
      </c>
      <c r="E381" s="282"/>
      <c r="F381" s="290">
        <v>687134</v>
      </c>
    </row>
    <row r="382" spans="1:6" x14ac:dyDescent="0.25">
      <c r="A382" s="230">
        <v>45441</v>
      </c>
      <c r="B382" s="11" t="s">
        <v>2954</v>
      </c>
      <c r="C382" s="112" t="s">
        <v>2568</v>
      </c>
      <c r="D382" s="17" t="s">
        <v>2955</v>
      </c>
      <c r="E382" s="282"/>
      <c r="F382" s="290">
        <v>1750000</v>
      </c>
    </row>
    <row r="383" spans="1:6" x14ac:dyDescent="0.25">
      <c r="A383" s="230">
        <v>45441</v>
      </c>
      <c r="B383" s="11" t="s">
        <v>2954</v>
      </c>
      <c r="C383" s="112" t="s">
        <v>2568</v>
      </c>
      <c r="D383" s="17" t="s">
        <v>2956</v>
      </c>
      <c r="E383" s="282"/>
      <c r="F383" s="290">
        <v>192500</v>
      </c>
    </row>
    <row r="384" spans="1:6" x14ac:dyDescent="0.25">
      <c r="A384" s="230">
        <v>45441</v>
      </c>
      <c r="B384" s="11" t="s">
        <v>2954</v>
      </c>
      <c r="C384" s="112" t="s">
        <v>2568</v>
      </c>
      <c r="D384" s="17" t="s">
        <v>2957</v>
      </c>
      <c r="E384" s="282"/>
      <c r="F384" s="290">
        <v>-35000</v>
      </c>
    </row>
    <row r="385" spans="1:6" x14ac:dyDescent="0.25">
      <c r="A385" s="230">
        <v>45441</v>
      </c>
      <c r="B385" s="11" t="s">
        <v>2954</v>
      </c>
      <c r="C385" s="112" t="s">
        <v>2568</v>
      </c>
      <c r="D385" s="17" t="s">
        <v>2958</v>
      </c>
      <c r="E385" s="282"/>
      <c r="F385" s="290">
        <v>15100000</v>
      </c>
    </row>
    <row r="386" spans="1:6" x14ac:dyDescent="0.25">
      <c r="A386" s="230">
        <v>45441</v>
      </c>
      <c r="B386" s="11" t="s">
        <v>2954</v>
      </c>
      <c r="C386" s="112" t="s">
        <v>2568</v>
      </c>
      <c r="D386" s="17" t="s">
        <v>2959</v>
      </c>
      <c r="E386" s="282"/>
      <c r="F386" s="290">
        <v>166100</v>
      </c>
    </row>
    <row r="387" spans="1:6" x14ac:dyDescent="0.25">
      <c r="A387" s="230">
        <v>45441</v>
      </c>
      <c r="B387" s="11" t="s">
        <v>2954</v>
      </c>
      <c r="C387" s="112" t="s">
        <v>2568</v>
      </c>
      <c r="D387" s="17" t="s">
        <v>2960</v>
      </c>
      <c r="E387" s="282"/>
      <c r="F387" s="290">
        <v>-302000</v>
      </c>
    </row>
    <row r="388" spans="1:6" x14ac:dyDescent="0.25">
      <c r="A388" s="230">
        <v>45441</v>
      </c>
      <c r="B388" s="11" t="s">
        <v>2954</v>
      </c>
      <c r="C388" s="112" t="s">
        <v>2568</v>
      </c>
      <c r="D388" s="17" t="s">
        <v>2961</v>
      </c>
      <c r="E388" s="282"/>
      <c r="F388" s="290">
        <v>382920</v>
      </c>
    </row>
    <row r="389" spans="1:6" x14ac:dyDescent="0.25">
      <c r="A389" s="230">
        <v>45441</v>
      </c>
      <c r="B389" s="11" t="s">
        <v>2954</v>
      </c>
      <c r="C389" s="112" t="s">
        <v>2568</v>
      </c>
      <c r="D389" s="17" t="s">
        <v>2962</v>
      </c>
      <c r="E389" s="282"/>
      <c r="F389" s="290">
        <v>42121</v>
      </c>
    </row>
    <row r="390" spans="1:6" x14ac:dyDescent="0.25">
      <c r="A390" s="230">
        <v>45441</v>
      </c>
      <c r="B390" s="11" t="s">
        <v>2954</v>
      </c>
      <c r="C390" s="112" t="s">
        <v>2568</v>
      </c>
      <c r="D390" s="17" t="s">
        <v>2963</v>
      </c>
      <c r="E390" s="282"/>
      <c r="F390" s="290">
        <v>-7658</v>
      </c>
    </row>
    <row r="391" spans="1:6" x14ac:dyDescent="0.25">
      <c r="A391" s="230">
        <v>45443</v>
      </c>
      <c r="B391" s="11" t="s">
        <v>2964</v>
      </c>
      <c r="C391" s="113" t="s">
        <v>2568</v>
      </c>
      <c r="D391" s="12" t="s">
        <v>2965</v>
      </c>
      <c r="E391" s="282"/>
      <c r="F391" s="292">
        <v>138000</v>
      </c>
    </row>
    <row r="392" spans="1:6" x14ac:dyDescent="0.25">
      <c r="A392" s="230">
        <v>45443</v>
      </c>
      <c r="B392" s="11" t="s">
        <v>2966</v>
      </c>
      <c r="C392" s="113" t="s">
        <v>2568</v>
      </c>
      <c r="D392" s="12" t="s">
        <v>2967</v>
      </c>
      <c r="E392" s="282"/>
      <c r="F392" s="290">
        <v>1100000</v>
      </c>
    </row>
    <row r="393" spans="1:6" x14ac:dyDescent="0.25">
      <c r="A393" s="230">
        <v>45443</v>
      </c>
      <c r="B393" s="11" t="s">
        <v>2966</v>
      </c>
      <c r="C393" s="113" t="s">
        <v>2568</v>
      </c>
      <c r="D393" s="12" t="s">
        <v>2968</v>
      </c>
      <c r="E393" s="282"/>
      <c r="F393" s="290">
        <v>2500</v>
      </c>
    </row>
    <row r="394" spans="1:6" x14ac:dyDescent="0.25">
      <c r="A394" s="230">
        <v>45443</v>
      </c>
      <c r="B394" s="11" t="s">
        <v>2966</v>
      </c>
      <c r="C394" s="112" t="s">
        <v>2568</v>
      </c>
      <c r="D394" s="17" t="s">
        <v>2969</v>
      </c>
      <c r="E394" s="282"/>
      <c r="F394" s="290">
        <v>1614865</v>
      </c>
    </row>
    <row r="395" spans="1:6" x14ac:dyDescent="0.25">
      <c r="A395" s="230">
        <v>45443</v>
      </c>
      <c r="B395" s="11" t="s">
        <v>2966</v>
      </c>
      <c r="C395" s="112" t="s">
        <v>2568</v>
      </c>
      <c r="D395" s="17" t="s">
        <v>2970</v>
      </c>
      <c r="E395" s="282"/>
      <c r="F395" s="290">
        <v>17763</v>
      </c>
    </row>
    <row r="396" spans="1:6" x14ac:dyDescent="0.25">
      <c r="A396" s="230">
        <v>45443</v>
      </c>
      <c r="B396" s="11" t="s">
        <v>2966</v>
      </c>
      <c r="C396" s="112" t="s">
        <v>2568</v>
      </c>
      <c r="D396" s="17" t="s">
        <v>2971</v>
      </c>
      <c r="E396" s="282"/>
      <c r="F396" s="290">
        <v>-32297</v>
      </c>
    </row>
    <row r="397" spans="1:6" x14ac:dyDescent="0.25">
      <c r="A397" s="230">
        <v>45455</v>
      </c>
      <c r="B397" s="11" t="s">
        <v>2972</v>
      </c>
      <c r="C397" s="112" t="s">
        <v>2568</v>
      </c>
      <c r="D397" s="17" t="s">
        <v>2973</v>
      </c>
      <c r="E397" s="282"/>
      <c r="F397" s="290">
        <v>14000000</v>
      </c>
    </row>
    <row r="398" spans="1:6" x14ac:dyDescent="0.25">
      <c r="A398" s="230">
        <v>45455</v>
      </c>
      <c r="B398" s="11" t="s">
        <v>2972</v>
      </c>
      <c r="C398" s="112" t="s">
        <v>2568</v>
      </c>
      <c r="D398" s="17" t="s">
        <v>2974</v>
      </c>
      <c r="E398" s="282"/>
      <c r="F398" s="290">
        <v>1540000</v>
      </c>
    </row>
    <row r="399" spans="1:6" x14ac:dyDescent="0.25">
      <c r="A399" s="230">
        <v>45455</v>
      </c>
      <c r="B399" s="11" t="s">
        <v>2972</v>
      </c>
      <c r="C399" s="112" t="s">
        <v>2568</v>
      </c>
      <c r="D399" s="17" t="s">
        <v>2975</v>
      </c>
      <c r="E399" s="282"/>
      <c r="F399" s="290">
        <v>2900</v>
      </c>
    </row>
    <row r="400" spans="1:6" x14ac:dyDescent="0.25">
      <c r="A400" s="230">
        <v>45455</v>
      </c>
      <c r="B400" s="11" t="s">
        <v>2976</v>
      </c>
      <c r="C400" s="112" t="s">
        <v>2568</v>
      </c>
      <c r="D400" s="17" t="s">
        <v>2977</v>
      </c>
      <c r="E400" s="282"/>
      <c r="F400" s="290">
        <v>12925000</v>
      </c>
    </row>
    <row r="401" spans="1:6" x14ac:dyDescent="0.25">
      <c r="A401" s="230">
        <v>45455</v>
      </c>
      <c r="B401" s="11" t="s">
        <v>2976</v>
      </c>
      <c r="C401" s="112" t="s">
        <v>2568</v>
      </c>
      <c r="D401" s="17" t="s">
        <v>2927</v>
      </c>
      <c r="E401" s="282"/>
      <c r="F401" s="290">
        <v>2900</v>
      </c>
    </row>
    <row r="402" spans="1:6" x14ac:dyDescent="0.25">
      <c r="A402" s="230">
        <v>45457</v>
      </c>
      <c r="B402" s="11" t="s">
        <v>32</v>
      </c>
      <c r="C402" s="113" t="s">
        <v>2568</v>
      </c>
      <c r="D402" s="16" t="s">
        <v>2978</v>
      </c>
      <c r="E402" s="282"/>
      <c r="F402" s="292">
        <v>6000000</v>
      </c>
    </row>
    <row r="403" spans="1:6" x14ac:dyDescent="0.25">
      <c r="A403" s="230">
        <v>45457</v>
      </c>
      <c r="B403" s="11" t="s">
        <v>32</v>
      </c>
      <c r="C403" s="113" t="s">
        <v>2568</v>
      </c>
      <c r="D403" s="16" t="s">
        <v>2979</v>
      </c>
      <c r="E403" s="291"/>
      <c r="F403" s="292">
        <v>660000</v>
      </c>
    </row>
    <row r="404" spans="1:6" x14ac:dyDescent="0.25">
      <c r="A404" s="230">
        <v>45457</v>
      </c>
      <c r="B404" s="11" t="s">
        <v>32</v>
      </c>
      <c r="C404" s="113" t="s">
        <v>2568</v>
      </c>
      <c r="D404" s="12" t="s">
        <v>2980</v>
      </c>
      <c r="E404" s="282"/>
      <c r="F404" s="290">
        <v>2500</v>
      </c>
    </row>
    <row r="405" spans="1:6" x14ac:dyDescent="0.25">
      <c r="A405" s="230">
        <v>45463</v>
      </c>
      <c r="B405" s="11" t="s">
        <v>2981</v>
      </c>
      <c r="C405" s="112" t="s">
        <v>2568</v>
      </c>
      <c r="D405" s="17" t="s">
        <v>2982</v>
      </c>
      <c r="E405" s="282"/>
      <c r="F405" s="290">
        <v>4250000</v>
      </c>
    </row>
    <row r="406" spans="1:6" x14ac:dyDescent="0.25">
      <c r="A406" s="230">
        <v>45463</v>
      </c>
      <c r="B406" s="11" t="s">
        <v>2981</v>
      </c>
      <c r="C406" s="112" t="s">
        <v>2568</v>
      </c>
      <c r="D406" s="17" t="s">
        <v>2983</v>
      </c>
      <c r="E406" s="282"/>
      <c r="F406" s="290">
        <v>467500</v>
      </c>
    </row>
    <row r="407" spans="1:6" x14ac:dyDescent="0.25">
      <c r="A407" s="230">
        <v>45463</v>
      </c>
      <c r="B407" s="11" t="s">
        <v>2981</v>
      </c>
      <c r="C407" s="112" t="s">
        <v>2568</v>
      </c>
      <c r="D407" s="17" t="s">
        <v>2984</v>
      </c>
      <c r="E407" s="282"/>
      <c r="F407" s="290">
        <v>-85000</v>
      </c>
    </row>
    <row r="408" spans="1:6" x14ac:dyDescent="0.25">
      <c r="A408" s="230">
        <v>45463</v>
      </c>
      <c r="B408" s="11" t="s">
        <v>2981</v>
      </c>
      <c r="C408" s="112" t="s">
        <v>2568</v>
      </c>
      <c r="D408" s="17" t="s">
        <v>2985</v>
      </c>
      <c r="E408" s="282"/>
      <c r="F408" s="290">
        <v>15200000</v>
      </c>
    </row>
    <row r="409" spans="1:6" x14ac:dyDescent="0.25">
      <c r="A409" s="230">
        <v>45463</v>
      </c>
      <c r="B409" s="11" t="s">
        <v>2981</v>
      </c>
      <c r="C409" s="112" t="s">
        <v>2568</v>
      </c>
      <c r="D409" s="17" t="s">
        <v>2986</v>
      </c>
      <c r="E409" s="282"/>
      <c r="F409" s="290">
        <v>167200</v>
      </c>
    </row>
    <row r="410" spans="1:6" x14ac:dyDescent="0.25">
      <c r="A410" s="230">
        <v>45463</v>
      </c>
      <c r="B410" s="11" t="s">
        <v>2981</v>
      </c>
      <c r="C410" s="112" t="s">
        <v>2568</v>
      </c>
      <c r="D410" s="17" t="s">
        <v>2987</v>
      </c>
      <c r="E410" s="282"/>
      <c r="F410" s="290">
        <v>-304000</v>
      </c>
    </row>
    <row r="411" spans="1:6" x14ac:dyDescent="0.25">
      <c r="A411" s="230">
        <v>45463</v>
      </c>
      <c r="B411" s="11" t="s">
        <v>2981</v>
      </c>
      <c r="C411" s="112" t="s">
        <v>2568</v>
      </c>
      <c r="D411" s="17" t="s">
        <v>2988</v>
      </c>
      <c r="E411" s="282"/>
      <c r="F411" s="290">
        <v>1275840</v>
      </c>
    </row>
    <row r="412" spans="1:6" x14ac:dyDescent="0.25">
      <c r="A412" s="230">
        <v>45463</v>
      </c>
      <c r="B412" s="11" t="s">
        <v>2981</v>
      </c>
      <c r="C412" s="112" t="s">
        <v>2568</v>
      </c>
      <c r="D412" s="17" t="s">
        <v>2989</v>
      </c>
      <c r="E412" s="282"/>
      <c r="F412" s="290">
        <v>140342</v>
      </c>
    </row>
    <row r="413" spans="1:6" x14ac:dyDescent="0.25">
      <c r="A413" s="230">
        <v>45463</v>
      </c>
      <c r="B413" s="11" t="s">
        <v>2981</v>
      </c>
      <c r="C413" s="112" t="s">
        <v>2568</v>
      </c>
      <c r="D413" s="17" t="s">
        <v>2990</v>
      </c>
      <c r="E413" s="282"/>
      <c r="F413" s="290">
        <v>-25517</v>
      </c>
    </row>
    <row r="414" spans="1:6" x14ac:dyDescent="0.25">
      <c r="A414" s="230">
        <v>45463</v>
      </c>
      <c r="B414" s="11" t="s">
        <v>2981</v>
      </c>
      <c r="C414" s="112" t="s">
        <v>2568</v>
      </c>
      <c r="D414" s="17" t="s">
        <v>2991</v>
      </c>
      <c r="E414" s="282"/>
      <c r="F414" s="290">
        <v>-600</v>
      </c>
    </row>
    <row r="415" spans="1:6" x14ac:dyDescent="0.25">
      <c r="A415" s="230">
        <v>45463</v>
      </c>
      <c r="B415" s="11" t="s">
        <v>2992</v>
      </c>
      <c r="C415" s="112" t="s">
        <v>2568</v>
      </c>
      <c r="D415" s="17" t="s">
        <v>2993</v>
      </c>
      <c r="E415" s="282"/>
      <c r="F415" s="290">
        <v>35000000</v>
      </c>
    </row>
    <row r="416" spans="1:6" x14ac:dyDescent="0.25">
      <c r="A416" s="230">
        <v>45463</v>
      </c>
      <c r="B416" s="11" t="s">
        <v>2992</v>
      </c>
      <c r="C416" s="112" t="s">
        <v>2568</v>
      </c>
      <c r="D416" s="17" t="s">
        <v>2994</v>
      </c>
      <c r="E416" s="282"/>
      <c r="F416" s="290">
        <v>25850000</v>
      </c>
    </row>
    <row r="417" spans="1:6" x14ac:dyDescent="0.25">
      <c r="A417" s="230">
        <v>45463</v>
      </c>
      <c r="B417" s="11" t="s">
        <v>2992</v>
      </c>
      <c r="C417" s="112" t="s">
        <v>2568</v>
      </c>
      <c r="D417" s="17" t="s">
        <v>2995</v>
      </c>
      <c r="E417" s="282"/>
      <c r="F417" s="290">
        <v>2900</v>
      </c>
    </row>
    <row r="418" spans="1:6" x14ac:dyDescent="0.25">
      <c r="A418" s="230">
        <v>45463</v>
      </c>
      <c r="B418" s="11" t="s">
        <v>2996</v>
      </c>
      <c r="C418" s="112" t="s">
        <v>2568</v>
      </c>
      <c r="D418" s="17" t="s">
        <v>2997</v>
      </c>
      <c r="E418" s="282"/>
      <c r="F418" s="290">
        <v>21261000</v>
      </c>
    </row>
    <row r="419" spans="1:6" x14ac:dyDescent="0.25">
      <c r="A419" s="230">
        <v>45463</v>
      </c>
      <c r="B419" s="11" t="s">
        <v>2996</v>
      </c>
      <c r="C419" s="112" t="s">
        <v>2568</v>
      </c>
      <c r="D419" s="17" t="s">
        <v>2998</v>
      </c>
      <c r="E419" s="282"/>
      <c r="F419" s="290">
        <v>2900</v>
      </c>
    </row>
    <row r="420" spans="1:6" x14ac:dyDescent="0.25">
      <c r="A420" s="230">
        <v>45463</v>
      </c>
      <c r="B420" s="11" t="s">
        <v>2999</v>
      </c>
      <c r="C420" s="112" t="s">
        <v>2568</v>
      </c>
      <c r="D420" s="17" t="s">
        <v>3000</v>
      </c>
      <c r="E420" s="282"/>
      <c r="F420" s="290">
        <v>11333200</v>
      </c>
    </row>
    <row r="421" spans="1:6" x14ac:dyDescent="0.25">
      <c r="A421" s="230">
        <v>45463</v>
      </c>
      <c r="B421" s="11" t="s">
        <v>2999</v>
      </c>
      <c r="C421" s="112" t="s">
        <v>2568</v>
      </c>
      <c r="D421" s="17" t="s">
        <v>3001</v>
      </c>
      <c r="E421" s="282"/>
      <c r="F421" s="290">
        <v>1246652</v>
      </c>
    </row>
    <row r="422" spans="1:6" x14ac:dyDescent="0.25">
      <c r="A422" s="230">
        <v>45464</v>
      </c>
      <c r="B422" s="11" t="s">
        <v>3002</v>
      </c>
      <c r="C422" s="113" t="s">
        <v>2568</v>
      </c>
      <c r="D422" s="12" t="s">
        <v>3003</v>
      </c>
      <c r="E422" s="282"/>
      <c r="F422" s="290">
        <v>33000</v>
      </c>
    </row>
    <row r="423" spans="1:6" x14ac:dyDescent="0.25">
      <c r="A423" s="230">
        <v>45464</v>
      </c>
      <c r="B423" s="11" t="s">
        <v>3002</v>
      </c>
      <c r="C423" s="113" t="s">
        <v>2568</v>
      </c>
      <c r="D423" s="12" t="s">
        <v>3004</v>
      </c>
      <c r="E423" s="282"/>
      <c r="F423" s="290">
        <v>301000</v>
      </c>
    </row>
    <row r="424" spans="1:6" x14ac:dyDescent="0.25">
      <c r="A424" s="230">
        <v>45464</v>
      </c>
      <c r="B424" s="11" t="s">
        <v>3002</v>
      </c>
      <c r="C424" s="113" t="s">
        <v>2568</v>
      </c>
      <c r="D424" s="12" t="s">
        <v>3005</v>
      </c>
      <c r="E424" s="282"/>
      <c r="F424" s="290">
        <v>76000</v>
      </c>
    </row>
    <row r="425" spans="1:6" x14ac:dyDescent="0.25">
      <c r="A425" s="230">
        <v>45464</v>
      </c>
      <c r="B425" s="11" t="s">
        <v>40</v>
      </c>
      <c r="C425" s="113" t="s">
        <v>2568</v>
      </c>
      <c r="D425" s="12" t="s">
        <v>3006</v>
      </c>
      <c r="E425" s="282"/>
      <c r="F425" s="290">
        <v>5000000</v>
      </c>
    </row>
    <row r="426" spans="1:6" x14ac:dyDescent="0.25">
      <c r="A426" s="230">
        <v>45464</v>
      </c>
      <c r="B426" s="11" t="s">
        <v>40</v>
      </c>
      <c r="C426" s="113" t="s">
        <v>2568</v>
      </c>
      <c r="D426" s="12" t="s">
        <v>3007</v>
      </c>
      <c r="E426" s="282"/>
      <c r="F426" s="290">
        <v>2803859</v>
      </c>
    </row>
    <row r="427" spans="1:6" x14ac:dyDescent="0.25">
      <c r="A427" s="230">
        <v>45464</v>
      </c>
      <c r="B427" s="11" t="s">
        <v>40</v>
      </c>
      <c r="C427" s="113" t="s">
        <v>2568</v>
      </c>
      <c r="D427" s="12" t="s">
        <v>3008</v>
      </c>
      <c r="E427" s="282"/>
      <c r="F427" s="290">
        <v>2837000</v>
      </c>
    </row>
    <row r="428" spans="1:6" x14ac:dyDescent="0.25">
      <c r="A428" s="230">
        <v>45475</v>
      </c>
      <c r="B428" s="11" t="s">
        <v>3009</v>
      </c>
      <c r="C428" s="112" t="s">
        <v>2568</v>
      </c>
      <c r="D428" s="16" t="s">
        <v>3010</v>
      </c>
      <c r="E428" s="282"/>
      <c r="F428" s="290">
        <v>491000</v>
      </c>
    </row>
    <row r="429" spans="1:6" x14ac:dyDescent="0.25">
      <c r="A429" s="230">
        <v>45475</v>
      </c>
      <c r="B429" s="11" t="s">
        <v>3009</v>
      </c>
      <c r="C429" s="112" t="s">
        <v>2568</v>
      </c>
      <c r="D429" s="16" t="s">
        <v>3011</v>
      </c>
      <c r="E429" s="282"/>
      <c r="F429" s="290">
        <v>300000</v>
      </c>
    </row>
    <row r="430" spans="1:6" x14ac:dyDescent="0.25">
      <c r="A430" s="230">
        <v>45475</v>
      </c>
      <c r="B430" s="11" t="s">
        <v>3009</v>
      </c>
      <c r="C430" s="112" t="s">
        <v>2568</v>
      </c>
      <c r="D430" s="16" t="s">
        <v>3012</v>
      </c>
      <c r="E430" s="282"/>
      <c r="F430" s="290">
        <v>1322376</v>
      </c>
    </row>
    <row r="431" spans="1:6" x14ac:dyDescent="0.25">
      <c r="A431" s="230">
        <v>45484</v>
      </c>
      <c r="B431" s="11" t="s">
        <v>3013</v>
      </c>
      <c r="C431" s="112" t="s">
        <v>2568</v>
      </c>
      <c r="D431" s="12" t="s">
        <v>3014</v>
      </c>
      <c r="E431" s="282"/>
      <c r="F431" s="290">
        <v>100000000</v>
      </c>
    </row>
    <row r="432" spans="1:6" x14ac:dyDescent="0.25">
      <c r="A432" s="230">
        <v>45484</v>
      </c>
      <c r="B432" s="11" t="s">
        <v>3013</v>
      </c>
      <c r="C432" s="112" t="s">
        <v>2568</v>
      </c>
      <c r="D432" s="12" t="s">
        <v>2927</v>
      </c>
      <c r="E432" s="282"/>
      <c r="F432" s="290">
        <v>2900</v>
      </c>
    </row>
    <row r="433" spans="1:6" x14ac:dyDescent="0.25">
      <c r="A433" s="230">
        <v>45490</v>
      </c>
      <c r="B433" s="11" t="s">
        <v>46</v>
      </c>
      <c r="C433" s="113" t="s">
        <v>2568</v>
      </c>
      <c r="D433" s="12" t="s">
        <v>3015</v>
      </c>
      <c r="E433" s="282"/>
      <c r="F433" s="290">
        <v>686362</v>
      </c>
    </row>
    <row r="434" spans="1:6" x14ac:dyDescent="0.25">
      <c r="A434" s="230">
        <v>45490</v>
      </c>
      <c r="B434" s="11" t="s">
        <v>46</v>
      </c>
      <c r="C434" s="113" t="s">
        <v>2568</v>
      </c>
      <c r="D434" s="12" t="s">
        <v>3016</v>
      </c>
      <c r="E434" s="282"/>
      <c r="F434" s="290">
        <v>3511473</v>
      </c>
    </row>
    <row r="435" spans="1:6" x14ac:dyDescent="0.25">
      <c r="A435" s="230">
        <v>45490</v>
      </c>
      <c r="B435" s="11" t="s">
        <v>3017</v>
      </c>
      <c r="C435" s="113" t="s">
        <v>2568</v>
      </c>
      <c r="D435" s="16" t="s">
        <v>3018</v>
      </c>
      <c r="E435" s="282"/>
      <c r="F435" s="290">
        <v>1774600</v>
      </c>
    </row>
    <row r="436" spans="1:6" x14ac:dyDescent="0.25">
      <c r="A436" s="230">
        <v>45490</v>
      </c>
      <c r="B436" s="11" t="s">
        <v>3017</v>
      </c>
      <c r="C436" s="113" t="s">
        <v>2568</v>
      </c>
      <c r="D436" s="16" t="s">
        <v>3019</v>
      </c>
      <c r="E436" s="282"/>
      <c r="F436" s="290">
        <v>195206</v>
      </c>
    </row>
    <row r="437" spans="1:6" x14ac:dyDescent="0.25">
      <c r="A437" s="230">
        <v>45490</v>
      </c>
      <c r="B437" s="11" t="s">
        <v>3017</v>
      </c>
      <c r="C437" s="113" t="s">
        <v>2568</v>
      </c>
      <c r="D437" s="12" t="s">
        <v>3020</v>
      </c>
      <c r="E437" s="282"/>
      <c r="F437" s="290">
        <v>-35492</v>
      </c>
    </row>
    <row r="438" spans="1:6" x14ac:dyDescent="0.25">
      <c r="A438" s="230">
        <v>45490</v>
      </c>
      <c r="B438" s="11" t="s">
        <v>3017</v>
      </c>
      <c r="C438" s="113" t="s">
        <v>2568</v>
      </c>
      <c r="D438" s="12" t="s">
        <v>3021</v>
      </c>
      <c r="E438" s="282"/>
      <c r="F438" s="290">
        <v>21120000</v>
      </c>
    </row>
    <row r="439" spans="1:6" x14ac:dyDescent="0.25">
      <c r="A439" s="230">
        <v>45490</v>
      </c>
      <c r="B439" s="11" t="s">
        <v>3017</v>
      </c>
      <c r="C439" s="113" t="s">
        <v>2568</v>
      </c>
      <c r="D439" s="12" t="s">
        <v>3022</v>
      </c>
      <c r="E439" s="282"/>
      <c r="F439" s="290">
        <v>232320</v>
      </c>
    </row>
    <row r="440" spans="1:6" x14ac:dyDescent="0.25">
      <c r="A440" s="230">
        <v>45490</v>
      </c>
      <c r="B440" s="11" t="s">
        <v>3017</v>
      </c>
      <c r="C440" s="113" t="s">
        <v>2568</v>
      </c>
      <c r="D440" s="12" t="s">
        <v>3023</v>
      </c>
      <c r="E440" s="282"/>
      <c r="F440" s="290">
        <v>-422400</v>
      </c>
    </row>
    <row r="441" spans="1:6" x14ac:dyDescent="0.25">
      <c r="A441" s="230">
        <v>45490</v>
      </c>
      <c r="B441" s="11" t="s">
        <v>3024</v>
      </c>
      <c r="C441" s="112" t="s">
        <v>2568</v>
      </c>
      <c r="D441" s="12" t="s">
        <v>3025</v>
      </c>
      <c r="E441" s="282"/>
      <c r="F441" s="290">
        <v>11698720</v>
      </c>
    </row>
    <row r="442" spans="1:6" x14ac:dyDescent="0.25">
      <c r="A442" s="230">
        <v>45490</v>
      </c>
      <c r="B442" s="11" t="s">
        <v>3024</v>
      </c>
      <c r="C442" s="112" t="s">
        <v>2568</v>
      </c>
      <c r="D442" s="12" t="s">
        <v>3026</v>
      </c>
      <c r="E442" s="282"/>
      <c r="F442" s="290">
        <v>1286859</v>
      </c>
    </row>
    <row r="443" spans="1:6" x14ac:dyDescent="0.25">
      <c r="A443" s="230">
        <v>45490</v>
      </c>
      <c r="B443" s="11" t="s">
        <v>3027</v>
      </c>
      <c r="C443" s="112" t="s">
        <v>2568</v>
      </c>
      <c r="D443" s="12" t="s">
        <v>3028</v>
      </c>
      <c r="E443" s="282"/>
      <c r="F443" s="290">
        <v>15969100</v>
      </c>
    </row>
    <row r="444" spans="1:6" x14ac:dyDescent="0.25">
      <c r="A444" s="230">
        <v>45490</v>
      </c>
      <c r="B444" s="11" t="s">
        <v>3027</v>
      </c>
      <c r="C444" s="112" t="s">
        <v>2568</v>
      </c>
      <c r="D444" s="12" t="s">
        <v>3029</v>
      </c>
      <c r="E444" s="282"/>
      <c r="F444" s="290">
        <v>407375</v>
      </c>
    </row>
    <row r="445" spans="1:6" x14ac:dyDescent="0.25">
      <c r="A445" s="230">
        <v>45490</v>
      </c>
      <c r="B445" s="11" t="s">
        <v>3030</v>
      </c>
      <c r="C445" s="112" t="s">
        <v>2568</v>
      </c>
      <c r="D445" s="12" t="s">
        <v>3031</v>
      </c>
      <c r="E445" s="282"/>
      <c r="F445" s="290">
        <v>9000000</v>
      </c>
    </row>
    <row r="446" spans="1:6" x14ac:dyDescent="0.25">
      <c r="A446" s="230">
        <v>45490</v>
      </c>
      <c r="B446" s="11" t="s">
        <v>3030</v>
      </c>
      <c r="C446" s="112" t="s">
        <v>2568</v>
      </c>
      <c r="D446" s="12" t="s">
        <v>3032</v>
      </c>
      <c r="E446" s="282"/>
      <c r="F446" s="290">
        <v>2900</v>
      </c>
    </row>
    <row r="447" spans="1:6" x14ac:dyDescent="0.25">
      <c r="A447" s="230">
        <v>45497</v>
      </c>
      <c r="B447" s="11" t="s">
        <v>3033</v>
      </c>
      <c r="C447" s="112" t="s">
        <v>2568</v>
      </c>
      <c r="D447" s="16" t="s">
        <v>3034</v>
      </c>
      <c r="E447" s="282"/>
      <c r="F447" s="290">
        <v>2065000</v>
      </c>
    </row>
    <row r="448" spans="1:6" x14ac:dyDescent="0.25">
      <c r="A448" s="230">
        <v>45497</v>
      </c>
      <c r="B448" s="11" t="s">
        <v>3033</v>
      </c>
      <c r="C448" s="112" t="s">
        <v>2568</v>
      </c>
      <c r="D448" s="16" t="s">
        <v>3035</v>
      </c>
      <c r="E448" s="282"/>
      <c r="F448" s="290">
        <v>227150</v>
      </c>
    </row>
    <row r="449" spans="1:6" x14ac:dyDescent="0.25">
      <c r="A449" s="230">
        <v>45497</v>
      </c>
      <c r="B449" s="11" t="s">
        <v>3033</v>
      </c>
      <c r="C449" s="112" t="s">
        <v>2568</v>
      </c>
      <c r="D449" s="16" t="s">
        <v>3036</v>
      </c>
      <c r="E449" s="282"/>
      <c r="F449" s="290">
        <v>-41300</v>
      </c>
    </row>
    <row r="450" spans="1:6" x14ac:dyDescent="0.25">
      <c r="A450" s="230">
        <v>45497</v>
      </c>
      <c r="B450" s="11" t="s">
        <v>3033</v>
      </c>
      <c r="C450" s="112" t="s">
        <v>2568</v>
      </c>
      <c r="D450" s="16" t="s">
        <v>3037</v>
      </c>
      <c r="E450" s="282"/>
      <c r="F450" s="290">
        <v>48974375</v>
      </c>
    </row>
    <row r="451" spans="1:6" x14ac:dyDescent="0.25">
      <c r="A451" s="230">
        <v>45497</v>
      </c>
      <c r="B451" s="11" t="s">
        <v>3033</v>
      </c>
      <c r="C451" s="112" t="s">
        <v>2568</v>
      </c>
      <c r="D451" s="16" t="s">
        <v>3038</v>
      </c>
      <c r="E451" s="282"/>
      <c r="F451" s="290">
        <v>538718</v>
      </c>
    </row>
    <row r="452" spans="1:6" x14ac:dyDescent="0.25">
      <c r="A452" s="230">
        <v>45497</v>
      </c>
      <c r="B452" s="11" t="s">
        <v>3033</v>
      </c>
      <c r="C452" s="112" t="s">
        <v>2568</v>
      </c>
      <c r="D452" s="16" t="s">
        <v>3039</v>
      </c>
      <c r="E452" s="282"/>
      <c r="F452" s="290">
        <v>-979488</v>
      </c>
    </row>
    <row r="453" spans="1:6" x14ac:dyDescent="0.25">
      <c r="A453" s="230">
        <v>45505</v>
      </c>
      <c r="B453" s="11" t="s">
        <v>3040</v>
      </c>
      <c r="C453" s="112" t="s">
        <v>2568</v>
      </c>
      <c r="D453" s="12" t="s">
        <v>3041</v>
      </c>
      <c r="E453" s="282"/>
      <c r="F453" s="290">
        <v>7110000</v>
      </c>
    </row>
    <row r="454" spans="1:6" x14ac:dyDescent="0.25">
      <c r="A454" s="230">
        <v>45505</v>
      </c>
      <c r="B454" s="11" t="s">
        <v>3042</v>
      </c>
      <c r="C454" s="112" t="s">
        <v>2568</v>
      </c>
      <c r="D454" s="12" t="s">
        <v>3043</v>
      </c>
      <c r="E454" s="282"/>
      <c r="F454" s="290">
        <v>1778600</v>
      </c>
    </row>
    <row r="455" spans="1:6" x14ac:dyDescent="0.25">
      <c r="A455" s="230">
        <v>45505</v>
      </c>
      <c r="B455" s="11" t="s">
        <v>3042</v>
      </c>
      <c r="C455" s="112" t="s">
        <v>2568</v>
      </c>
      <c r="D455" s="12" t="s">
        <v>3044</v>
      </c>
      <c r="E455" s="282"/>
      <c r="F455" s="290">
        <v>195646</v>
      </c>
    </row>
    <row r="456" spans="1:6" x14ac:dyDescent="0.25">
      <c r="A456" s="230">
        <v>45505</v>
      </c>
      <c r="B456" s="11" t="s">
        <v>3042</v>
      </c>
      <c r="C456" s="112" t="s">
        <v>2568</v>
      </c>
      <c r="D456" s="12" t="s">
        <v>3045</v>
      </c>
      <c r="E456" s="282"/>
      <c r="F456" s="290">
        <v>-35572</v>
      </c>
    </row>
    <row r="457" spans="1:6" x14ac:dyDescent="0.25">
      <c r="A457" s="230">
        <v>45505</v>
      </c>
      <c r="B457" s="11" t="s">
        <v>3042</v>
      </c>
      <c r="C457" s="112" t="s">
        <v>2568</v>
      </c>
      <c r="D457" s="12" t="s">
        <v>3046</v>
      </c>
      <c r="E457" s="282"/>
      <c r="F457" s="290">
        <v>28639090</v>
      </c>
    </row>
    <row r="458" spans="1:6" x14ac:dyDescent="0.25">
      <c r="A458" s="230">
        <v>45505</v>
      </c>
      <c r="B458" s="11" t="s">
        <v>3042</v>
      </c>
      <c r="C458" s="112" t="s">
        <v>2568</v>
      </c>
      <c r="D458" s="12" t="s">
        <v>3047</v>
      </c>
      <c r="E458" s="282"/>
      <c r="F458" s="290">
        <v>315029.99</v>
      </c>
    </row>
    <row r="459" spans="1:6" x14ac:dyDescent="0.25">
      <c r="A459" s="230">
        <v>45505</v>
      </c>
      <c r="B459" s="11" t="s">
        <v>3042</v>
      </c>
      <c r="C459" s="112" t="s">
        <v>2568</v>
      </c>
      <c r="D459" s="12" t="s">
        <v>3048</v>
      </c>
      <c r="E459" s="282"/>
      <c r="F459" s="290">
        <v>-572782</v>
      </c>
    </row>
    <row r="460" spans="1:6" x14ac:dyDescent="0.25">
      <c r="A460" s="230">
        <v>45506</v>
      </c>
      <c r="B460" s="11" t="s">
        <v>3049</v>
      </c>
      <c r="C460" s="274" t="s">
        <v>2568</v>
      </c>
      <c r="D460" s="165" t="s">
        <v>3050</v>
      </c>
      <c r="E460" s="282"/>
      <c r="F460" s="290">
        <v>952000</v>
      </c>
    </row>
    <row r="461" spans="1:6" x14ac:dyDescent="0.25">
      <c r="A461" s="230">
        <v>45506</v>
      </c>
      <c r="B461" s="11" t="s">
        <v>3049</v>
      </c>
      <c r="C461" s="274" t="s">
        <v>2568</v>
      </c>
      <c r="D461" s="165" t="s">
        <v>50</v>
      </c>
      <c r="E461" s="282"/>
      <c r="F461" s="290">
        <v>2500</v>
      </c>
    </row>
    <row r="462" spans="1:6" x14ac:dyDescent="0.25">
      <c r="A462" s="230">
        <v>45527</v>
      </c>
      <c r="B462" s="11" t="s">
        <v>3051</v>
      </c>
      <c r="C462" s="112" t="s">
        <v>2568</v>
      </c>
      <c r="D462" s="16" t="s">
        <v>1325</v>
      </c>
      <c r="E462" s="282"/>
      <c r="F462" s="290">
        <v>74000</v>
      </c>
    </row>
    <row r="463" spans="1:6" x14ac:dyDescent="0.25">
      <c r="A463" s="230">
        <v>45527</v>
      </c>
      <c r="B463" s="11" t="s">
        <v>3051</v>
      </c>
      <c r="C463" s="112" t="s">
        <v>2568</v>
      </c>
      <c r="D463" s="16" t="s">
        <v>1327</v>
      </c>
      <c r="E463" s="282"/>
      <c r="F463" s="290">
        <v>24000</v>
      </c>
    </row>
    <row r="464" spans="1:6" x14ac:dyDescent="0.25">
      <c r="A464" s="230">
        <v>45527</v>
      </c>
      <c r="B464" s="11" t="s">
        <v>3051</v>
      </c>
      <c r="C464" s="112" t="s">
        <v>2568</v>
      </c>
      <c r="D464" s="16" t="s">
        <v>3052</v>
      </c>
      <c r="E464" s="282"/>
      <c r="F464" s="290">
        <v>198000</v>
      </c>
    </row>
    <row r="465" spans="1:6" x14ac:dyDescent="0.25">
      <c r="A465" s="230">
        <v>45527</v>
      </c>
      <c r="B465" s="11" t="s">
        <v>3051</v>
      </c>
      <c r="C465" s="112" t="s">
        <v>2568</v>
      </c>
      <c r="D465" s="16" t="s">
        <v>1326</v>
      </c>
      <c r="E465" s="282"/>
      <c r="F465" s="290">
        <v>200000</v>
      </c>
    </row>
    <row r="466" spans="1:6" x14ac:dyDescent="0.25">
      <c r="A466" s="230">
        <v>45527</v>
      </c>
      <c r="B466" s="11" t="s">
        <v>3051</v>
      </c>
      <c r="C466" s="112" t="s">
        <v>2568</v>
      </c>
      <c r="D466" s="16" t="s">
        <v>3053</v>
      </c>
      <c r="E466" s="282"/>
      <c r="F466" s="290">
        <v>269000</v>
      </c>
    </row>
    <row r="467" spans="1:6" x14ac:dyDescent="0.25">
      <c r="A467" s="230">
        <v>45637</v>
      </c>
      <c r="B467" s="11" t="s">
        <v>3054</v>
      </c>
      <c r="C467" s="112" t="s">
        <v>2568</v>
      </c>
      <c r="D467" s="12" t="s">
        <v>3055</v>
      </c>
      <c r="E467" s="282"/>
      <c r="F467" s="290">
        <v>24885000</v>
      </c>
    </row>
    <row r="468" spans="1:6" x14ac:dyDescent="0.25">
      <c r="A468" s="230">
        <v>45637</v>
      </c>
      <c r="B468" s="11" t="s">
        <v>3054</v>
      </c>
      <c r="C468" s="112" t="s">
        <v>2568</v>
      </c>
      <c r="D468" s="12" t="s">
        <v>3056</v>
      </c>
      <c r="E468" s="282"/>
      <c r="F468" s="290">
        <v>2737350</v>
      </c>
    </row>
    <row r="469" spans="1:6" x14ac:dyDescent="0.25">
      <c r="A469" s="230">
        <v>45637</v>
      </c>
      <c r="B469" s="11" t="s">
        <v>3054</v>
      </c>
      <c r="C469" s="112" t="s">
        <v>2568</v>
      </c>
      <c r="D469" s="12" t="s">
        <v>3057</v>
      </c>
      <c r="E469" s="282"/>
      <c r="F469" s="290">
        <v>2900</v>
      </c>
    </row>
    <row r="470" spans="1:6" x14ac:dyDescent="0.25">
      <c r="A470" s="230">
        <v>45637</v>
      </c>
      <c r="B470" s="11" t="s">
        <v>3058</v>
      </c>
      <c r="C470" s="112" t="s">
        <v>2568</v>
      </c>
      <c r="D470" s="12" t="s">
        <v>3059</v>
      </c>
      <c r="E470" s="282"/>
      <c r="F470" s="290">
        <v>104250000</v>
      </c>
    </row>
    <row r="471" spans="1:6" x14ac:dyDescent="0.25">
      <c r="A471" s="230">
        <v>45637</v>
      </c>
      <c r="B471" s="11" t="s">
        <v>3058</v>
      </c>
      <c r="C471" s="112" t="s">
        <v>2568</v>
      </c>
      <c r="D471" s="12" t="s">
        <v>3060</v>
      </c>
      <c r="E471" s="282"/>
      <c r="F471" s="290">
        <v>2900</v>
      </c>
    </row>
    <row r="472" spans="1:6" x14ac:dyDescent="0.25">
      <c r="A472" s="230">
        <v>45639</v>
      </c>
      <c r="B472" s="11" t="s">
        <v>866</v>
      </c>
      <c r="C472" s="113" t="s">
        <v>2568</v>
      </c>
      <c r="D472" s="12" t="s">
        <v>102</v>
      </c>
      <c r="E472" s="282"/>
      <c r="F472" s="285">
        <v>60000</v>
      </c>
    </row>
    <row r="473" spans="1:6" x14ac:dyDescent="0.25">
      <c r="A473" s="232">
        <v>45322</v>
      </c>
      <c r="B473" s="9" t="s">
        <v>3061</v>
      </c>
      <c r="C473" s="142" t="s">
        <v>2568</v>
      </c>
      <c r="D473" s="30" t="s">
        <v>3062</v>
      </c>
      <c r="E473" s="293"/>
      <c r="F473" s="290">
        <v>5000000</v>
      </c>
    </row>
    <row r="474" spans="1:6" x14ac:dyDescent="0.25">
      <c r="A474" s="232">
        <v>45537</v>
      </c>
      <c r="B474" s="9" t="s">
        <v>3063</v>
      </c>
      <c r="C474" s="142" t="s">
        <v>2568</v>
      </c>
      <c r="D474" s="30" t="s">
        <v>3064</v>
      </c>
      <c r="E474" s="294"/>
      <c r="F474" s="295">
        <v>1228481</v>
      </c>
    </row>
    <row r="475" spans="1:6" x14ac:dyDescent="0.25">
      <c r="A475" s="232">
        <v>45537</v>
      </c>
      <c r="B475" s="9" t="s">
        <v>3063</v>
      </c>
      <c r="C475" s="142" t="s">
        <v>2568</v>
      </c>
      <c r="D475" s="30" t="s">
        <v>3065</v>
      </c>
      <c r="E475" s="294"/>
      <c r="F475" s="295">
        <v>135132</v>
      </c>
    </row>
    <row r="476" spans="1:6" x14ac:dyDescent="0.25">
      <c r="A476" s="232">
        <v>45537</v>
      </c>
      <c r="B476" s="9" t="s">
        <v>3063</v>
      </c>
      <c r="C476" s="142" t="s">
        <v>2568</v>
      </c>
      <c r="D476" s="30" t="s">
        <v>3066</v>
      </c>
      <c r="E476" s="294"/>
      <c r="F476" s="295">
        <v>-122100</v>
      </c>
    </row>
    <row r="477" spans="1:6" x14ac:dyDescent="0.25">
      <c r="A477" s="232">
        <v>45537</v>
      </c>
      <c r="B477" s="9" t="s">
        <v>3067</v>
      </c>
      <c r="C477" s="142" t="s">
        <v>2568</v>
      </c>
      <c r="D477" s="28" t="s">
        <v>3068</v>
      </c>
      <c r="E477" s="294"/>
      <c r="F477" s="295">
        <v>225000</v>
      </c>
    </row>
    <row r="478" spans="1:6" x14ac:dyDescent="0.25">
      <c r="A478" s="232">
        <v>45537</v>
      </c>
      <c r="B478" s="9" t="s">
        <v>3067</v>
      </c>
      <c r="C478" s="142" t="s">
        <v>2568</v>
      </c>
      <c r="D478" s="12" t="s">
        <v>3069</v>
      </c>
      <c r="E478" s="294"/>
      <c r="F478" s="295">
        <v>2475</v>
      </c>
    </row>
    <row r="479" spans="1:6" x14ac:dyDescent="0.25">
      <c r="A479" s="232">
        <v>45537</v>
      </c>
      <c r="B479" s="9" t="s">
        <v>3067</v>
      </c>
      <c r="C479" s="142" t="s">
        <v>2568</v>
      </c>
      <c r="D479" s="12" t="s">
        <v>3070</v>
      </c>
      <c r="E479" s="294"/>
      <c r="F479" s="295">
        <v>-4500</v>
      </c>
    </row>
    <row r="480" spans="1:6" x14ac:dyDescent="0.25">
      <c r="A480" s="232">
        <v>45537</v>
      </c>
      <c r="B480" s="9" t="s">
        <v>3067</v>
      </c>
      <c r="C480" s="142" t="s">
        <v>2568</v>
      </c>
      <c r="D480" s="12" t="s">
        <v>3071</v>
      </c>
      <c r="E480" s="294"/>
      <c r="F480" s="295">
        <v>2900</v>
      </c>
    </row>
    <row r="481" spans="1:6" x14ac:dyDescent="0.25">
      <c r="A481" s="232">
        <v>45537</v>
      </c>
      <c r="B481" s="9" t="s">
        <v>3072</v>
      </c>
      <c r="C481" s="142" t="s">
        <v>2568</v>
      </c>
      <c r="D481" s="30" t="s">
        <v>3073</v>
      </c>
      <c r="E481" s="294"/>
      <c r="F481" s="295">
        <v>6230000</v>
      </c>
    </row>
    <row r="482" spans="1:6" x14ac:dyDescent="0.25">
      <c r="A482" s="232">
        <v>45537</v>
      </c>
      <c r="B482" s="9" t="s">
        <v>3072</v>
      </c>
      <c r="C482" s="142" t="s">
        <v>2568</v>
      </c>
      <c r="D482" s="30" t="s">
        <v>3074</v>
      </c>
      <c r="E482" s="294"/>
      <c r="F482" s="295">
        <v>685300</v>
      </c>
    </row>
    <row r="483" spans="1:6" x14ac:dyDescent="0.25">
      <c r="A483" s="230">
        <v>45315</v>
      </c>
      <c r="B483" s="11" t="s">
        <v>3075</v>
      </c>
      <c r="C483" s="112" t="s">
        <v>2568</v>
      </c>
      <c r="D483" s="17" t="s">
        <v>3076</v>
      </c>
      <c r="E483" s="282"/>
      <c r="F483" s="290">
        <v>47310000</v>
      </c>
    </row>
    <row r="484" spans="1:6" x14ac:dyDescent="0.25">
      <c r="A484" s="271">
        <v>45315</v>
      </c>
      <c r="B484" s="15" t="s">
        <v>3075</v>
      </c>
      <c r="C484" s="113" t="s">
        <v>2568</v>
      </c>
      <c r="D484" s="12" t="s">
        <v>3077</v>
      </c>
      <c r="E484" s="291"/>
      <c r="F484" s="292">
        <v>5204100</v>
      </c>
    </row>
    <row r="485" spans="1:6" x14ac:dyDescent="0.25">
      <c r="A485" s="271">
        <v>45315</v>
      </c>
      <c r="B485" s="15" t="s">
        <v>3075</v>
      </c>
      <c r="C485" s="113" t="s">
        <v>2568</v>
      </c>
      <c r="D485" s="12" t="s">
        <v>3078</v>
      </c>
      <c r="E485" s="291"/>
      <c r="F485" s="292">
        <v>2900</v>
      </c>
    </row>
    <row r="486" spans="1:6" x14ac:dyDescent="0.25">
      <c r="A486" s="230">
        <v>45320</v>
      </c>
      <c r="B486" s="11" t="s">
        <v>3079</v>
      </c>
      <c r="C486" s="112" t="s">
        <v>2568</v>
      </c>
      <c r="D486" s="17" t="s">
        <v>3080</v>
      </c>
      <c r="E486" s="282"/>
      <c r="F486" s="290">
        <v>2500</v>
      </c>
    </row>
    <row r="487" spans="1:6" x14ac:dyDescent="0.25">
      <c r="A487" s="230">
        <v>45320</v>
      </c>
      <c r="B487" s="11" t="s">
        <v>3081</v>
      </c>
      <c r="C487" s="112" t="s">
        <v>2568</v>
      </c>
      <c r="D487" s="17" t="s">
        <v>3082</v>
      </c>
      <c r="E487" s="282"/>
      <c r="F487" s="290">
        <v>1250000</v>
      </c>
    </row>
    <row r="488" spans="1:6" x14ac:dyDescent="0.25">
      <c r="A488" s="230">
        <v>45320</v>
      </c>
      <c r="B488" s="11" t="s">
        <v>3081</v>
      </c>
      <c r="C488" s="112" t="s">
        <v>2568</v>
      </c>
      <c r="D488" s="17" t="s">
        <v>3083</v>
      </c>
      <c r="E488" s="282"/>
      <c r="F488" s="290">
        <v>5000</v>
      </c>
    </row>
    <row r="489" spans="1:6" x14ac:dyDescent="0.25">
      <c r="A489" s="230">
        <v>45320</v>
      </c>
      <c r="B489" s="11" t="s">
        <v>3084</v>
      </c>
      <c r="C489" s="112" t="s">
        <v>2568</v>
      </c>
      <c r="D489" s="17" t="s">
        <v>3085</v>
      </c>
      <c r="E489" s="282"/>
      <c r="F489" s="290">
        <v>2725979</v>
      </c>
    </row>
    <row r="490" spans="1:6" x14ac:dyDescent="0.25">
      <c r="A490" s="230">
        <v>45320</v>
      </c>
      <c r="B490" s="11" t="s">
        <v>3084</v>
      </c>
      <c r="C490" s="112" t="s">
        <v>2568</v>
      </c>
      <c r="D490" s="17" t="s">
        <v>3086</v>
      </c>
      <c r="E490" s="282"/>
      <c r="F490" s="290">
        <v>6122449</v>
      </c>
    </row>
    <row r="491" spans="1:6" x14ac:dyDescent="0.25">
      <c r="A491" s="230">
        <v>45320</v>
      </c>
      <c r="B491" s="11" t="s">
        <v>3084</v>
      </c>
      <c r="C491" s="112" t="s">
        <v>2568</v>
      </c>
      <c r="D491" s="17" t="s">
        <v>3087</v>
      </c>
      <c r="E491" s="282"/>
      <c r="F491" s="290">
        <v>-122449</v>
      </c>
    </row>
    <row r="492" spans="1:6" x14ac:dyDescent="0.25">
      <c r="A492" s="230">
        <v>45320</v>
      </c>
      <c r="B492" s="11" t="s">
        <v>3084</v>
      </c>
      <c r="C492" s="112" t="s">
        <v>2568</v>
      </c>
      <c r="D492" s="17" t="s">
        <v>3088</v>
      </c>
      <c r="E492" s="282"/>
      <c r="F492" s="290">
        <v>2500</v>
      </c>
    </row>
    <row r="493" spans="1:6" x14ac:dyDescent="0.25">
      <c r="A493" s="230">
        <v>45324</v>
      </c>
      <c r="B493" s="11" t="s">
        <v>3089</v>
      </c>
      <c r="C493" s="112" t="s">
        <v>2568</v>
      </c>
      <c r="D493" s="17" t="s">
        <v>3090</v>
      </c>
      <c r="E493" s="282"/>
      <c r="F493" s="290">
        <v>86500</v>
      </c>
    </row>
    <row r="494" spans="1:6" x14ac:dyDescent="0.25">
      <c r="A494" s="230">
        <v>45324</v>
      </c>
      <c r="B494" s="11" t="s">
        <v>3091</v>
      </c>
      <c r="C494" s="112" t="s">
        <v>2568</v>
      </c>
      <c r="D494" s="17" t="s">
        <v>3092</v>
      </c>
      <c r="E494" s="282"/>
      <c r="F494" s="290">
        <v>6750000</v>
      </c>
    </row>
    <row r="495" spans="1:6" x14ac:dyDescent="0.25">
      <c r="A495" s="230">
        <v>45324</v>
      </c>
      <c r="B495" s="11" t="s">
        <v>3091</v>
      </c>
      <c r="C495" s="112" t="s">
        <v>2568</v>
      </c>
      <c r="D495" s="17" t="s">
        <v>3093</v>
      </c>
      <c r="E495" s="282"/>
      <c r="F495" s="290">
        <v>16800000</v>
      </c>
    </row>
    <row r="496" spans="1:6" x14ac:dyDescent="0.25">
      <c r="A496" s="230">
        <v>45324</v>
      </c>
      <c r="B496" s="11" t="s">
        <v>3091</v>
      </c>
      <c r="C496" s="112" t="s">
        <v>2568</v>
      </c>
      <c r="D496" s="17" t="s">
        <v>3094</v>
      </c>
      <c r="E496" s="282"/>
      <c r="F496" s="290">
        <v>14400000</v>
      </c>
    </row>
    <row r="497" spans="1:6" x14ac:dyDescent="0.25">
      <c r="A497" s="230">
        <v>45324</v>
      </c>
      <c r="B497" s="11" t="s">
        <v>3091</v>
      </c>
      <c r="C497" s="112" t="s">
        <v>2568</v>
      </c>
      <c r="D497" s="17" t="s">
        <v>3095</v>
      </c>
      <c r="E497" s="282"/>
      <c r="F497" s="290">
        <v>5850000</v>
      </c>
    </row>
    <row r="498" spans="1:6" x14ac:dyDescent="0.25">
      <c r="A498" s="230">
        <v>45324</v>
      </c>
      <c r="B498" s="11" t="s">
        <v>3091</v>
      </c>
      <c r="C498" s="112" t="s">
        <v>2568</v>
      </c>
      <c r="D498" s="17" t="s">
        <v>3096</v>
      </c>
      <c r="E498" s="282"/>
      <c r="F498" s="290">
        <v>1200000</v>
      </c>
    </row>
    <row r="499" spans="1:6" x14ac:dyDescent="0.25">
      <c r="A499" s="230">
        <v>45329</v>
      </c>
      <c r="B499" s="11" t="s">
        <v>3097</v>
      </c>
      <c r="C499" s="113" t="s">
        <v>2568</v>
      </c>
      <c r="D499" s="17" t="s">
        <v>3098</v>
      </c>
      <c r="E499" s="282"/>
      <c r="F499" s="290">
        <v>157531554</v>
      </c>
    </row>
    <row r="500" spans="1:6" x14ac:dyDescent="0.25">
      <c r="A500" s="230">
        <v>45329</v>
      </c>
      <c r="B500" s="11" t="s">
        <v>3097</v>
      </c>
      <c r="C500" s="113" t="s">
        <v>2568</v>
      </c>
      <c r="D500" s="17" t="s">
        <v>3099</v>
      </c>
      <c r="E500" s="282"/>
      <c r="F500" s="290">
        <v>17328470</v>
      </c>
    </row>
    <row r="501" spans="1:6" x14ac:dyDescent="0.25">
      <c r="A501" s="230">
        <v>45329</v>
      </c>
      <c r="B501" s="11" t="s">
        <v>3097</v>
      </c>
      <c r="C501" s="113" t="s">
        <v>2568</v>
      </c>
      <c r="D501" s="17" t="s">
        <v>3100</v>
      </c>
      <c r="E501" s="282"/>
      <c r="F501" s="290">
        <v>2900</v>
      </c>
    </row>
    <row r="502" spans="1:6" x14ac:dyDescent="0.25">
      <c r="A502" s="230">
        <v>45329</v>
      </c>
      <c r="B502" s="11" t="s">
        <v>3101</v>
      </c>
      <c r="C502" s="112" t="s">
        <v>2568</v>
      </c>
      <c r="D502" s="17" t="s">
        <v>3102</v>
      </c>
      <c r="E502" s="282">
        <v>250000000</v>
      </c>
      <c r="F502" s="290"/>
    </row>
    <row r="503" spans="1:6" x14ac:dyDescent="0.25">
      <c r="A503" s="230">
        <v>45337</v>
      </c>
      <c r="B503" s="11" t="s">
        <v>3103</v>
      </c>
      <c r="C503" s="112" t="s">
        <v>2568</v>
      </c>
      <c r="D503" s="17" t="s">
        <v>3104</v>
      </c>
      <c r="E503" s="282"/>
      <c r="F503" s="290">
        <v>46500000</v>
      </c>
    </row>
    <row r="504" spans="1:6" x14ac:dyDescent="0.25">
      <c r="A504" s="230">
        <v>45337</v>
      </c>
      <c r="B504" s="11" t="s">
        <v>3103</v>
      </c>
      <c r="C504" s="112" t="s">
        <v>2568</v>
      </c>
      <c r="D504" s="17" t="s">
        <v>3105</v>
      </c>
      <c r="E504" s="282"/>
      <c r="F504" s="290">
        <v>2900</v>
      </c>
    </row>
    <row r="505" spans="1:6" x14ac:dyDescent="0.25">
      <c r="A505" s="230">
        <v>45337</v>
      </c>
      <c r="B505" s="11" t="s">
        <v>3106</v>
      </c>
      <c r="C505" s="112" t="s">
        <v>2568</v>
      </c>
      <c r="D505" s="17" t="s">
        <v>3107</v>
      </c>
      <c r="E505" s="282"/>
      <c r="F505" s="290">
        <v>2000000</v>
      </c>
    </row>
    <row r="506" spans="1:6" x14ac:dyDescent="0.25">
      <c r="A506" s="230">
        <v>45337</v>
      </c>
      <c r="B506" s="11" t="s">
        <v>3106</v>
      </c>
      <c r="C506" s="112" t="s">
        <v>2568</v>
      </c>
      <c r="D506" s="17" t="s">
        <v>3108</v>
      </c>
      <c r="E506" s="282"/>
      <c r="F506" s="290">
        <v>1100000</v>
      </c>
    </row>
    <row r="507" spans="1:6" x14ac:dyDescent="0.25">
      <c r="A507" s="230">
        <v>45337</v>
      </c>
      <c r="B507" s="11" t="s">
        <v>3106</v>
      </c>
      <c r="C507" s="112" t="s">
        <v>2568</v>
      </c>
      <c r="D507" s="17" t="s">
        <v>3109</v>
      </c>
      <c r="E507" s="282"/>
      <c r="F507" s="290">
        <v>1200000</v>
      </c>
    </row>
    <row r="508" spans="1:6" x14ac:dyDescent="0.25">
      <c r="A508" s="230">
        <v>45337</v>
      </c>
      <c r="B508" s="11" t="s">
        <v>3106</v>
      </c>
      <c r="C508" s="112" t="s">
        <v>2568</v>
      </c>
      <c r="D508" s="17" t="s">
        <v>50</v>
      </c>
      <c r="E508" s="282"/>
      <c r="F508" s="290">
        <v>2500</v>
      </c>
    </row>
    <row r="509" spans="1:6" x14ac:dyDescent="0.25">
      <c r="A509" s="230">
        <v>45337</v>
      </c>
      <c r="B509" s="11" t="s">
        <v>3106</v>
      </c>
      <c r="C509" s="112" t="s">
        <v>2568</v>
      </c>
      <c r="D509" s="17" t="s">
        <v>3110</v>
      </c>
      <c r="E509" s="282"/>
      <c r="F509" s="290">
        <v>600000</v>
      </c>
    </row>
    <row r="510" spans="1:6" x14ac:dyDescent="0.25">
      <c r="A510" s="230">
        <v>45337</v>
      </c>
      <c r="B510" s="11" t="s">
        <v>3106</v>
      </c>
      <c r="C510" s="112" t="s">
        <v>2568</v>
      </c>
      <c r="D510" s="17" t="s">
        <v>3111</v>
      </c>
      <c r="E510" s="282"/>
      <c r="F510" s="290">
        <v>96000</v>
      </c>
    </row>
    <row r="511" spans="1:6" x14ac:dyDescent="0.25">
      <c r="A511" s="230">
        <v>45337</v>
      </c>
      <c r="B511" s="11" t="s">
        <v>3112</v>
      </c>
      <c r="C511" s="112" t="s">
        <v>2568</v>
      </c>
      <c r="D511" s="17" t="s">
        <v>3113</v>
      </c>
      <c r="E511" s="282"/>
      <c r="F511" s="290">
        <v>76000</v>
      </c>
    </row>
    <row r="512" spans="1:6" x14ac:dyDescent="0.25">
      <c r="A512" s="230">
        <v>45337</v>
      </c>
      <c r="B512" s="11" t="s">
        <v>3112</v>
      </c>
      <c r="C512" s="112" t="s">
        <v>2568</v>
      </c>
      <c r="D512" s="17" t="s">
        <v>3114</v>
      </c>
      <c r="E512" s="282"/>
      <c r="F512" s="290">
        <v>62615</v>
      </c>
    </row>
    <row r="513" spans="1:6" x14ac:dyDescent="0.25">
      <c r="A513" s="230">
        <v>45343</v>
      </c>
      <c r="B513" s="11" t="s">
        <v>3115</v>
      </c>
      <c r="C513" s="112" t="s">
        <v>2568</v>
      </c>
      <c r="D513" s="17" t="s">
        <v>3116</v>
      </c>
      <c r="E513" s="282"/>
      <c r="F513" s="290">
        <v>16050000</v>
      </c>
    </row>
    <row r="514" spans="1:6" x14ac:dyDescent="0.25">
      <c r="A514" s="230">
        <v>45343</v>
      </c>
      <c r="B514" s="11" t="s">
        <v>3115</v>
      </c>
      <c r="C514" s="112" t="s">
        <v>2568</v>
      </c>
      <c r="D514" s="17" t="s">
        <v>3117</v>
      </c>
      <c r="E514" s="282"/>
      <c r="F514" s="290">
        <v>1765500</v>
      </c>
    </row>
    <row r="515" spans="1:6" x14ac:dyDescent="0.25">
      <c r="A515" s="230">
        <v>45343</v>
      </c>
      <c r="B515" s="11" t="s">
        <v>3118</v>
      </c>
      <c r="C515" s="112" t="s">
        <v>2568</v>
      </c>
      <c r="D515" s="17" t="s">
        <v>3119</v>
      </c>
      <c r="E515" s="282"/>
      <c r="F515" s="290">
        <v>367573626</v>
      </c>
    </row>
    <row r="516" spans="1:6" x14ac:dyDescent="0.25">
      <c r="A516" s="230">
        <v>45343</v>
      </c>
      <c r="B516" s="11" t="s">
        <v>3118</v>
      </c>
      <c r="C516" s="112" t="s">
        <v>2568</v>
      </c>
      <c r="D516" s="17" t="s">
        <v>3120</v>
      </c>
      <c r="E516" s="282"/>
      <c r="F516" s="290">
        <v>40433099</v>
      </c>
    </row>
    <row r="517" spans="1:6" x14ac:dyDescent="0.25">
      <c r="A517" s="230">
        <v>45343</v>
      </c>
      <c r="B517" s="11" t="s">
        <v>3118</v>
      </c>
      <c r="C517" s="112" t="s">
        <v>2568</v>
      </c>
      <c r="D517" s="17" t="s">
        <v>3121</v>
      </c>
      <c r="E517" s="282"/>
      <c r="F517" s="290">
        <v>2900</v>
      </c>
    </row>
    <row r="518" spans="1:6" x14ac:dyDescent="0.25">
      <c r="A518" s="230">
        <v>45344</v>
      </c>
      <c r="B518" s="11" t="s">
        <v>3122</v>
      </c>
      <c r="C518" s="112" t="s">
        <v>2568</v>
      </c>
      <c r="D518" s="17" t="s">
        <v>3102</v>
      </c>
      <c r="E518" s="282">
        <v>500000000</v>
      </c>
      <c r="F518" s="290"/>
    </row>
    <row r="519" spans="1:6" ht="15.6" x14ac:dyDescent="0.25">
      <c r="A519" s="230">
        <v>45345</v>
      </c>
      <c r="B519" s="11" t="s">
        <v>3123</v>
      </c>
      <c r="C519" s="112" t="s">
        <v>2568</v>
      </c>
      <c r="D519" s="17" t="s">
        <v>3124</v>
      </c>
      <c r="E519" s="282"/>
      <c r="F519" s="290">
        <v>3500000</v>
      </c>
    </row>
    <row r="520" spans="1:6" ht="15.6" x14ac:dyDescent="0.25">
      <c r="A520" s="230">
        <v>45345</v>
      </c>
      <c r="B520" s="11" t="s">
        <v>3123</v>
      </c>
      <c r="C520" s="112" t="s">
        <v>2568</v>
      </c>
      <c r="D520" s="17" t="s">
        <v>3125</v>
      </c>
      <c r="E520" s="282"/>
      <c r="F520" s="290">
        <v>2400000</v>
      </c>
    </row>
    <row r="521" spans="1:6" x14ac:dyDescent="0.25">
      <c r="A521" s="230">
        <v>45345</v>
      </c>
      <c r="B521" s="11" t="s">
        <v>3123</v>
      </c>
      <c r="C521" s="112" t="s">
        <v>2568</v>
      </c>
      <c r="D521" s="17" t="s">
        <v>3126</v>
      </c>
      <c r="E521" s="282"/>
      <c r="F521" s="290">
        <v>260000</v>
      </c>
    </row>
    <row r="522" spans="1:6" ht="15.6" x14ac:dyDescent="0.25">
      <c r="A522" s="230">
        <v>45345</v>
      </c>
      <c r="B522" s="11" t="s">
        <v>3123</v>
      </c>
      <c r="C522" s="112" t="s">
        <v>2568</v>
      </c>
      <c r="D522" s="17" t="s">
        <v>3127</v>
      </c>
      <c r="E522" s="282"/>
      <c r="F522" s="290">
        <v>500000</v>
      </c>
    </row>
    <row r="523" spans="1:6" x14ac:dyDescent="0.25">
      <c r="A523" s="230">
        <v>45345</v>
      </c>
      <c r="B523" s="11" t="s">
        <v>3123</v>
      </c>
      <c r="C523" s="112" t="s">
        <v>2568</v>
      </c>
      <c r="D523" s="17" t="s">
        <v>3128</v>
      </c>
      <c r="E523" s="282"/>
      <c r="F523" s="290">
        <v>960000</v>
      </c>
    </row>
    <row r="524" spans="1:6" x14ac:dyDescent="0.25">
      <c r="A524" s="230">
        <v>45345</v>
      </c>
      <c r="B524" s="11" t="s">
        <v>3123</v>
      </c>
      <c r="C524" s="112" t="s">
        <v>2568</v>
      </c>
      <c r="D524" s="17" t="s">
        <v>105</v>
      </c>
      <c r="E524" s="282"/>
      <c r="F524" s="290">
        <v>2500</v>
      </c>
    </row>
    <row r="525" spans="1:6" x14ac:dyDescent="0.25">
      <c r="A525" s="230">
        <v>45345</v>
      </c>
      <c r="B525" s="11" t="s">
        <v>3129</v>
      </c>
      <c r="C525" s="112" t="s">
        <v>2568</v>
      </c>
      <c r="D525" s="17" t="s">
        <v>3130</v>
      </c>
      <c r="E525" s="282"/>
      <c r="F525" s="290">
        <v>2500000</v>
      </c>
    </row>
    <row r="526" spans="1:6" x14ac:dyDescent="0.25">
      <c r="A526" s="230">
        <v>45345</v>
      </c>
      <c r="B526" s="11" t="s">
        <v>3129</v>
      </c>
      <c r="C526" s="112" t="s">
        <v>2568</v>
      </c>
      <c r="D526" s="17" t="s">
        <v>3131</v>
      </c>
      <c r="E526" s="282"/>
      <c r="F526" s="290">
        <v>2500</v>
      </c>
    </row>
    <row r="527" spans="1:6" x14ac:dyDescent="0.25">
      <c r="A527" s="230">
        <v>45345</v>
      </c>
      <c r="B527" s="11" t="s">
        <v>3132</v>
      </c>
      <c r="C527" s="112" t="s">
        <v>2568</v>
      </c>
      <c r="D527" s="17" t="s">
        <v>3113</v>
      </c>
      <c r="E527" s="282"/>
      <c r="F527" s="290">
        <v>80000</v>
      </c>
    </row>
    <row r="528" spans="1:6" x14ac:dyDescent="0.25">
      <c r="A528" s="230">
        <v>45345</v>
      </c>
      <c r="B528" s="11" t="s">
        <v>3132</v>
      </c>
      <c r="C528" s="112" t="s">
        <v>2568</v>
      </c>
      <c r="D528" s="17" t="s">
        <v>3133</v>
      </c>
      <c r="E528" s="282"/>
      <c r="F528" s="290">
        <v>46000</v>
      </c>
    </row>
    <row r="529" spans="1:6" x14ac:dyDescent="0.25">
      <c r="A529" s="230">
        <v>45345</v>
      </c>
      <c r="B529" s="11" t="s">
        <v>3134</v>
      </c>
      <c r="C529" s="112" t="s">
        <v>2568</v>
      </c>
      <c r="D529" s="17" t="s">
        <v>3135</v>
      </c>
      <c r="E529" s="282"/>
      <c r="F529" s="290">
        <v>1411714</v>
      </c>
    </row>
    <row r="530" spans="1:6" x14ac:dyDescent="0.25">
      <c r="A530" s="230">
        <v>45345</v>
      </c>
      <c r="B530" s="11" t="s">
        <v>3134</v>
      </c>
      <c r="C530" s="112" t="s">
        <v>2568</v>
      </c>
      <c r="D530" s="17" t="s">
        <v>3136</v>
      </c>
      <c r="E530" s="282"/>
      <c r="F530" s="290">
        <v>600000</v>
      </c>
    </row>
    <row r="531" spans="1:6" x14ac:dyDescent="0.25">
      <c r="A531" s="230">
        <v>45345</v>
      </c>
      <c r="B531" s="11" t="s">
        <v>3134</v>
      </c>
      <c r="C531" s="112" t="s">
        <v>2568</v>
      </c>
      <c r="D531" s="17" t="s">
        <v>3137</v>
      </c>
      <c r="E531" s="282"/>
      <c r="F531" s="290">
        <v>1000000</v>
      </c>
    </row>
    <row r="532" spans="1:6" x14ac:dyDescent="0.25">
      <c r="A532" s="230">
        <v>45345</v>
      </c>
      <c r="B532" s="11" t="s">
        <v>3134</v>
      </c>
      <c r="C532" s="112" t="s">
        <v>2568</v>
      </c>
      <c r="D532" s="17" t="s">
        <v>3138</v>
      </c>
      <c r="E532" s="282"/>
      <c r="F532" s="290">
        <v>1074847</v>
      </c>
    </row>
    <row r="533" spans="1:6" x14ac:dyDescent="0.25">
      <c r="A533" s="230">
        <v>45345</v>
      </c>
      <c r="B533" s="11" t="s">
        <v>3134</v>
      </c>
      <c r="C533" s="112" t="s">
        <v>2568</v>
      </c>
      <c r="D533" s="17" t="s">
        <v>3139</v>
      </c>
      <c r="E533" s="282"/>
      <c r="F533" s="290">
        <v>1945500</v>
      </c>
    </row>
    <row r="534" spans="1:6" x14ac:dyDescent="0.25">
      <c r="A534" s="230">
        <v>45345</v>
      </c>
      <c r="B534" s="11" t="s">
        <v>3134</v>
      </c>
      <c r="C534" s="112" t="s">
        <v>2568</v>
      </c>
      <c r="D534" s="17" t="s">
        <v>3140</v>
      </c>
      <c r="E534" s="282"/>
      <c r="F534" s="290">
        <v>2280000</v>
      </c>
    </row>
    <row r="535" spans="1:6" x14ac:dyDescent="0.25">
      <c r="A535" s="230">
        <v>45345</v>
      </c>
      <c r="B535" s="11" t="s">
        <v>3134</v>
      </c>
      <c r="C535" s="112" t="s">
        <v>2568</v>
      </c>
      <c r="D535" s="17" t="s">
        <v>3141</v>
      </c>
      <c r="E535" s="282"/>
      <c r="F535" s="290">
        <v>784908</v>
      </c>
    </row>
    <row r="536" spans="1:6" x14ac:dyDescent="0.25">
      <c r="A536" s="230">
        <v>45345</v>
      </c>
      <c r="B536" s="11" t="s">
        <v>3134</v>
      </c>
      <c r="C536" s="112" t="s">
        <v>2568</v>
      </c>
      <c r="D536" s="17" t="s">
        <v>3142</v>
      </c>
      <c r="E536" s="282"/>
      <c r="F536" s="290">
        <v>320000</v>
      </c>
    </row>
    <row r="537" spans="1:6" x14ac:dyDescent="0.25">
      <c r="A537" s="230">
        <v>45345</v>
      </c>
      <c r="B537" s="11" t="s">
        <v>3134</v>
      </c>
      <c r="C537" s="112" t="s">
        <v>2568</v>
      </c>
      <c r="D537" s="17" t="s">
        <v>3143</v>
      </c>
      <c r="E537" s="282"/>
      <c r="F537" s="290">
        <v>1254300</v>
      </c>
    </row>
    <row r="538" spans="1:6" x14ac:dyDescent="0.25">
      <c r="A538" s="230">
        <v>45355</v>
      </c>
      <c r="B538" s="11" t="s">
        <v>3144</v>
      </c>
      <c r="C538" s="112" t="s">
        <v>2568</v>
      </c>
      <c r="D538" s="17" t="s">
        <v>3145</v>
      </c>
      <c r="E538" s="282"/>
      <c r="F538" s="290">
        <v>2100000</v>
      </c>
    </row>
    <row r="539" spans="1:6" x14ac:dyDescent="0.25">
      <c r="A539" s="230">
        <v>45355</v>
      </c>
      <c r="B539" s="11" t="s">
        <v>3144</v>
      </c>
      <c r="C539" s="112" t="s">
        <v>2568</v>
      </c>
      <c r="D539" s="17" t="s">
        <v>3146</v>
      </c>
      <c r="E539" s="282"/>
      <c r="F539" s="290">
        <v>2500</v>
      </c>
    </row>
    <row r="540" spans="1:6" x14ac:dyDescent="0.25">
      <c r="A540" s="230">
        <v>45355</v>
      </c>
      <c r="B540" s="11" t="s">
        <v>3144</v>
      </c>
      <c r="C540" s="112" t="s">
        <v>2568</v>
      </c>
      <c r="D540" s="17" t="s">
        <v>3147</v>
      </c>
      <c r="E540" s="282"/>
      <c r="F540" s="290">
        <v>514874</v>
      </c>
    </row>
    <row r="541" spans="1:6" x14ac:dyDescent="0.25">
      <c r="A541" s="230">
        <v>45355</v>
      </c>
      <c r="B541" s="11" t="s">
        <v>3144</v>
      </c>
      <c r="C541" s="112" t="s">
        <v>2568</v>
      </c>
      <c r="D541" s="17" t="s">
        <v>3148</v>
      </c>
      <c r="E541" s="282"/>
      <c r="F541" s="290">
        <v>160000</v>
      </c>
    </row>
    <row r="542" spans="1:6" x14ac:dyDescent="0.25">
      <c r="A542" s="230">
        <v>45355</v>
      </c>
      <c r="B542" s="11" t="s">
        <v>3144</v>
      </c>
      <c r="C542" s="112" t="s">
        <v>2568</v>
      </c>
      <c r="D542" s="17" t="s">
        <v>3149</v>
      </c>
      <c r="E542" s="282"/>
      <c r="F542" s="290">
        <v>17600</v>
      </c>
    </row>
    <row r="543" spans="1:6" x14ac:dyDescent="0.25">
      <c r="A543" s="230">
        <v>45355</v>
      </c>
      <c r="B543" s="11" t="s">
        <v>3144</v>
      </c>
      <c r="C543" s="112" t="s">
        <v>2568</v>
      </c>
      <c r="D543" s="17" t="s">
        <v>50</v>
      </c>
      <c r="E543" s="282"/>
      <c r="F543" s="290">
        <v>2500</v>
      </c>
    </row>
    <row r="544" spans="1:6" x14ac:dyDescent="0.25">
      <c r="A544" s="230">
        <v>45355</v>
      </c>
      <c r="B544" s="11" t="s">
        <v>3144</v>
      </c>
      <c r="C544" s="112" t="s">
        <v>2568</v>
      </c>
      <c r="D544" s="17" t="s">
        <v>3150</v>
      </c>
      <c r="E544" s="282"/>
      <c r="F544" s="290">
        <v>600102</v>
      </c>
    </row>
    <row r="545" spans="1:6" x14ac:dyDescent="0.25">
      <c r="A545" s="230">
        <v>45355</v>
      </c>
      <c r="B545" s="11" t="s">
        <v>3144</v>
      </c>
      <c r="C545" s="112" t="s">
        <v>2568</v>
      </c>
      <c r="D545" s="17" t="s">
        <v>3151</v>
      </c>
      <c r="E545" s="282"/>
      <c r="F545" s="290">
        <v>3714278</v>
      </c>
    </row>
    <row r="546" spans="1:6" x14ac:dyDescent="0.25">
      <c r="A546" s="230">
        <v>45355</v>
      </c>
      <c r="B546" s="11" t="s">
        <v>3144</v>
      </c>
      <c r="C546" s="112" t="s">
        <v>2568</v>
      </c>
      <c r="D546" s="17" t="s">
        <v>3152</v>
      </c>
      <c r="E546" s="282"/>
      <c r="F546" s="290">
        <v>16500000</v>
      </c>
    </row>
    <row r="547" spans="1:6" x14ac:dyDescent="0.25">
      <c r="A547" s="230">
        <v>45355</v>
      </c>
      <c r="B547" s="11" t="s">
        <v>3144</v>
      </c>
      <c r="C547" s="112" t="s">
        <v>2568</v>
      </c>
      <c r="D547" s="17" t="s">
        <v>3153</v>
      </c>
      <c r="E547" s="282"/>
      <c r="F547" s="290">
        <v>6122449</v>
      </c>
    </row>
    <row r="548" spans="1:6" x14ac:dyDescent="0.25">
      <c r="A548" s="230">
        <v>45355</v>
      </c>
      <c r="B548" s="11" t="s">
        <v>3144</v>
      </c>
      <c r="C548" s="112" t="s">
        <v>2568</v>
      </c>
      <c r="D548" s="17" t="s">
        <v>3154</v>
      </c>
      <c r="E548" s="282"/>
      <c r="F548" s="290">
        <v>-122449</v>
      </c>
    </row>
    <row r="549" spans="1:6" x14ac:dyDescent="0.25">
      <c r="A549" s="230">
        <v>45355</v>
      </c>
      <c r="B549" s="11" t="s">
        <v>3144</v>
      </c>
      <c r="C549" s="112" t="s">
        <v>2568</v>
      </c>
      <c r="D549" s="17" t="s">
        <v>3155</v>
      </c>
      <c r="E549" s="282"/>
      <c r="F549" s="290">
        <v>6500</v>
      </c>
    </row>
    <row r="550" spans="1:6" x14ac:dyDescent="0.25">
      <c r="A550" s="230">
        <v>45359</v>
      </c>
      <c r="B550" s="11" t="s">
        <v>3156</v>
      </c>
      <c r="C550" s="112" t="s">
        <v>2568</v>
      </c>
      <c r="D550" s="17" t="s">
        <v>3157</v>
      </c>
      <c r="E550" s="282"/>
      <c r="F550" s="290">
        <v>750000</v>
      </c>
    </row>
    <row r="551" spans="1:6" x14ac:dyDescent="0.25">
      <c r="A551" s="230">
        <v>45359</v>
      </c>
      <c r="B551" s="11" t="s">
        <v>3156</v>
      </c>
      <c r="C551" s="112" t="s">
        <v>2568</v>
      </c>
      <c r="D551" s="17" t="s">
        <v>3141</v>
      </c>
      <c r="E551" s="282"/>
      <c r="F551" s="290">
        <v>1136956</v>
      </c>
    </row>
    <row r="552" spans="1:6" x14ac:dyDescent="0.25">
      <c r="A552" s="230">
        <v>45359</v>
      </c>
      <c r="B552" s="11" t="s">
        <v>3156</v>
      </c>
      <c r="C552" s="112" t="s">
        <v>2568</v>
      </c>
      <c r="D552" s="17" t="s">
        <v>3158</v>
      </c>
      <c r="E552" s="282"/>
      <c r="F552" s="290">
        <v>240000</v>
      </c>
    </row>
    <row r="553" spans="1:6" x14ac:dyDescent="0.25">
      <c r="A553" s="230">
        <v>45359</v>
      </c>
      <c r="B553" s="11" t="s">
        <v>3156</v>
      </c>
      <c r="C553" s="112" t="s">
        <v>2568</v>
      </c>
      <c r="D553" s="17" t="s">
        <v>3159</v>
      </c>
      <c r="E553" s="282"/>
      <c r="F553" s="290">
        <v>1178000</v>
      </c>
    </row>
    <row r="554" spans="1:6" x14ac:dyDescent="0.25">
      <c r="A554" s="230">
        <v>45359</v>
      </c>
      <c r="B554" s="11" t="s">
        <v>3160</v>
      </c>
      <c r="C554" s="112" t="s">
        <v>2568</v>
      </c>
      <c r="D554" s="17" t="s">
        <v>3161</v>
      </c>
      <c r="E554" s="282"/>
      <c r="F554" s="290">
        <v>1629357</v>
      </c>
    </row>
    <row r="555" spans="1:6" x14ac:dyDescent="0.25">
      <c r="A555" s="230">
        <v>45365</v>
      </c>
      <c r="B555" s="11" t="s">
        <v>3162</v>
      </c>
      <c r="C555" s="112" t="s">
        <v>2568</v>
      </c>
      <c r="D555" s="17" t="s">
        <v>3163</v>
      </c>
      <c r="E555" s="282"/>
      <c r="F555" s="290">
        <v>25099800</v>
      </c>
    </row>
    <row r="556" spans="1:6" x14ac:dyDescent="0.25">
      <c r="A556" s="230">
        <v>45365</v>
      </c>
      <c r="B556" s="11" t="s">
        <v>3162</v>
      </c>
      <c r="C556" s="112" t="s">
        <v>2568</v>
      </c>
      <c r="D556" s="17" t="s">
        <v>3164</v>
      </c>
      <c r="E556" s="282"/>
      <c r="F556" s="290">
        <v>2760978</v>
      </c>
    </row>
    <row r="557" spans="1:6" x14ac:dyDescent="0.25">
      <c r="A557" s="230">
        <v>45365</v>
      </c>
      <c r="B557" s="11" t="s">
        <v>3162</v>
      </c>
      <c r="C557" s="112" t="s">
        <v>2568</v>
      </c>
      <c r="D557" s="17" t="s">
        <v>2556</v>
      </c>
      <c r="E557" s="282"/>
      <c r="F557" s="290">
        <v>2900</v>
      </c>
    </row>
    <row r="558" spans="1:6" x14ac:dyDescent="0.25">
      <c r="A558" s="230">
        <v>45365</v>
      </c>
      <c r="B558" s="11" t="s">
        <v>3165</v>
      </c>
      <c r="C558" s="112" t="s">
        <v>2568</v>
      </c>
      <c r="D558" s="17" t="s">
        <v>3166</v>
      </c>
      <c r="E558" s="282"/>
      <c r="F558" s="290">
        <v>76635500</v>
      </c>
    </row>
    <row r="559" spans="1:6" x14ac:dyDescent="0.25">
      <c r="A559" s="230">
        <v>45365</v>
      </c>
      <c r="B559" s="11" t="s">
        <v>3165</v>
      </c>
      <c r="C559" s="112" t="s">
        <v>2568</v>
      </c>
      <c r="D559" s="17" t="s">
        <v>2950</v>
      </c>
      <c r="E559" s="282"/>
      <c r="F559" s="290">
        <v>2900</v>
      </c>
    </row>
    <row r="560" spans="1:6" x14ac:dyDescent="0.25">
      <c r="A560" s="230">
        <v>45365</v>
      </c>
      <c r="B560" s="11" t="s">
        <v>3167</v>
      </c>
      <c r="C560" s="112" t="s">
        <v>2568</v>
      </c>
      <c r="D560" s="17" t="s">
        <v>3168</v>
      </c>
      <c r="E560" s="282"/>
      <c r="F560" s="290">
        <v>10800000</v>
      </c>
    </row>
    <row r="561" spans="1:6" x14ac:dyDescent="0.25">
      <c r="A561" s="230">
        <v>45365</v>
      </c>
      <c r="B561" s="11" t="s">
        <v>3167</v>
      </c>
      <c r="C561" s="112" t="s">
        <v>2568</v>
      </c>
      <c r="D561" s="17" t="s">
        <v>3169</v>
      </c>
      <c r="E561" s="282"/>
      <c r="F561" s="290">
        <v>118800</v>
      </c>
    </row>
    <row r="562" spans="1:6" x14ac:dyDescent="0.25">
      <c r="A562" s="230">
        <v>45365</v>
      </c>
      <c r="B562" s="11" t="s">
        <v>3167</v>
      </c>
      <c r="C562" s="112" t="s">
        <v>2568</v>
      </c>
      <c r="D562" s="17" t="s">
        <v>3170</v>
      </c>
      <c r="E562" s="282"/>
      <c r="F562" s="290">
        <v>-216000</v>
      </c>
    </row>
    <row r="563" spans="1:6" x14ac:dyDescent="0.25">
      <c r="A563" s="230">
        <v>45365</v>
      </c>
      <c r="B563" s="11" t="s">
        <v>3167</v>
      </c>
      <c r="C563" s="112" t="s">
        <v>2568</v>
      </c>
      <c r="D563" s="17" t="s">
        <v>105</v>
      </c>
      <c r="E563" s="282"/>
      <c r="F563" s="290">
        <v>2900</v>
      </c>
    </row>
    <row r="564" spans="1:6" x14ac:dyDescent="0.25">
      <c r="A564" s="230">
        <v>45373</v>
      </c>
      <c r="B564" s="11" t="s">
        <v>3171</v>
      </c>
      <c r="C564" s="112" t="s">
        <v>2568</v>
      </c>
      <c r="D564" s="17" t="s">
        <v>3172</v>
      </c>
      <c r="E564" s="282"/>
      <c r="F564" s="290">
        <v>6122449</v>
      </c>
    </row>
    <row r="565" spans="1:6" x14ac:dyDescent="0.25">
      <c r="A565" s="230">
        <v>45373</v>
      </c>
      <c r="B565" s="11" t="s">
        <v>3171</v>
      </c>
      <c r="C565" s="112" t="s">
        <v>2568</v>
      </c>
      <c r="D565" s="17" t="s">
        <v>3173</v>
      </c>
      <c r="E565" s="282"/>
      <c r="F565" s="290">
        <v>-122449</v>
      </c>
    </row>
    <row r="566" spans="1:6" x14ac:dyDescent="0.25">
      <c r="A566" s="230">
        <v>45373</v>
      </c>
      <c r="B566" s="11" t="s">
        <v>3171</v>
      </c>
      <c r="C566" s="112" t="s">
        <v>2568</v>
      </c>
      <c r="D566" s="17" t="s">
        <v>105</v>
      </c>
      <c r="E566" s="282"/>
      <c r="F566" s="290">
        <v>2500</v>
      </c>
    </row>
    <row r="567" spans="1:6" x14ac:dyDescent="0.25">
      <c r="A567" s="230">
        <v>45378</v>
      </c>
      <c r="B567" s="11" t="s">
        <v>3174</v>
      </c>
      <c r="C567" s="112" t="s">
        <v>2568</v>
      </c>
      <c r="D567" s="17" t="s">
        <v>3175</v>
      </c>
      <c r="E567" s="282"/>
      <c r="F567" s="290">
        <v>1802000</v>
      </c>
    </row>
    <row r="568" spans="1:6" x14ac:dyDescent="0.25">
      <c r="A568" s="230">
        <v>45378</v>
      </c>
      <c r="B568" s="11" t="s">
        <v>3174</v>
      </c>
      <c r="C568" s="112" t="s">
        <v>2568</v>
      </c>
      <c r="D568" s="17" t="s">
        <v>3176</v>
      </c>
      <c r="E568" s="282"/>
      <c r="F568" s="290">
        <v>4162000</v>
      </c>
    </row>
    <row r="569" spans="1:6" x14ac:dyDescent="0.25">
      <c r="A569" s="230">
        <v>45378</v>
      </c>
      <c r="B569" s="11" t="s">
        <v>3174</v>
      </c>
      <c r="C569" s="112" t="s">
        <v>2568</v>
      </c>
      <c r="D569" s="17" t="s">
        <v>3177</v>
      </c>
      <c r="E569" s="282"/>
      <c r="F569" s="290">
        <v>946000</v>
      </c>
    </row>
    <row r="570" spans="1:6" x14ac:dyDescent="0.25">
      <c r="A570" s="230">
        <v>45378</v>
      </c>
      <c r="B570" s="11" t="s">
        <v>3178</v>
      </c>
      <c r="C570" s="112" t="s">
        <v>2568</v>
      </c>
      <c r="D570" s="17" t="s">
        <v>3179</v>
      </c>
      <c r="E570" s="282"/>
      <c r="F570" s="290">
        <v>6122449</v>
      </c>
    </row>
    <row r="571" spans="1:6" x14ac:dyDescent="0.25">
      <c r="A571" s="230">
        <v>45378</v>
      </c>
      <c r="B571" s="11" t="s">
        <v>3178</v>
      </c>
      <c r="C571" s="112" t="s">
        <v>2568</v>
      </c>
      <c r="D571" s="17" t="s">
        <v>3180</v>
      </c>
      <c r="E571" s="282"/>
      <c r="F571" s="290">
        <v>-122449</v>
      </c>
    </row>
    <row r="572" spans="1:6" x14ac:dyDescent="0.25">
      <c r="A572" s="230">
        <v>45378</v>
      </c>
      <c r="B572" s="11" t="s">
        <v>3178</v>
      </c>
      <c r="C572" s="112" t="s">
        <v>2568</v>
      </c>
      <c r="D572" s="17" t="s">
        <v>50</v>
      </c>
      <c r="E572" s="282"/>
      <c r="F572" s="290">
        <v>2500</v>
      </c>
    </row>
    <row r="573" spans="1:6" x14ac:dyDescent="0.25">
      <c r="A573" s="230">
        <v>45378</v>
      </c>
      <c r="B573" s="11" t="s">
        <v>3181</v>
      </c>
      <c r="C573" s="112" t="s">
        <v>2568</v>
      </c>
      <c r="D573" s="17" t="s">
        <v>3182</v>
      </c>
      <c r="E573" s="282"/>
      <c r="F573" s="290">
        <v>40000000</v>
      </c>
    </row>
    <row r="574" spans="1:6" x14ac:dyDescent="0.25">
      <c r="A574" s="230">
        <v>45378</v>
      </c>
      <c r="B574" s="11" t="s">
        <v>3181</v>
      </c>
      <c r="C574" s="112" t="s">
        <v>2568</v>
      </c>
      <c r="D574" s="17" t="s">
        <v>3183</v>
      </c>
      <c r="E574" s="282"/>
      <c r="F574" s="290">
        <v>2900</v>
      </c>
    </row>
    <row r="575" spans="1:6" x14ac:dyDescent="0.25">
      <c r="A575" s="230">
        <v>45378</v>
      </c>
      <c r="B575" s="11" t="s">
        <v>3184</v>
      </c>
      <c r="C575" s="112" t="s">
        <v>2568</v>
      </c>
      <c r="D575" s="17" t="s">
        <v>3185</v>
      </c>
      <c r="E575" s="282"/>
      <c r="F575" s="290">
        <v>5299200</v>
      </c>
    </row>
    <row r="576" spans="1:6" x14ac:dyDescent="0.25">
      <c r="A576" s="230">
        <v>45378</v>
      </c>
      <c r="B576" s="11" t="s">
        <v>3184</v>
      </c>
      <c r="C576" s="112" t="s">
        <v>2568</v>
      </c>
      <c r="D576" s="17" t="s">
        <v>3186</v>
      </c>
      <c r="E576" s="282"/>
      <c r="F576" s="290">
        <v>582912</v>
      </c>
    </row>
    <row r="577" spans="1:6" x14ac:dyDescent="0.25">
      <c r="A577" s="230">
        <v>45378</v>
      </c>
      <c r="B577" s="11" t="s">
        <v>3184</v>
      </c>
      <c r="C577" s="112" t="s">
        <v>2568</v>
      </c>
      <c r="D577" s="17" t="s">
        <v>3187</v>
      </c>
      <c r="E577" s="282"/>
      <c r="F577" s="290">
        <v>2900</v>
      </c>
    </row>
    <row r="578" spans="1:6" x14ac:dyDescent="0.25">
      <c r="A578" s="230">
        <v>45378</v>
      </c>
      <c r="B578" s="11" t="s">
        <v>3188</v>
      </c>
      <c r="C578" s="112" t="s">
        <v>2568</v>
      </c>
      <c r="D578" s="17" t="s">
        <v>3189</v>
      </c>
      <c r="E578" s="282"/>
      <c r="F578" s="290">
        <v>161739500</v>
      </c>
    </row>
    <row r="579" spans="1:6" x14ac:dyDescent="0.25">
      <c r="A579" s="230">
        <v>45378</v>
      </c>
      <c r="B579" s="11" t="s">
        <v>3188</v>
      </c>
      <c r="C579" s="112" t="s">
        <v>2568</v>
      </c>
      <c r="D579" s="17" t="s">
        <v>2933</v>
      </c>
      <c r="E579" s="282"/>
      <c r="F579" s="290">
        <v>2900</v>
      </c>
    </row>
    <row r="580" spans="1:6" x14ac:dyDescent="0.25">
      <c r="A580" s="230">
        <v>45383</v>
      </c>
      <c r="B580" s="11" t="s">
        <v>3190</v>
      </c>
      <c r="C580" s="112" t="s">
        <v>2568</v>
      </c>
      <c r="D580" s="17" t="s">
        <v>3102</v>
      </c>
      <c r="E580" s="282">
        <v>500000000</v>
      </c>
      <c r="F580" s="290"/>
    </row>
    <row r="581" spans="1:6" x14ac:dyDescent="0.25">
      <c r="A581" s="230">
        <v>45385</v>
      </c>
      <c r="B581" s="11" t="s">
        <v>3191</v>
      </c>
      <c r="C581" s="112" t="s">
        <v>2568</v>
      </c>
      <c r="D581" s="17" t="s">
        <v>3192</v>
      </c>
      <c r="E581" s="282"/>
      <c r="F581" s="290">
        <v>40000000</v>
      </c>
    </row>
    <row r="582" spans="1:6" x14ac:dyDescent="0.25">
      <c r="A582" s="230">
        <v>45385</v>
      </c>
      <c r="B582" s="11" t="s">
        <v>3191</v>
      </c>
      <c r="C582" s="112" t="s">
        <v>2568</v>
      </c>
      <c r="D582" s="17" t="s">
        <v>105</v>
      </c>
      <c r="E582" s="282"/>
      <c r="F582" s="290">
        <v>2900</v>
      </c>
    </row>
    <row r="583" spans="1:6" x14ac:dyDescent="0.25">
      <c r="A583" s="230">
        <v>45400</v>
      </c>
      <c r="B583" s="11" t="s">
        <v>3193</v>
      </c>
      <c r="C583" s="112" t="s">
        <v>2568</v>
      </c>
      <c r="D583" s="17" t="s">
        <v>3194</v>
      </c>
      <c r="E583" s="282"/>
      <c r="F583" s="290">
        <v>55255200</v>
      </c>
    </row>
    <row r="584" spans="1:6" x14ac:dyDescent="0.25">
      <c r="A584" s="230">
        <v>45400</v>
      </c>
      <c r="B584" s="11" t="s">
        <v>3193</v>
      </c>
      <c r="C584" s="112" t="s">
        <v>2568</v>
      </c>
      <c r="D584" s="17" t="s">
        <v>3195</v>
      </c>
      <c r="E584" s="282"/>
      <c r="F584" s="290">
        <v>6078072</v>
      </c>
    </row>
    <row r="585" spans="1:6" x14ac:dyDescent="0.25">
      <c r="A585" s="230">
        <v>45400</v>
      </c>
      <c r="B585" s="11" t="s">
        <v>3193</v>
      </c>
      <c r="C585" s="112" t="s">
        <v>2568</v>
      </c>
      <c r="D585" s="17" t="s">
        <v>2556</v>
      </c>
      <c r="E585" s="282"/>
      <c r="F585" s="290">
        <v>2900</v>
      </c>
    </row>
    <row r="586" spans="1:6" x14ac:dyDescent="0.25">
      <c r="A586" s="230">
        <v>45400</v>
      </c>
      <c r="B586" s="11" t="s">
        <v>3196</v>
      </c>
      <c r="C586" s="112" t="s">
        <v>2568</v>
      </c>
      <c r="D586" s="17" t="s">
        <v>3197</v>
      </c>
      <c r="E586" s="282"/>
      <c r="F586" s="290">
        <v>675000</v>
      </c>
    </row>
    <row r="587" spans="1:6" x14ac:dyDescent="0.25">
      <c r="A587" s="230">
        <v>45400</v>
      </c>
      <c r="B587" s="11" t="s">
        <v>3196</v>
      </c>
      <c r="C587" s="112" t="s">
        <v>2568</v>
      </c>
      <c r="D587" s="17" t="s">
        <v>3198</v>
      </c>
      <c r="E587" s="282"/>
      <c r="F587" s="290">
        <v>74250</v>
      </c>
    </row>
    <row r="588" spans="1:6" x14ac:dyDescent="0.25">
      <c r="A588" s="230">
        <v>45400</v>
      </c>
      <c r="B588" s="11" t="s">
        <v>3196</v>
      </c>
      <c r="C588" s="112" t="s">
        <v>2568</v>
      </c>
      <c r="D588" s="17" t="s">
        <v>3199</v>
      </c>
      <c r="E588" s="282"/>
      <c r="F588" s="290">
        <v>2900</v>
      </c>
    </row>
    <row r="589" spans="1:6" x14ac:dyDescent="0.25">
      <c r="A589" s="230">
        <v>45400</v>
      </c>
      <c r="B589" s="11" t="s">
        <v>3196</v>
      </c>
      <c r="C589" s="112" t="s">
        <v>2568</v>
      </c>
      <c r="D589" s="17" t="s">
        <v>3200</v>
      </c>
      <c r="E589" s="282"/>
      <c r="F589" s="290">
        <v>-13500</v>
      </c>
    </row>
    <row r="590" spans="1:6" x14ac:dyDescent="0.25">
      <c r="A590" s="230">
        <v>45401</v>
      </c>
      <c r="B590" s="11" t="s">
        <v>3201</v>
      </c>
      <c r="C590" s="112" t="s">
        <v>2568</v>
      </c>
      <c r="D590" s="17" t="s">
        <v>3202</v>
      </c>
      <c r="E590" s="282"/>
      <c r="F590" s="290">
        <v>6122449</v>
      </c>
    </row>
    <row r="591" spans="1:6" x14ac:dyDescent="0.25">
      <c r="A591" s="230">
        <v>45401</v>
      </c>
      <c r="B591" s="11" t="s">
        <v>3201</v>
      </c>
      <c r="C591" s="112" t="s">
        <v>2568</v>
      </c>
      <c r="D591" s="17" t="s">
        <v>3203</v>
      </c>
      <c r="E591" s="282"/>
      <c r="F591" s="290">
        <v>-122449</v>
      </c>
    </row>
    <row r="592" spans="1:6" x14ac:dyDescent="0.25">
      <c r="A592" s="230">
        <v>45401</v>
      </c>
      <c r="B592" s="11" t="s">
        <v>3201</v>
      </c>
      <c r="C592" s="112" t="s">
        <v>2568</v>
      </c>
      <c r="D592" s="17" t="s">
        <v>105</v>
      </c>
      <c r="E592" s="282"/>
      <c r="F592" s="290">
        <v>2900</v>
      </c>
    </row>
    <row r="593" spans="1:6" x14ac:dyDescent="0.25">
      <c r="A593" s="230">
        <v>45401</v>
      </c>
      <c r="B593" s="11" t="s">
        <v>3204</v>
      </c>
      <c r="C593" s="112" t="s">
        <v>2568</v>
      </c>
      <c r="D593" s="17" t="s">
        <v>3205</v>
      </c>
      <c r="E593" s="282"/>
      <c r="F593" s="290">
        <v>522080</v>
      </c>
    </row>
    <row r="594" spans="1:6" x14ac:dyDescent="0.25">
      <c r="A594" s="230">
        <v>45401</v>
      </c>
      <c r="B594" s="11" t="s">
        <v>3204</v>
      </c>
      <c r="C594" s="112" t="s">
        <v>2568</v>
      </c>
      <c r="D594" s="17" t="s">
        <v>3206</v>
      </c>
      <c r="E594" s="282"/>
      <c r="F594" s="290">
        <v>177000</v>
      </c>
    </row>
    <row r="595" spans="1:6" x14ac:dyDescent="0.25">
      <c r="A595" s="230">
        <v>45401</v>
      </c>
      <c r="B595" s="11" t="s">
        <v>3204</v>
      </c>
      <c r="C595" s="112" t="s">
        <v>2568</v>
      </c>
      <c r="D595" s="17" t="s">
        <v>3207</v>
      </c>
      <c r="E595" s="282"/>
      <c r="F595" s="290">
        <v>10000</v>
      </c>
    </row>
    <row r="596" spans="1:6" x14ac:dyDescent="0.25">
      <c r="A596" s="230">
        <v>45401</v>
      </c>
      <c r="B596" s="11" t="s">
        <v>3204</v>
      </c>
      <c r="C596" s="112" t="s">
        <v>2568</v>
      </c>
      <c r="D596" s="17" t="s">
        <v>3208</v>
      </c>
      <c r="E596" s="282"/>
      <c r="F596" s="290">
        <v>9900000</v>
      </c>
    </row>
    <row r="597" spans="1:6" x14ac:dyDescent="0.25">
      <c r="A597" s="230">
        <v>45401</v>
      </c>
      <c r="B597" s="11" t="s">
        <v>3209</v>
      </c>
      <c r="C597" s="112" t="s">
        <v>2568</v>
      </c>
      <c r="D597" s="12" t="s">
        <v>3210</v>
      </c>
      <c r="E597" s="282"/>
      <c r="F597" s="290">
        <v>15000000</v>
      </c>
    </row>
    <row r="598" spans="1:6" x14ac:dyDescent="0.25">
      <c r="A598" s="230">
        <v>45401</v>
      </c>
      <c r="B598" s="11" t="s">
        <v>3209</v>
      </c>
      <c r="C598" s="112" t="s">
        <v>2568</v>
      </c>
      <c r="D598" s="12" t="s">
        <v>50</v>
      </c>
      <c r="E598" s="282"/>
      <c r="F598" s="290">
        <v>2500</v>
      </c>
    </row>
    <row r="599" spans="1:6" x14ac:dyDescent="0.25">
      <c r="A599" s="230">
        <v>45401</v>
      </c>
      <c r="B599" s="11" t="s">
        <v>3211</v>
      </c>
      <c r="C599" s="112" t="s">
        <v>2568</v>
      </c>
      <c r="D599" s="17" t="s">
        <v>3212</v>
      </c>
      <c r="E599" s="282"/>
      <c r="F599" s="290">
        <v>40880000</v>
      </c>
    </row>
    <row r="600" spans="1:6" x14ac:dyDescent="0.25">
      <c r="A600" s="230">
        <v>45401</v>
      </c>
      <c r="B600" s="11" t="s">
        <v>3211</v>
      </c>
      <c r="C600" s="112" t="s">
        <v>2568</v>
      </c>
      <c r="D600" s="17" t="s">
        <v>2933</v>
      </c>
      <c r="E600" s="282"/>
      <c r="F600" s="290">
        <v>2900</v>
      </c>
    </row>
    <row r="601" spans="1:6" x14ac:dyDescent="0.25">
      <c r="A601" s="230">
        <v>45401</v>
      </c>
      <c r="B601" s="11" t="s">
        <v>3213</v>
      </c>
      <c r="C601" s="112" t="s">
        <v>2568</v>
      </c>
      <c r="D601" s="17" t="s">
        <v>3214</v>
      </c>
      <c r="E601" s="282"/>
      <c r="F601" s="290">
        <v>10746000</v>
      </c>
    </row>
    <row r="602" spans="1:6" x14ac:dyDescent="0.25">
      <c r="A602" s="230">
        <v>45401</v>
      </c>
      <c r="B602" s="11" t="s">
        <v>3213</v>
      </c>
      <c r="C602" s="112" t="s">
        <v>2568</v>
      </c>
      <c r="D602" s="17" t="s">
        <v>3215</v>
      </c>
      <c r="E602" s="282"/>
      <c r="F602" s="290">
        <v>24822000</v>
      </c>
    </row>
    <row r="603" spans="1:6" x14ac:dyDescent="0.25">
      <c r="A603" s="230">
        <v>45407</v>
      </c>
      <c r="B603" s="11" t="s">
        <v>3216</v>
      </c>
      <c r="C603" s="112" t="s">
        <v>2568</v>
      </c>
      <c r="D603" s="17" t="s">
        <v>3217</v>
      </c>
      <c r="E603" s="282"/>
      <c r="F603" s="290">
        <v>12500000</v>
      </c>
    </row>
    <row r="604" spans="1:6" x14ac:dyDescent="0.25">
      <c r="A604" s="230">
        <v>45407</v>
      </c>
      <c r="B604" s="11" t="s">
        <v>3216</v>
      </c>
      <c r="C604" s="112" t="s">
        <v>2568</v>
      </c>
      <c r="D604" s="17" t="s">
        <v>3218</v>
      </c>
      <c r="E604" s="282"/>
      <c r="F604" s="290">
        <v>2900</v>
      </c>
    </row>
    <row r="605" spans="1:6" x14ac:dyDescent="0.25">
      <c r="A605" s="230">
        <v>45414</v>
      </c>
      <c r="B605" s="11" t="s">
        <v>3219</v>
      </c>
      <c r="C605" s="112" t="s">
        <v>2568</v>
      </c>
      <c r="D605" s="17" t="s">
        <v>3220</v>
      </c>
      <c r="E605" s="282"/>
      <c r="F605" s="289">
        <v>12500000</v>
      </c>
    </row>
    <row r="606" spans="1:6" x14ac:dyDescent="0.25">
      <c r="A606" s="230">
        <v>45414</v>
      </c>
      <c r="B606" s="11" t="s">
        <v>3219</v>
      </c>
      <c r="C606" s="112" t="s">
        <v>2568</v>
      </c>
      <c r="D606" s="17" t="s">
        <v>50</v>
      </c>
      <c r="E606" s="282"/>
      <c r="F606" s="289">
        <v>2500</v>
      </c>
    </row>
    <row r="607" spans="1:6" x14ac:dyDescent="0.25">
      <c r="A607" s="230">
        <v>45414</v>
      </c>
      <c r="B607" s="11" t="s">
        <v>3221</v>
      </c>
      <c r="C607" s="112" t="s">
        <v>2568</v>
      </c>
      <c r="D607" s="17" t="s">
        <v>446</v>
      </c>
      <c r="E607" s="282"/>
      <c r="F607" s="290">
        <v>200000</v>
      </c>
    </row>
    <row r="608" spans="1:6" x14ac:dyDescent="0.25">
      <c r="A608" s="230">
        <v>45414</v>
      </c>
      <c r="B608" s="11" t="s">
        <v>3221</v>
      </c>
      <c r="C608" s="112" t="s">
        <v>2568</v>
      </c>
      <c r="D608" s="17" t="s">
        <v>447</v>
      </c>
      <c r="E608" s="282"/>
      <c r="F608" s="290">
        <v>34000</v>
      </c>
    </row>
    <row r="609" spans="1:6" x14ac:dyDescent="0.25">
      <c r="A609" s="230">
        <v>45414</v>
      </c>
      <c r="B609" s="11" t="s">
        <v>3221</v>
      </c>
      <c r="C609" s="112" t="s">
        <v>2568</v>
      </c>
      <c r="D609" s="17" t="s">
        <v>1787</v>
      </c>
      <c r="E609" s="282"/>
      <c r="F609" s="290">
        <v>19000</v>
      </c>
    </row>
    <row r="610" spans="1:6" x14ac:dyDescent="0.25">
      <c r="A610" s="230">
        <v>45415</v>
      </c>
      <c r="B610" s="11" t="s">
        <v>3222</v>
      </c>
      <c r="C610" s="112" t="s">
        <v>2568</v>
      </c>
      <c r="D610" s="17" t="s">
        <v>3102</v>
      </c>
      <c r="E610" s="282">
        <v>484684716</v>
      </c>
      <c r="F610" s="290"/>
    </row>
    <row r="611" spans="1:6" x14ac:dyDescent="0.25">
      <c r="A611" s="230">
        <v>45415</v>
      </c>
      <c r="B611" s="11" t="s">
        <v>3222</v>
      </c>
      <c r="C611" s="112" t="s">
        <v>2568</v>
      </c>
      <c r="D611" s="17" t="s">
        <v>3223</v>
      </c>
      <c r="E611" s="282">
        <v>-41413644</v>
      </c>
      <c r="F611" s="290"/>
    </row>
    <row r="612" spans="1:6" x14ac:dyDescent="0.25">
      <c r="A612" s="230">
        <v>45440</v>
      </c>
      <c r="B612" s="11" t="s">
        <v>3224</v>
      </c>
      <c r="C612" s="112" t="s">
        <v>2568</v>
      </c>
      <c r="D612" s="17" t="s">
        <v>3225</v>
      </c>
      <c r="E612" s="282"/>
      <c r="F612" s="290">
        <v>66820000</v>
      </c>
    </row>
    <row r="613" spans="1:6" x14ac:dyDescent="0.25">
      <c r="A613" s="230">
        <v>45450</v>
      </c>
      <c r="B613" s="11" t="s">
        <v>75</v>
      </c>
      <c r="C613" s="112" t="s">
        <v>2568</v>
      </c>
      <c r="D613" s="12" t="s">
        <v>3226</v>
      </c>
      <c r="E613" s="282"/>
      <c r="F613" s="290">
        <v>9000000</v>
      </c>
    </row>
    <row r="614" spans="1:6" x14ac:dyDescent="0.25">
      <c r="A614" s="230">
        <v>45450</v>
      </c>
      <c r="B614" s="11" t="s">
        <v>75</v>
      </c>
      <c r="C614" s="112" t="s">
        <v>2568</v>
      </c>
      <c r="D614" s="12" t="s">
        <v>3227</v>
      </c>
      <c r="E614" s="282"/>
      <c r="F614" s="290">
        <v>2500</v>
      </c>
    </row>
    <row r="615" spans="1:6" x14ac:dyDescent="0.25">
      <c r="A615" s="230">
        <v>45470</v>
      </c>
      <c r="B615" s="11" t="s">
        <v>3228</v>
      </c>
      <c r="C615" s="112" t="s">
        <v>2568</v>
      </c>
      <c r="D615" s="12" t="s">
        <v>3229</v>
      </c>
      <c r="E615" s="282"/>
      <c r="F615" s="290">
        <v>107360</v>
      </c>
    </row>
    <row r="616" spans="1:6" x14ac:dyDescent="0.25">
      <c r="A616" s="230">
        <v>45470</v>
      </c>
      <c r="B616" s="11" t="s">
        <v>3228</v>
      </c>
      <c r="C616" s="112" t="s">
        <v>2568</v>
      </c>
      <c r="D616" s="12" t="s">
        <v>3230</v>
      </c>
      <c r="E616" s="282"/>
      <c r="F616" s="290">
        <v>11809</v>
      </c>
    </row>
    <row r="617" spans="1:6" x14ac:dyDescent="0.25">
      <c r="A617" s="230">
        <v>45470</v>
      </c>
      <c r="B617" s="11" t="s">
        <v>3228</v>
      </c>
      <c r="C617" s="112" t="s">
        <v>2568</v>
      </c>
      <c r="D617" s="12" t="s">
        <v>3231</v>
      </c>
      <c r="E617" s="282"/>
      <c r="F617" s="290">
        <v>7789760</v>
      </c>
    </row>
    <row r="618" spans="1:6" x14ac:dyDescent="0.25">
      <c r="A618" s="230">
        <v>45470</v>
      </c>
      <c r="B618" s="11" t="s">
        <v>3228</v>
      </c>
      <c r="C618" s="112" t="s">
        <v>2568</v>
      </c>
      <c r="D618" s="12" t="s">
        <v>3232</v>
      </c>
      <c r="E618" s="282"/>
      <c r="F618" s="290">
        <v>856873</v>
      </c>
    </row>
    <row r="619" spans="1:6" x14ac:dyDescent="0.25">
      <c r="A619" s="230">
        <v>45470</v>
      </c>
      <c r="B619" s="11" t="s">
        <v>3228</v>
      </c>
      <c r="C619" s="112" t="s">
        <v>2568</v>
      </c>
      <c r="D619" s="12" t="s">
        <v>3233</v>
      </c>
      <c r="E619" s="282"/>
      <c r="F619" s="290">
        <v>2900</v>
      </c>
    </row>
    <row r="620" spans="1:6" x14ac:dyDescent="0.25">
      <c r="A620" s="230">
        <v>45470</v>
      </c>
      <c r="B620" s="11" t="s">
        <v>3228</v>
      </c>
      <c r="C620" s="112" t="s">
        <v>2568</v>
      </c>
      <c r="D620" s="12" t="s">
        <v>3234</v>
      </c>
      <c r="E620" s="282"/>
      <c r="F620" s="290">
        <v>122100</v>
      </c>
    </row>
    <row r="621" spans="1:6" x14ac:dyDescent="0.25">
      <c r="A621" s="230">
        <v>45470</v>
      </c>
      <c r="B621" s="11" t="s">
        <v>3235</v>
      </c>
      <c r="C621" s="112" t="s">
        <v>2568</v>
      </c>
      <c r="D621" s="28" t="s">
        <v>3236</v>
      </c>
      <c r="E621" s="282"/>
      <c r="F621" s="290">
        <v>100000000</v>
      </c>
    </row>
    <row r="622" spans="1:6" x14ac:dyDescent="0.25">
      <c r="A622" s="230">
        <v>45470</v>
      </c>
      <c r="B622" s="11" t="s">
        <v>3235</v>
      </c>
      <c r="C622" s="112" t="s">
        <v>2568</v>
      </c>
      <c r="D622" s="16" t="s">
        <v>3237</v>
      </c>
      <c r="E622" s="282"/>
      <c r="F622" s="290">
        <v>2900</v>
      </c>
    </row>
    <row r="623" spans="1:6" x14ac:dyDescent="0.25">
      <c r="A623" s="230">
        <v>45471</v>
      </c>
      <c r="B623" s="11" t="s">
        <v>3238</v>
      </c>
      <c r="C623" s="112" t="s">
        <v>2568</v>
      </c>
      <c r="D623" s="17" t="s">
        <v>3239</v>
      </c>
      <c r="E623" s="282">
        <v>3824979799</v>
      </c>
      <c r="F623" s="290"/>
    </row>
    <row r="624" spans="1:6" x14ac:dyDescent="0.25">
      <c r="A624" s="230">
        <v>45471</v>
      </c>
      <c r="B624" s="11" t="s">
        <v>3238</v>
      </c>
      <c r="C624" s="112" t="s">
        <v>2568</v>
      </c>
      <c r="D624" s="17" t="s">
        <v>3240</v>
      </c>
      <c r="E624" s="282">
        <v>-91317085</v>
      </c>
      <c r="F624" s="290"/>
    </row>
    <row r="625" spans="1:6" x14ac:dyDescent="0.25">
      <c r="A625" s="230">
        <v>45477</v>
      </c>
      <c r="B625" s="11" t="s">
        <v>3241</v>
      </c>
      <c r="C625" s="112" t="s">
        <v>2568</v>
      </c>
      <c r="D625" s="12" t="s">
        <v>3242</v>
      </c>
      <c r="E625" s="282"/>
      <c r="F625" s="290">
        <v>8316000</v>
      </c>
    </row>
    <row r="626" spans="1:6" x14ac:dyDescent="0.25">
      <c r="A626" s="230">
        <v>45477</v>
      </c>
      <c r="B626" s="11" t="s">
        <v>3241</v>
      </c>
      <c r="C626" s="112" t="s">
        <v>2568</v>
      </c>
      <c r="D626" s="12" t="s">
        <v>3243</v>
      </c>
      <c r="E626" s="282"/>
      <c r="F626" s="290">
        <v>914760</v>
      </c>
    </row>
    <row r="627" spans="1:6" x14ac:dyDescent="0.25">
      <c r="A627" s="230">
        <v>45477</v>
      </c>
      <c r="B627" s="11" t="s">
        <v>3241</v>
      </c>
      <c r="C627" s="112" t="s">
        <v>2568</v>
      </c>
      <c r="D627" s="12" t="s">
        <v>3233</v>
      </c>
      <c r="E627" s="282"/>
      <c r="F627" s="290">
        <v>2900</v>
      </c>
    </row>
    <row r="628" spans="1:6" x14ac:dyDescent="0.25">
      <c r="A628" s="230">
        <v>45477</v>
      </c>
      <c r="B628" s="11" t="s">
        <v>3244</v>
      </c>
      <c r="C628" s="112" t="s">
        <v>2568</v>
      </c>
      <c r="D628" s="12" t="s">
        <v>3245</v>
      </c>
      <c r="E628" s="282"/>
      <c r="F628" s="290">
        <v>3400000</v>
      </c>
    </row>
    <row r="629" spans="1:6" x14ac:dyDescent="0.25">
      <c r="A629" s="230">
        <v>45477</v>
      </c>
      <c r="B629" s="11" t="s">
        <v>3244</v>
      </c>
      <c r="C629" s="112" t="s">
        <v>2568</v>
      </c>
      <c r="D629" s="12" t="s">
        <v>3246</v>
      </c>
      <c r="E629" s="282"/>
      <c r="F629" s="290">
        <v>374000</v>
      </c>
    </row>
    <row r="630" spans="1:6" x14ac:dyDescent="0.25">
      <c r="A630" s="230">
        <v>45477</v>
      </c>
      <c r="B630" s="11" t="s">
        <v>3247</v>
      </c>
      <c r="C630" s="112" t="s">
        <v>2568</v>
      </c>
      <c r="D630" s="12" t="s">
        <v>3248</v>
      </c>
      <c r="E630" s="282"/>
      <c r="F630" s="290">
        <v>15620000</v>
      </c>
    </row>
    <row r="631" spans="1:6" x14ac:dyDescent="0.25">
      <c r="A631" s="230">
        <v>45500</v>
      </c>
      <c r="B631" s="11" t="s">
        <v>3249</v>
      </c>
      <c r="C631" s="112" t="s">
        <v>2568</v>
      </c>
      <c r="D631" s="17" t="s">
        <v>3250</v>
      </c>
      <c r="E631" s="282"/>
      <c r="F631" s="290">
        <v>63980000</v>
      </c>
    </row>
    <row r="632" spans="1:6" x14ac:dyDescent="0.25">
      <c r="A632" s="230">
        <v>45511</v>
      </c>
      <c r="B632" s="11" t="s">
        <v>3251</v>
      </c>
      <c r="C632" s="112" t="s">
        <v>2568</v>
      </c>
      <c r="D632" s="12" t="s">
        <v>3252</v>
      </c>
      <c r="E632" s="282"/>
      <c r="F632" s="290">
        <v>9000000</v>
      </c>
    </row>
    <row r="633" spans="1:6" x14ac:dyDescent="0.25">
      <c r="A633" s="230">
        <v>45511</v>
      </c>
      <c r="B633" s="11" t="s">
        <v>3251</v>
      </c>
      <c r="C633" s="112" t="s">
        <v>2568</v>
      </c>
      <c r="D633" s="12" t="s">
        <v>3253</v>
      </c>
      <c r="E633" s="282"/>
      <c r="F633" s="290">
        <v>2900</v>
      </c>
    </row>
    <row r="634" spans="1:6" x14ac:dyDescent="0.25">
      <c r="A634" s="230">
        <v>45537</v>
      </c>
      <c r="B634" s="11" t="s">
        <v>568</v>
      </c>
      <c r="C634" s="113" t="s">
        <v>2568</v>
      </c>
      <c r="D634" s="12" t="s">
        <v>3254</v>
      </c>
      <c r="E634" s="282"/>
      <c r="F634" s="290">
        <v>150000</v>
      </c>
    </row>
    <row r="635" spans="1:6" x14ac:dyDescent="0.25">
      <c r="A635" s="230">
        <v>45537</v>
      </c>
      <c r="B635" s="11" t="s">
        <v>568</v>
      </c>
      <c r="C635" s="113" t="s">
        <v>2568</v>
      </c>
      <c r="D635" s="12" t="s">
        <v>50</v>
      </c>
      <c r="E635" s="282"/>
      <c r="F635" s="290">
        <v>2500</v>
      </c>
    </row>
    <row r="636" spans="1:6" x14ac:dyDescent="0.25">
      <c r="A636" s="230">
        <v>45537</v>
      </c>
      <c r="B636" s="11" t="s">
        <v>568</v>
      </c>
      <c r="C636" s="113" t="s">
        <v>2568</v>
      </c>
      <c r="D636" s="12" t="s">
        <v>3255</v>
      </c>
      <c r="E636" s="282"/>
      <c r="F636" s="290">
        <v>160000</v>
      </c>
    </row>
    <row r="637" spans="1:6" x14ac:dyDescent="0.25">
      <c r="A637" s="230">
        <v>45537</v>
      </c>
      <c r="B637" s="11" t="s">
        <v>568</v>
      </c>
      <c r="C637" s="113" t="s">
        <v>2568</v>
      </c>
      <c r="D637" s="12" t="s">
        <v>50</v>
      </c>
      <c r="E637" s="282"/>
      <c r="F637" s="290">
        <v>2500</v>
      </c>
    </row>
    <row r="638" spans="1:6" x14ac:dyDescent="0.25">
      <c r="A638" s="230">
        <v>45554</v>
      </c>
      <c r="B638" s="11" t="s">
        <v>3256</v>
      </c>
      <c r="C638" s="113" t="s">
        <v>2568</v>
      </c>
      <c r="D638" s="12" t="s">
        <v>3257</v>
      </c>
      <c r="E638" s="282"/>
      <c r="F638" s="290">
        <v>6122449</v>
      </c>
    </row>
    <row r="639" spans="1:6" x14ac:dyDescent="0.25">
      <c r="A639" s="230">
        <v>45554</v>
      </c>
      <c r="B639" s="11" t="s">
        <v>3256</v>
      </c>
      <c r="C639" s="113" t="s">
        <v>2568</v>
      </c>
      <c r="D639" s="12" t="s">
        <v>3258</v>
      </c>
      <c r="E639" s="282"/>
      <c r="F639" s="290">
        <v>-122449</v>
      </c>
    </row>
    <row r="640" spans="1:6" x14ac:dyDescent="0.25">
      <c r="A640" s="230">
        <v>45554</v>
      </c>
      <c r="B640" s="11" t="s">
        <v>3256</v>
      </c>
      <c r="C640" s="113" t="s">
        <v>2568</v>
      </c>
      <c r="D640" s="12" t="s">
        <v>50</v>
      </c>
      <c r="E640" s="282"/>
      <c r="F640" s="290">
        <v>2500</v>
      </c>
    </row>
    <row r="641" spans="1:6" x14ac:dyDescent="0.25">
      <c r="A641" s="230">
        <v>45560</v>
      </c>
      <c r="B641" s="11" t="s">
        <v>3259</v>
      </c>
      <c r="C641" s="113" t="s">
        <v>2568</v>
      </c>
      <c r="D641" s="12" t="s">
        <v>3260</v>
      </c>
      <c r="E641" s="282"/>
      <c r="F641" s="290">
        <v>82250000</v>
      </c>
    </row>
    <row r="642" spans="1:6" x14ac:dyDescent="0.25">
      <c r="A642" s="230">
        <v>45560</v>
      </c>
      <c r="B642" s="11" t="s">
        <v>3259</v>
      </c>
      <c r="C642" s="113" t="s">
        <v>2568</v>
      </c>
      <c r="D642" s="12" t="s">
        <v>3261</v>
      </c>
      <c r="E642" s="282"/>
      <c r="F642" s="290">
        <v>9047500</v>
      </c>
    </row>
    <row r="643" spans="1:6" x14ac:dyDescent="0.25">
      <c r="A643" s="230">
        <v>45560</v>
      </c>
      <c r="B643" s="11" t="s">
        <v>3259</v>
      </c>
      <c r="C643" s="113" t="s">
        <v>2568</v>
      </c>
      <c r="D643" s="12" t="s">
        <v>3262</v>
      </c>
      <c r="E643" s="282"/>
      <c r="F643" s="290">
        <v>2900</v>
      </c>
    </row>
    <row r="644" spans="1:6" x14ac:dyDescent="0.25">
      <c r="A644" s="271">
        <v>45565</v>
      </c>
      <c r="B644" s="15" t="s">
        <v>3263</v>
      </c>
      <c r="C644" s="113" t="s">
        <v>2568</v>
      </c>
      <c r="D644" s="12" t="s">
        <v>3264</v>
      </c>
      <c r="E644" s="291">
        <v>21024500</v>
      </c>
      <c r="F644" s="285"/>
    </row>
    <row r="645" spans="1:6" x14ac:dyDescent="0.25">
      <c r="A645" s="230">
        <v>45565</v>
      </c>
      <c r="B645" s="11" t="s">
        <v>3263</v>
      </c>
      <c r="C645" s="112" t="s">
        <v>2568</v>
      </c>
      <c r="D645" s="17" t="s">
        <v>3265</v>
      </c>
      <c r="E645" s="282"/>
      <c r="F645" s="285">
        <v>13170000</v>
      </c>
    </row>
    <row r="646" spans="1:6" x14ac:dyDescent="0.25">
      <c r="A646" s="230">
        <v>45565</v>
      </c>
      <c r="B646" s="11" t="s">
        <v>3263</v>
      </c>
      <c r="C646" s="112" t="s">
        <v>2568</v>
      </c>
      <c r="D646" s="17" t="s">
        <v>3266</v>
      </c>
      <c r="E646" s="282"/>
      <c r="F646" s="285">
        <v>7854500</v>
      </c>
    </row>
    <row r="647" spans="1:6" x14ac:dyDescent="0.25">
      <c r="A647" s="230">
        <v>45566</v>
      </c>
      <c r="B647" s="11" t="s">
        <v>3267</v>
      </c>
      <c r="C647" s="112" t="s">
        <v>2568</v>
      </c>
      <c r="D647" s="17" t="s">
        <v>3268</v>
      </c>
      <c r="E647" s="282">
        <v>500000000</v>
      </c>
      <c r="F647" s="296"/>
    </row>
    <row r="648" spans="1:6" x14ac:dyDescent="0.25">
      <c r="A648" s="230">
        <v>45567</v>
      </c>
      <c r="B648" s="11" t="s">
        <v>3269</v>
      </c>
      <c r="C648" s="113" t="s">
        <v>2568</v>
      </c>
      <c r="D648" s="29" t="s">
        <v>3270</v>
      </c>
      <c r="E648" s="282"/>
      <c r="F648" s="285">
        <v>3333333</v>
      </c>
    </row>
    <row r="649" spans="1:6" x14ac:dyDescent="0.25">
      <c r="A649" s="230">
        <v>45567</v>
      </c>
      <c r="B649" s="11" t="s">
        <v>3269</v>
      </c>
      <c r="C649" s="113" t="s">
        <v>2568</v>
      </c>
      <c r="D649" s="29" t="s">
        <v>3271</v>
      </c>
      <c r="E649" s="282"/>
      <c r="F649" s="290">
        <v>-333333</v>
      </c>
    </row>
    <row r="650" spans="1:6" x14ac:dyDescent="0.25">
      <c r="A650" s="230">
        <v>45567</v>
      </c>
      <c r="B650" s="11" t="s">
        <v>3269</v>
      </c>
      <c r="C650" s="113" t="s">
        <v>2568</v>
      </c>
      <c r="D650" s="29" t="s">
        <v>105</v>
      </c>
      <c r="E650" s="282"/>
      <c r="F650" s="285">
        <v>2500</v>
      </c>
    </row>
    <row r="651" spans="1:6" x14ac:dyDescent="0.25">
      <c r="A651" s="230">
        <v>45567</v>
      </c>
      <c r="B651" s="11" t="s">
        <v>3269</v>
      </c>
      <c r="C651" s="113" t="s">
        <v>2568</v>
      </c>
      <c r="D651" s="29" t="s">
        <v>3272</v>
      </c>
      <c r="E651" s="282"/>
      <c r="F651" s="285">
        <v>945000</v>
      </c>
    </row>
    <row r="652" spans="1:6" x14ac:dyDescent="0.25">
      <c r="A652" s="230">
        <v>45567</v>
      </c>
      <c r="B652" s="11" t="s">
        <v>3269</v>
      </c>
      <c r="C652" s="113" t="s">
        <v>2568</v>
      </c>
      <c r="D652" s="29" t="s">
        <v>105</v>
      </c>
      <c r="E652" s="282"/>
      <c r="F652" s="285">
        <v>2500</v>
      </c>
    </row>
    <row r="653" spans="1:6" x14ac:dyDescent="0.25">
      <c r="A653" s="230">
        <v>45574</v>
      </c>
      <c r="B653" s="11" t="s">
        <v>3273</v>
      </c>
      <c r="C653" s="113" t="s">
        <v>2568</v>
      </c>
      <c r="D653" s="12" t="s">
        <v>3274</v>
      </c>
      <c r="E653" s="282"/>
      <c r="F653" s="290">
        <v>510000</v>
      </c>
    </row>
    <row r="654" spans="1:6" x14ac:dyDescent="0.25">
      <c r="A654" s="230">
        <v>45574</v>
      </c>
      <c r="B654" s="11" t="s">
        <v>3273</v>
      </c>
      <c r="C654" s="113" t="s">
        <v>2568</v>
      </c>
      <c r="D654" s="12" t="s">
        <v>3275</v>
      </c>
      <c r="E654" s="282"/>
      <c r="F654" s="290">
        <v>56100</v>
      </c>
    </row>
    <row r="655" spans="1:6" x14ac:dyDescent="0.25">
      <c r="A655" s="230">
        <v>45574</v>
      </c>
      <c r="B655" s="11" t="s">
        <v>3273</v>
      </c>
      <c r="C655" s="113" t="s">
        <v>2568</v>
      </c>
      <c r="D655" s="12" t="s">
        <v>105</v>
      </c>
      <c r="E655" s="282"/>
      <c r="F655" s="290">
        <v>2900</v>
      </c>
    </row>
    <row r="656" spans="1:6" x14ac:dyDescent="0.25">
      <c r="A656" s="230">
        <v>45575</v>
      </c>
      <c r="B656" s="11" t="s">
        <v>3276</v>
      </c>
      <c r="C656" s="112" t="s">
        <v>2568</v>
      </c>
      <c r="D656" s="17" t="s">
        <v>3277</v>
      </c>
      <c r="E656" s="282">
        <v>583500000</v>
      </c>
      <c r="F656" s="290"/>
    </row>
    <row r="657" spans="1:6" x14ac:dyDescent="0.25">
      <c r="A657" s="230">
        <v>45576</v>
      </c>
      <c r="B657" s="11" t="s">
        <v>3278</v>
      </c>
      <c r="C657" s="113" t="s">
        <v>2568</v>
      </c>
      <c r="D657" s="12" t="s">
        <v>3279</v>
      </c>
      <c r="E657" s="282"/>
      <c r="F657" s="285">
        <v>1393000</v>
      </c>
    </row>
    <row r="658" spans="1:6" x14ac:dyDescent="0.25">
      <c r="A658" s="230">
        <v>45576</v>
      </c>
      <c r="B658" s="11" t="s">
        <v>3278</v>
      </c>
      <c r="C658" s="113" t="s">
        <v>2568</v>
      </c>
      <c r="D658" s="12" t="s">
        <v>3280</v>
      </c>
      <c r="E658" s="282"/>
      <c r="F658" s="285">
        <v>9005000</v>
      </c>
    </row>
    <row r="659" spans="1:6" x14ac:dyDescent="0.25">
      <c r="A659" s="230">
        <v>45576</v>
      </c>
      <c r="B659" s="11" t="s">
        <v>3278</v>
      </c>
      <c r="C659" s="113" t="s">
        <v>2568</v>
      </c>
      <c r="D659" s="12" t="s">
        <v>105</v>
      </c>
      <c r="E659" s="282"/>
      <c r="F659" s="285">
        <v>2500</v>
      </c>
    </row>
    <row r="660" spans="1:6" x14ac:dyDescent="0.25">
      <c r="A660" s="230">
        <v>45576</v>
      </c>
      <c r="B660" s="11" t="s">
        <v>3278</v>
      </c>
      <c r="C660" s="113" t="s">
        <v>2568</v>
      </c>
      <c r="D660" s="12" t="s">
        <v>3281</v>
      </c>
      <c r="E660" s="282"/>
      <c r="F660" s="285">
        <v>1260000</v>
      </c>
    </row>
    <row r="661" spans="1:6" x14ac:dyDescent="0.25">
      <c r="A661" s="230">
        <v>45576</v>
      </c>
      <c r="B661" s="11" t="s">
        <v>3278</v>
      </c>
      <c r="C661" s="113" t="s">
        <v>2568</v>
      </c>
      <c r="D661" s="12" t="s">
        <v>105</v>
      </c>
      <c r="E661" s="282"/>
      <c r="F661" s="285">
        <v>2500</v>
      </c>
    </row>
    <row r="662" spans="1:6" x14ac:dyDescent="0.25">
      <c r="A662" s="230">
        <v>45576</v>
      </c>
      <c r="B662" s="11" t="s">
        <v>3278</v>
      </c>
      <c r="C662" s="113" t="s">
        <v>2568</v>
      </c>
      <c r="D662" s="12" t="s">
        <v>3282</v>
      </c>
      <c r="E662" s="282"/>
      <c r="F662" s="285">
        <v>1335576</v>
      </c>
    </row>
    <row r="663" spans="1:6" x14ac:dyDescent="0.25">
      <c r="A663" s="230">
        <v>45576</v>
      </c>
      <c r="B663" s="11" t="s">
        <v>3278</v>
      </c>
      <c r="C663" s="113" t="s">
        <v>2568</v>
      </c>
      <c r="D663" s="12" t="s">
        <v>3283</v>
      </c>
      <c r="E663" s="282"/>
      <c r="F663" s="285">
        <v>612244</v>
      </c>
    </row>
    <row r="664" spans="1:6" x14ac:dyDescent="0.25">
      <c r="A664" s="230">
        <v>45576</v>
      </c>
      <c r="B664" s="11" t="s">
        <v>3278</v>
      </c>
      <c r="C664" s="113" t="s">
        <v>2568</v>
      </c>
      <c r="D664" s="12" t="s">
        <v>3284</v>
      </c>
      <c r="E664" s="282"/>
      <c r="F664" s="285">
        <v>-12244</v>
      </c>
    </row>
    <row r="665" spans="1:6" x14ac:dyDescent="0.25">
      <c r="A665" s="230">
        <v>45576</v>
      </c>
      <c r="B665" s="11" t="s">
        <v>3278</v>
      </c>
      <c r="C665" s="113" t="s">
        <v>2568</v>
      </c>
      <c r="D665" s="12" t="s">
        <v>105</v>
      </c>
      <c r="E665" s="282"/>
      <c r="F665" s="285">
        <v>2500</v>
      </c>
    </row>
    <row r="666" spans="1:6" x14ac:dyDescent="0.25">
      <c r="A666" s="230">
        <v>45576</v>
      </c>
      <c r="B666" s="11" t="s">
        <v>3278</v>
      </c>
      <c r="C666" s="113" t="s">
        <v>2568</v>
      </c>
      <c r="D666" s="12" t="s">
        <v>3285</v>
      </c>
      <c r="E666" s="282"/>
      <c r="F666" s="285">
        <v>6734694</v>
      </c>
    </row>
    <row r="667" spans="1:6" x14ac:dyDescent="0.25">
      <c r="A667" s="230">
        <v>45576</v>
      </c>
      <c r="B667" s="11" t="s">
        <v>3278</v>
      </c>
      <c r="C667" s="113" t="s">
        <v>2568</v>
      </c>
      <c r="D667" s="12" t="s">
        <v>3286</v>
      </c>
      <c r="E667" s="282"/>
      <c r="F667" s="285">
        <v>-134694</v>
      </c>
    </row>
    <row r="668" spans="1:6" x14ac:dyDescent="0.25">
      <c r="A668" s="230">
        <v>45576</v>
      </c>
      <c r="B668" s="11" t="s">
        <v>3278</v>
      </c>
      <c r="C668" s="113" t="s">
        <v>2568</v>
      </c>
      <c r="D668" s="12" t="s">
        <v>105</v>
      </c>
      <c r="E668" s="282"/>
      <c r="F668" s="285">
        <v>2500</v>
      </c>
    </row>
    <row r="669" spans="1:6" x14ac:dyDescent="0.25">
      <c r="A669" s="230">
        <v>45581</v>
      </c>
      <c r="B669" s="11" t="s">
        <v>3287</v>
      </c>
      <c r="C669" s="113" t="s">
        <v>2568</v>
      </c>
      <c r="D669" s="12" t="s">
        <v>3288</v>
      </c>
      <c r="E669" s="282"/>
      <c r="F669" s="285">
        <v>9135000</v>
      </c>
    </row>
    <row r="670" spans="1:6" x14ac:dyDescent="0.25">
      <c r="A670" s="230">
        <v>45581</v>
      </c>
      <c r="B670" s="11" t="s">
        <v>3287</v>
      </c>
      <c r="C670" s="113" t="s">
        <v>2568</v>
      </c>
      <c r="D670" s="12" t="s">
        <v>3289</v>
      </c>
      <c r="E670" s="282"/>
      <c r="F670" s="285">
        <v>1004850</v>
      </c>
    </row>
    <row r="671" spans="1:6" x14ac:dyDescent="0.25">
      <c r="A671" s="230">
        <v>45581</v>
      </c>
      <c r="B671" s="11" t="s">
        <v>3287</v>
      </c>
      <c r="C671" s="113" t="s">
        <v>2568</v>
      </c>
      <c r="D671" s="12" t="s">
        <v>105</v>
      </c>
      <c r="E671" s="282"/>
      <c r="F671" s="285">
        <v>2900</v>
      </c>
    </row>
    <row r="672" spans="1:6" x14ac:dyDescent="0.25">
      <c r="A672" s="230">
        <v>45581</v>
      </c>
      <c r="B672" s="11" t="s">
        <v>3290</v>
      </c>
      <c r="C672" s="113" t="s">
        <v>2568</v>
      </c>
      <c r="D672" s="12" t="s">
        <v>3291</v>
      </c>
      <c r="E672" s="282"/>
      <c r="F672" s="285">
        <v>9792000</v>
      </c>
    </row>
    <row r="673" spans="1:6" x14ac:dyDescent="0.25">
      <c r="A673" s="230">
        <v>45581</v>
      </c>
      <c r="B673" s="11" t="s">
        <v>3290</v>
      </c>
      <c r="C673" s="113" t="s">
        <v>2568</v>
      </c>
      <c r="D673" s="12" t="s">
        <v>3292</v>
      </c>
      <c r="E673" s="282"/>
      <c r="F673" s="285">
        <v>-195840</v>
      </c>
    </row>
    <row r="674" spans="1:6" x14ac:dyDescent="0.25">
      <c r="A674" s="230">
        <v>45581</v>
      </c>
      <c r="B674" s="11" t="s">
        <v>3290</v>
      </c>
      <c r="C674" s="113" t="s">
        <v>2568</v>
      </c>
      <c r="D674" s="12" t="s">
        <v>3293</v>
      </c>
      <c r="E674" s="282"/>
      <c r="F674" s="285">
        <v>2900</v>
      </c>
    </row>
    <row r="675" spans="1:6" x14ac:dyDescent="0.25">
      <c r="A675" s="230">
        <v>45583</v>
      </c>
      <c r="B675" s="11" t="s">
        <v>3294</v>
      </c>
      <c r="C675" s="113" t="s">
        <v>2568</v>
      </c>
      <c r="D675" s="12" t="s">
        <v>3295</v>
      </c>
      <c r="E675" s="282"/>
      <c r="F675" s="285">
        <v>462000</v>
      </c>
    </row>
    <row r="676" spans="1:6" x14ac:dyDescent="0.25">
      <c r="A676" s="230">
        <v>45588</v>
      </c>
      <c r="B676" s="11" t="s">
        <v>3296</v>
      </c>
      <c r="C676" s="113" t="s">
        <v>2568</v>
      </c>
      <c r="D676" s="12" t="s">
        <v>3297</v>
      </c>
      <c r="E676" s="282"/>
      <c r="F676" s="285">
        <v>71150440</v>
      </c>
    </row>
    <row r="677" spans="1:6" x14ac:dyDescent="0.25">
      <c r="A677" s="230">
        <v>45595</v>
      </c>
      <c r="B677" s="11" t="s">
        <v>3298</v>
      </c>
      <c r="C677" s="112" t="s">
        <v>2568</v>
      </c>
      <c r="D677" s="17" t="s">
        <v>3299</v>
      </c>
      <c r="E677" s="282"/>
      <c r="F677" s="290">
        <v>50000000</v>
      </c>
    </row>
    <row r="678" spans="1:6" x14ac:dyDescent="0.25">
      <c r="A678" s="230">
        <v>45595</v>
      </c>
      <c r="B678" s="11" t="s">
        <v>3298</v>
      </c>
      <c r="C678" s="112" t="s">
        <v>2568</v>
      </c>
      <c r="D678" s="17" t="s">
        <v>105</v>
      </c>
      <c r="E678" s="282"/>
      <c r="F678" s="290">
        <v>2900</v>
      </c>
    </row>
    <row r="679" spans="1:6" x14ac:dyDescent="0.25">
      <c r="A679" s="230">
        <v>45597</v>
      </c>
      <c r="B679" s="11" t="s">
        <v>3300</v>
      </c>
      <c r="C679" s="113" t="s">
        <v>2568</v>
      </c>
      <c r="D679" s="12" t="s">
        <v>3301</v>
      </c>
      <c r="E679" s="282"/>
      <c r="F679" s="285">
        <v>1575000</v>
      </c>
    </row>
    <row r="680" spans="1:6" x14ac:dyDescent="0.25">
      <c r="A680" s="230">
        <v>45597</v>
      </c>
      <c r="B680" s="11" t="s">
        <v>3300</v>
      </c>
      <c r="C680" s="113" t="s">
        <v>2568</v>
      </c>
      <c r="D680" s="12" t="s">
        <v>50</v>
      </c>
      <c r="E680" s="282"/>
      <c r="F680" s="285">
        <v>2500</v>
      </c>
    </row>
    <row r="681" spans="1:6" x14ac:dyDescent="0.25">
      <c r="A681" s="230">
        <v>45597</v>
      </c>
      <c r="B681" s="11" t="s">
        <v>3300</v>
      </c>
      <c r="C681" s="113" t="s">
        <v>2568</v>
      </c>
      <c r="D681" s="12" t="s">
        <v>3302</v>
      </c>
      <c r="E681" s="282"/>
      <c r="F681" s="285">
        <v>307000</v>
      </c>
    </row>
    <row r="682" spans="1:6" x14ac:dyDescent="0.25">
      <c r="A682" s="230">
        <v>45597</v>
      </c>
      <c r="B682" s="11" t="s">
        <v>3300</v>
      </c>
      <c r="C682" s="113" t="s">
        <v>2568</v>
      </c>
      <c r="D682" s="12" t="s">
        <v>50</v>
      </c>
      <c r="E682" s="282"/>
      <c r="F682" s="285">
        <v>2500</v>
      </c>
    </row>
    <row r="683" spans="1:6" x14ac:dyDescent="0.25">
      <c r="A683" s="230">
        <v>45597</v>
      </c>
      <c r="B683" s="11" t="s">
        <v>3300</v>
      </c>
      <c r="C683" s="113" t="s">
        <v>2568</v>
      </c>
      <c r="D683" s="12" t="s">
        <v>3303</v>
      </c>
      <c r="E683" s="282"/>
      <c r="F683" s="285">
        <v>540000</v>
      </c>
    </row>
    <row r="684" spans="1:6" x14ac:dyDescent="0.25">
      <c r="A684" s="230">
        <v>45597</v>
      </c>
      <c r="B684" s="11" t="s">
        <v>3300</v>
      </c>
      <c r="C684" s="113" t="s">
        <v>2568</v>
      </c>
      <c r="D684" s="12" t="s">
        <v>50</v>
      </c>
      <c r="E684" s="282"/>
      <c r="F684" s="285">
        <v>2500</v>
      </c>
    </row>
    <row r="685" spans="1:6" x14ac:dyDescent="0.25">
      <c r="A685" s="230">
        <v>45597</v>
      </c>
      <c r="B685" s="11" t="s">
        <v>3300</v>
      </c>
      <c r="C685" s="113" t="s">
        <v>2568</v>
      </c>
      <c r="D685" s="12" t="s">
        <v>3304</v>
      </c>
      <c r="E685" s="282"/>
      <c r="F685" s="285">
        <v>503000</v>
      </c>
    </row>
    <row r="686" spans="1:6" x14ac:dyDescent="0.25">
      <c r="A686" s="230">
        <v>45597</v>
      </c>
      <c r="B686" s="11" t="s">
        <v>3305</v>
      </c>
      <c r="C686" s="113" t="s">
        <v>2568</v>
      </c>
      <c r="D686" s="12" t="s">
        <v>3306</v>
      </c>
      <c r="E686" s="282"/>
      <c r="F686" s="290">
        <v>30000000</v>
      </c>
    </row>
    <row r="687" spans="1:6" x14ac:dyDescent="0.25">
      <c r="A687" s="230">
        <v>45597</v>
      </c>
      <c r="B687" s="11" t="s">
        <v>3305</v>
      </c>
      <c r="C687" s="113" t="s">
        <v>2568</v>
      </c>
      <c r="D687" s="12" t="s">
        <v>3307</v>
      </c>
      <c r="E687" s="282"/>
      <c r="F687" s="290">
        <v>20000000</v>
      </c>
    </row>
    <row r="688" spans="1:6" x14ac:dyDescent="0.25">
      <c r="A688" s="230">
        <v>45597</v>
      </c>
      <c r="B688" s="11" t="s">
        <v>3305</v>
      </c>
      <c r="C688" s="113" t="s">
        <v>2568</v>
      </c>
      <c r="D688" s="12" t="s">
        <v>3308</v>
      </c>
      <c r="E688" s="282"/>
      <c r="F688" s="290">
        <v>2900</v>
      </c>
    </row>
    <row r="689" spans="1:6" x14ac:dyDescent="0.25">
      <c r="A689" s="230">
        <v>45603</v>
      </c>
      <c r="B689" s="11" t="s">
        <v>3309</v>
      </c>
      <c r="C689" s="113" t="s">
        <v>2568</v>
      </c>
      <c r="D689" s="12" t="s">
        <v>3310</v>
      </c>
      <c r="E689" s="282"/>
      <c r="F689" s="285">
        <v>1675000</v>
      </c>
    </row>
    <row r="690" spans="1:6" x14ac:dyDescent="0.25">
      <c r="A690" s="230">
        <v>45603</v>
      </c>
      <c r="B690" s="11" t="s">
        <v>3309</v>
      </c>
      <c r="C690" s="113" t="s">
        <v>2568</v>
      </c>
      <c r="D690" s="12" t="s">
        <v>3311</v>
      </c>
      <c r="E690" s="282"/>
      <c r="F690" s="285">
        <v>184250</v>
      </c>
    </row>
    <row r="691" spans="1:6" x14ac:dyDescent="0.25">
      <c r="A691" s="230">
        <v>45603</v>
      </c>
      <c r="B691" s="11" t="s">
        <v>3312</v>
      </c>
      <c r="C691" s="113" t="s">
        <v>2568</v>
      </c>
      <c r="D691" s="12" t="s">
        <v>3313</v>
      </c>
      <c r="E691" s="282"/>
      <c r="F691" s="285">
        <v>58550000</v>
      </c>
    </row>
    <row r="692" spans="1:6" x14ac:dyDescent="0.25">
      <c r="A692" s="230">
        <v>45603</v>
      </c>
      <c r="B692" s="11" t="s">
        <v>3312</v>
      </c>
      <c r="C692" s="113" t="s">
        <v>2568</v>
      </c>
      <c r="D692" s="12" t="s">
        <v>3060</v>
      </c>
      <c r="E692" s="282"/>
      <c r="F692" s="285">
        <v>2900</v>
      </c>
    </row>
    <row r="693" spans="1:6" x14ac:dyDescent="0.25">
      <c r="A693" s="230">
        <v>45604</v>
      </c>
      <c r="B693" s="11" t="s">
        <v>136</v>
      </c>
      <c r="C693" s="275" t="s">
        <v>2568</v>
      </c>
      <c r="D693" s="24" t="s">
        <v>3314</v>
      </c>
      <c r="E693" s="297"/>
      <c r="F693" s="285">
        <v>612245</v>
      </c>
    </row>
    <row r="694" spans="1:6" x14ac:dyDescent="0.25">
      <c r="A694" s="230">
        <v>45604</v>
      </c>
      <c r="B694" s="11" t="s">
        <v>136</v>
      </c>
      <c r="C694" s="275" t="s">
        <v>2568</v>
      </c>
      <c r="D694" s="24" t="s">
        <v>3315</v>
      </c>
      <c r="E694" s="291"/>
      <c r="F694" s="285">
        <v>-12245</v>
      </c>
    </row>
    <row r="695" spans="1:6" x14ac:dyDescent="0.25">
      <c r="A695" s="230">
        <v>45604</v>
      </c>
      <c r="B695" s="11" t="s">
        <v>136</v>
      </c>
      <c r="C695" s="275" t="s">
        <v>2568</v>
      </c>
      <c r="D695" s="24" t="s">
        <v>50</v>
      </c>
      <c r="E695" s="291"/>
      <c r="F695" s="285">
        <v>2500</v>
      </c>
    </row>
    <row r="696" spans="1:6" x14ac:dyDescent="0.25">
      <c r="A696" s="230">
        <v>45604</v>
      </c>
      <c r="B696" s="11" t="s">
        <v>136</v>
      </c>
      <c r="C696" s="275" t="s">
        <v>2568</v>
      </c>
      <c r="D696" s="24" t="s">
        <v>3316</v>
      </c>
      <c r="E696" s="291"/>
      <c r="F696" s="285">
        <v>2222222</v>
      </c>
    </row>
    <row r="697" spans="1:6" x14ac:dyDescent="0.25">
      <c r="A697" s="230">
        <v>45604</v>
      </c>
      <c r="B697" s="11" t="s">
        <v>136</v>
      </c>
      <c r="C697" s="275" t="s">
        <v>2568</v>
      </c>
      <c r="D697" s="24" t="s">
        <v>3317</v>
      </c>
      <c r="E697" s="291"/>
      <c r="F697" s="285">
        <v>-222222</v>
      </c>
    </row>
    <row r="698" spans="1:6" x14ac:dyDescent="0.25">
      <c r="A698" s="230">
        <v>45604</v>
      </c>
      <c r="B698" s="11" t="s">
        <v>136</v>
      </c>
      <c r="C698" s="275" t="s">
        <v>2568</v>
      </c>
      <c r="D698" s="24" t="s">
        <v>50</v>
      </c>
      <c r="E698" s="291"/>
      <c r="F698" s="285">
        <v>2500</v>
      </c>
    </row>
    <row r="699" spans="1:6" x14ac:dyDescent="0.25">
      <c r="A699" s="230">
        <v>45604</v>
      </c>
      <c r="B699" s="11" t="s">
        <v>136</v>
      </c>
      <c r="C699" s="275" t="s">
        <v>2568</v>
      </c>
      <c r="D699" s="24" t="s">
        <v>3318</v>
      </c>
      <c r="E699" s="291"/>
      <c r="F699" s="285">
        <v>6734694</v>
      </c>
    </row>
    <row r="700" spans="1:6" x14ac:dyDescent="0.25">
      <c r="A700" s="230">
        <v>45604</v>
      </c>
      <c r="B700" s="11" t="s">
        <v>136</v>
      </c>
      <c r="C700" s="275" t="s">
        <v>2568</v>
      </c>
      <c r="D700" s="24" t="s">
        <v>3319</v>
      </c>
      <c r="E700" s="291"/>
      <c r="F700" s="285">
        <v>-134694</v>
      </c>
    </row>
    <row r="701" spans="1:6" x14ac:dyDescent="0.25">
      <c r="A701" s="230">
        <v>45604</v>
      </c>
      <c r="B701" s="11" t="s">
        <v>136</v>
      </c>
      <c r="C701" s="275" t="s">
        <v>2568</v>
      </c>
      <c r="D701" s="24" t="s">
        <v>50</v>
      </c>
      <c r="E701" s="291"/>
      <c r="F701" s="285">
        <v>2500</v>
      </c>
    </row>
    <row r="702" spans="1:6" x14ac:dyDescent="0.25">
      <c r="A702" s="230">
        <v>45607</v>
      </c>
      <c r="B702" s="11" t="s">
        <v>3320</v>
      </c>
      <c r="C702" s="113" t="s">
        <v>2568</v>
      </c>
      <c r="D702" s="12" t="s">
        <v>3321</v>
      </c>
      <c r="E702" s="291"/>
      <c r="F702" s="285">
        <v>1094700</v>
      </c>
    </row>
    <row r="703" spans="1:6" x14ac:dyDescent="0.25">
      <c r="A703" s="230">
        <v>45609</v>
      </c>
      <c r="B703" s="11" t="s">
        <v>3322</v>
      </c>
      <c r="C703" s="113" t="s">
        <v>2568</v>
      </c>
      <c r="D703" s="12" t="s">
        <v>3323</v>
      </c>
      <c r="E703" s="297"/>
      <c r="F703" s="285">
        <v>134345000</v>
      </c>
    </row>
    <row r="704" spans="1:6" x14ac:dyDescent="0.25">
      <c r="A704" s="230">
        <v>45609</v>
      </c>
      <c r="B704" s="11" t="s">
        <v>3322</v>
      </c>
      <c r="C704" s="113" t="s">
        <v>2568</v>
      </c>
      <c r="D704" s="12" t="s">
        <v>3324</v>
      </c>
      <c r="E704" s="297"/>
      <c r="F704" s="285">
        <v>14777950</v>
      </c>
    </row>
    <row r="705" spans="1:6" x14ac:dyDescent="0.25">
      <c r="A705" s="230">
        <v>45609</v>
      </c>
      <c r="B705" s="11" t="s">
        <v>3322</v>
      </c>
      <c r="C705" s="113" t="s">
        <v>3325</v>
      </c>
      <c r="D705" s="12" t="s">
        <v>3326</v>
      </c>
      <c r="E705" s="297"/>
      <c r="F705" s="285">
        <v>52138000</v>
      </c>
    </row>
    <row r="706" spans="1:6" x14ac:dyDescent="0.25">
      <c r="A706" s="230">
        <v>45609</v>
      </c>
      <c r="B706" s="11" t="s">
        <v>3322</v>
      </c>
      <c r="C706" s="113" t="s">
        <v>3325</v>
      </c>
      <c r="D706" s="12" t="s">
        <v>3327</v>
      </c>
      <c r="E706" s="297"/>
      <c r="F706" s="285">
        <v>5735180</v>
      </c>
    </row>
    <row r="707" spans="1:6" x14ac:dyDescent="0.25">
      <c r="A707" s="230">
        <v>45609</v>
      </c>
      <c r="B707" s="11" t="s">
        <v>3322</v>
      </c>
      <c r="C707" s="113" t="s">
        <v>3325</v>
      </c>
      <c r="D707" s="12" t="s">
        <v>3328</v>
      </c>
      <c r="E707" s="297"/>
      <c r="F707" s="285">
        <v>2900</v>
      </c>
    </row>
    <row r="708" spans="1:6" x14ac:dyDescent="0.25">
      <c r="A708" s="230">
        <v>45609</v>
      </c>
      <c r="B708" s="11" t="s">
        <v>3329</v>
      </c>
      <c r="C708" s="113" t="s">
        <v>2568</v>
      </c>
      <c r="D708" s="12" t="s">
        <v>3330</v>
      </c>
      <c r="E708" s="297"/>
      <c r="F708" s="285">
        <v>773500</v>
      </c>
    </row>
    <row r="709" spans="1:6" x14ac:dyDescent="0.25">
      <c r="A709" s="230">
        <v>45609</v>
      </c>
      <c r="B709" s="11" t="s">
        <v>3329</v>
      </c>
      <c r="C709" s="113" t="s">
        <v>2568</v>
      </c>
      <c r="D709" s="12" t="s">
        <v>3331</v>
      </c>
      <c r="E709" s="297"/>
      <c r="F709" s="285">
        <v>-15470</v>
      </c>
    </row>
    <row r="710" spans="1:6" x14ac:dyDescent="0.25">
      <c r="A710" s="230">
        <v>45609</v>
      </c>
      <c r="B710" s="11" t="s">
        <v>3329</v>
      </c>
      <c r="C710" s="113" t="s">
        <v>2568</v>
      </c>
      <c r="D710" s="12" t="s">
        <v>3332</v>
      </c>
      <c r="E710" s="297"/>
      <c r="F710" s="285">
        <v>819000</v>
      </c>
    </row>
    <row r="711" spans="1:6" x14ac:dyDescent="0.25">
      <c r="A711" s="230">
        <v>45609</v>
      </c>
      <c r="B711" s="11" t="s">
        <v>3329</v>
      </c>
      <c r="C711" s="113" t="s">
        <v>2568</v>
      </c>
      <c r="D711" s="12" t="s">
        <v>3333</v>
      </c>
      <c r="E711" s="297"/>
      <c r="F711" s="285">
        <v>-16380</v>
      </c>
    </row>
    <row r="712" spans="1:6" x14ac:dyDescent="0.25">
      <c r="A712" s="230">
        <v>45609</v>
      </c>
      <c r="B712" s="11" t="s">
        <v>3334</v>
      </c>
      <c r="C712" s="113" t="s">
        <v>2568</v>
      </c>
      <c r="D712" s="12" t="s">
        <v>3335</v>
      </c>
      <c r="E712" s="297"/>
      <c r="F712" s="285">
        <v>5208160</v>
      </c>
    </row>
    <row r="713" spans="1:6" x14ac:dyDescent="0.25">
      <c r="A713" s="230">
        <v>45609</v>
      </c>
      <c r="B713" s="11" t="s">
        <v>3334</v>
      </c>
      <c r="C713" s="113" t="s">
        <v>2568</v>
      </c>
      <c r="D713" s="12" t="s">
        <v>3336</v>
      </c>
      <c r="E713" s="297"/>
      <c r="F713" s="285">
        <v>572897</v>
      </c>
    </row>
    <row r="714" spans="1:6" x14ac:dyDescent="0.25">
      <c r="A714" s="230">
        <v>45609</v>
      </c>
      <c r="B714" s="11" t="s">
        <v>3334</v>
      </c>
      <c r="C714" s="113" t="s">
        <v>2568</v>
      </c>
      <c r="D714" s="12" t="s">
        <v>3337</v>
      </c>
      <c r="E714" s="297"/>
      <c r="F714" s="285">
        <v>2900</v>
      </c>
    </row>
    <row r="715" spans="1:6" x14ac:dyDescent="0.25">
      <c r="A715" s="230">
        <v>45609</v>
      </c>
      <c r="B715" s="11" t="s">
        <v>3338</v>
      </c>
      <c r="C715" s="113" t="s">
        <v>2568</v>
      </c>
      <c r="D715" s="12" t="s">
        <v>3339</v>
      </c>
      <c r="E715" s="297"/>
      <c r="F715" s="285">
        <v>772800</v>
      </c>
    </row>
    <row r="716" spans="1:6" x14ac:dyDescent="0.25">
      <c r="A716" s="230">
        <v>45609</v>
      </c>
      <c r="B716" s="11" t="s">
        <v>3338</v>
      </c>
      <c r="C716" s="113" t="s">
        <v>2568</v>
      </c>
      <c r="D716" s="12" t="s">
        <v>3340</v>
      </c>
      <c r="E716" s="297"/>
      <c r="F716" s="285">
        <v>85008</v>
      </c>
    </row>
    <row r="717" spans="1:6" x14ac:dyDescent="0.25">
      <c r="A717" s="230">
        <v>45609</v>
      </c>
      <c r="B717" s="11" t="s">
        <v>3338</v>
      </c>
      <c r="C717" s="113" t="s">
        <v>2568</v>
      </c>
      <c r="D717" s="12" t="s">
        <v>3341</v>
      </c>
      <c r="E717" s="297"/>
      <c r="F717" s="285">
        <v>2900</v>
      </c>
    </row>
    <row r="718" spans="1:6" x14ac:dyDescent="0.25">
      <c r="A718" s="230">
        <v>45616</v>
      </c>
      <c r="B718" s="11" t="s">
        <v>3342</v>
      </c>
      <c r="C718" s="113" t="s">
        <v>2568</v>
      </c>
      <c r="D718" s="12" t="s">
        <v>3343</v>
      </c>
      <c r="E718" s="297"/>
      <c r="F718" s="285">
        <v>10665000</v>
      </c>
    </row>
    <row r="719" spans="1:6" x14ac:dyDescent="0.25">
      <c r="A719" s="230">
        <v>45616</v>
      </c>
      <c r="B719" s="11" t="s">
        <v>3342</v>
      </c>
      <c r="C719" s="113" t="s">
        <v>2568</v>
      </c>
      <c r="D719" s="12" t="s">
        <v>3344</v>
      </c>
      <c r="E719" s="297"/>
      <c r="F719" s="285">
        <v>1173150</v>
      </c>
    </row>
    <row r="720" spans="1:6" x14ac:dyDescent="0.25">
      <c r="A720" s="230">
        <v>45616</v>
      </c>
      <c r="B720" s="11" t="s">
        <v>3342</v>
      </c>
      <c r="C720" s="113" t="s">
        <v>2568</v>
      </c>
      <c r="D720" s="12" t="s">
        <v>3057</v>
      </c>
      <c r="E720" s="297"/>
      <c r="F720" s="285">
        <v>2900</v>
      </c>
    </row>
    <row r="721" spans="1:6" x14ac:dyDescent="0.25">
      <c r="A721" s="230">
        <v>45631</v>
      </c>
      <c r="B721" s="11" t="s">
        <v>3345</v>
      </c>
      <c r="C721" s="113" t="s">
        <v>2568</v>
      </c>
      <c r="D721" s="12" t="s">
        <v>3346</v>
      </c>
      <c r="E721" s="282"/>
      <c r="F721" s="289">
        <v>-50000</v>
      </c>
    </row>
    <row r="722" spans="1:6" x14ac:dyDescent="0.25">
      <c r="A722" s="230">
        <v>45653</v>
      </c>
      <c r="B722" s="11" t="s">
        <v>3347</v>
      </c>
      <c r="C722" s="113" t="s">
        <v>2568</v>
      </c>
      <c r="D722" s="12" t="s">
        <v>3348</v>
      </c>
      <c r="E722" s="282"/>
      <c r="F722" s="285">
        <v>1500000</v>
      </c>
    </row>
    <row r="723" spans="1:6" x14ac:dyDescent="0.25">
      <c r="A723" s="230">
        <v>45653</v>
      </c>
      <c r="B723" s="11" t="s">
        <v>3347</v>
      </c>
      <c r="C723" s="113" t="s">
        <v>2568</v>
      </c>
      <c r="D723" s="12" t="s">
        <v>3349</v>
      </c>
      <c r="E723" s="282"/>
      <c r="F723" s="285">
        <v>-30000</v>
      </c>
    </row>
    <row r="724" spans="1:6" x14ac:dyDescent="0.25">
      <c r="A724" s="230">
        <v>45653</v>
      </c>
      <c r="B724" s="11" t="s">
        <v>947</v>
      </c>
      <c r="C724" s="113" t="s">
        <v>2568</v>
      </c>
      <c r="D724" s="12" t="s">
        <v>948</v>
      </c>
      <c r="E724" s="282"/>
      <c r="F724" s="285">
        <v>69000</v>
      </c>
    </row>
    <row r="725" spans="1:6" x14ac:dyDescent="0.25">
      <c r="A725" s="230">
        <v>45653</v>
      </c>
      <c r="B725" s="11" t="s">
        <v>947</v>
      </c>
      <c r="C725" s="113" t="s">
        <v>2568</v>
      </c>
      <c r="D725" s="12" t="s">
        <v>3350</v>
      </c>
      <c r="E725" s="282"/>
      <c r="F725" s="285">
        <v>7000</v>
      </c>
    </row>
    <row r="726" spans="1:6" x14ac:dyDescent="0.25">
      <c r="A726" s="230">
        <v>45653</v>
      </c>
      <c r="B726" s="11" t="s">
        <v>3351</v>
      </c>
      <c r="C726" s="112" t="s">
        <v>2568</v>
      </c>
      <c r="D726" s="12" t="s">
        <v>3352</v>
      </c>
      <c r="E726" s="282">
        <v>8000000</v>
      </c>
      <c r="F726" s="289"/>
    </row>
    <row r="727" spans="1:6" x14ac:dyDescent="0.25">
      <c r="A727" s="230">
        <v>45653</v>
      </c>
      <c r="B727" s="11" t="s">
        <v>3351</v>
      </c>
      <c r="C727" s="112" t="s">
        <v>2568</v>
      </c>
      <c r="D727" s="12" t="s">
        <v>3353</v>
      </c>
      <c r="E727" s="282"/>
      <c r="F727" s="285">
        <v>2200000</v>
      </c>
    </row>
    <row r="728" spans="1:6" x14ac:dyDescent="0.25">
      <c r="A728" s="230">
        <v>45653</v>
      </c>
      <c r="B728" s="11" t="s">
        <v>3351</v>
      </c>
      <c r="C728" s="112" t="s">
        <v>2568</v>
      </c>
      <c r="D728" s="12" t="s">
        <v>3354</v>
      </c>
      <c r="E728" s="282"/>
      <c r="F728" s="285">
        <v>150000</v>
      </c>
    </row>
    <row r="729" spans="1:6" x14ac:dyDescent="0.25">
      <c r="A729" s="230">
        <v>45653</v>
      </c>
      <c r="B729" s="11" t="s">
        <v>3351</v>
      </c>
      <c r="C729" s="112" t="s">
        <v>2568</v>
      </c>
      <c r="D729" s="12" t="s">
        <v>3355</v>
      </c>
      <c r="E729" s="282"/>
      <c r="F729" s="285">
        <v>1713780</v>
      </c>
    </row>
    <row r="730" spans="1:6" x14ac:dyDescent="0.25">
      <c r="A730" s="230">
        <v>45653</v>
      </c>
      <c r="B730" s="11" t="s">
        <v>3351</v>
      </c>
      <c r="C730" s="112" t="s">
        <v>2568</v>
      </c>
      <c r="D730" s="12" t="s">
        <v>3356</v>
      </c>
      <c r="E730" s="282"/>
      <c r="F730" s="285">
        <v>900000</v>
      </c>
    </row>
    <row r="731" spans="1:6" x14ac:dyDescent="0.25">
      <c r="A731" s="230">
        <v>45653</v>
      </c>
      <c r="B731" s="11" t="s">
        <v>3351</v>
      </c>
      <c r="C731" s="112" t="s">
        <v>2568</v>
      </c>
      <c r="D731" s="12" t="s">
        <v>3357</v>
      </c>
      <c r="E731" s="282"/>
      <c r="F731" s="285">
        <v>612245</v>
      </c>
    </row>
    <row r="732" spans="1:6" x14ac:dyDescent="0.25">
      <c r="A732" s="230">
        <v>45653</v>
      </c>
      <c r="B732" s="11" t="s">
        <v>3351</v>
      </c>
      <c r="C732" s="112" t="s">
        <v>2568</v>
      </c>
      <c r="D732" s="12" t="s">
        <v>3358</v>
      </c>
      <c r="E732" s="282"/>
      <c r="F732" s="285">
        <v>-12245</v>
      </c>
    </row>
    <row r="733" spans="1:6" x14ac:dyDescent="0.25">
      <c r="A733" s="230">
        <v>45653</v>
      </c>
      <c r="B733" s="11" t="s">
        <v>3351</v>
      </c>
      <c r="C733" s="112" t="s">
        <v>2568</v>
      </c>
      <c r="D733" s="12" t="s">
        <v>3359</v>
      </c>
      <c r="E733" s="282"/>
      <c r="F733" s="285">
        <v>68000</v>
      </c>
    </row>
    <row r="734" spans="1:6" x14ac:dyDescent="0.25">
      <c r="A734" s="230">
        <v>45653</v>
      </c>
      <c r="B734" s="11" t="s">
        <v>3351</v>
      </c>
      <c r="C734" s="112" t="s">
        <v>2568</v>
      </c>
      <c r="D734" s="12" t="s">
        <v>3360</v>
      </c>
      <c r="E734" s="282"/>
      <c r="F734" s="285">
        <v>1986900</v>
      </c>
    </row>
    <row r="735" spans="1:6" x14ac:dyDescent="0.25">
      <c r="A735" s="230">
        <v>45653</v>
      </c>
      <c r="B735" s="11" t="s">
        <v>3351</v>
      </c>
      <c r="C735" s="112" t="s">
        <v>2568</v>
      </c>
      <c r="D735" s="12" t="s">
        <v>3361</v>
      </c>
      <c r="E735" s="282"/>
      <c r="F735" s="285">
        <v>36000</v>
      </c>
    </row>
    <row r="736" spans="1:6" x14ac:dyDescent="0.25">
      <c r="A736" s="230">
        <v>45653</v>
      </c>
      <c r="B736" s="11" t="s">
        <v>3351</v>
      </c>
      <c r="C736" s="112" t="s">
        <v>2568</v>
      </c>
      <c r="D736" s="12" t="s">
        <v>3362</v>
      </c>
      <c r="E736" s="282"/>
      <c r="F736" s="285">
        <v>197465</v>
      </c>
    </row>
    <row r="737" spans="1:6" x14ac:dyDescent="0.25">
      <c r="A737" s="230">
        <v>45653</v>
      </c>
      <c r="B737" s="11" t="s">
        <v>3351</v>
      </c>
      <c r="C737" s="112" t="s">
        <v>2568</v>
      </c>
      <c r="D737" s="12" t="s">
        <v>3363</v>
      </c>
      <c r="E737" s="282"/>
      <c r="F737" s="285">
        <v>100000</v>
      </c>
    </row>
    <row r="738" spans="1:6" x14ac:dyDescent="0.25">
      <c r="A738" s="230">
        <v>45653</v>
      </c>
      <c r="B738" s="11" t="s">
        <v>3351</v>
      </c>
      <c r="C738" s="112" t="s">
        <v>2568</v>
      </c>
      <c r="D738" s="12" t="s">
        <v>3356</v>
      </c>
      <c r="E738" s="282"/>
      <c r="F738" s="285">
        <v>2000000</v>
      </c>
    </row>
    <row r="739" spans="1:6" x14ac:dyDescent="0.25">
      <c r="A739" s="230">
        <v>45653</v>
      </c>
      <c r="B739" s="11" t="s">
        <v>3351</v>
      </c>
      <c r="C739" s="112" t="s">
        <v>2568</v>
      </c>
      <c r="D739" s="12" t="s">
        <v>3364</v>
      </c>
      <c r="E739" s="282"/>
      <c r="F739" s="285">
        <v>22000</v>
      </c>
    </row>
    <row r="740" spans="1:6" x14ac:dyDescent="0.25">
      <c r="A740" s="230">
        <v>45653</v>
      </c>
      <c r="B740" s="11" t="s">
        <v>3351</v>
      </c>
      <c r="C740" s="112" t="s">
        <v>2568</v>
      </c>
      <c r="D740" s="12" t="s">
        <v>3365</v>
      </c>
      <c r="E740" s="282"/>
      <c r="F740" s="285">
        <v>28000</v>
      </c>
    </row>
    <row r="741" spans="1:6" x14ac:dyDescent="0.25">
      <c r="A741" s="230">
        <v>45653</v>
      </c>
      <c r="B741" s="11" t="s">
        <v>3351</v>
      </c>
      <c r="C741" s="112" t="s">
        <v>2568</v>
      </c>
      <c r="D741" s="12" t="s">
        <v>3366</v>
      </c>
      <c r="E741" s="282"/>
      <c r="F741" s="285">
        <v>54500</v>
      </c>
    </row>
    <row r="742" spans="1:6" x14ac:dyDescent="0.25">
      <c r="A742" s="230">
        <v>45653</v>
      </c>
      <c r="B742" s="11" t="s">
        <v>3351</v>
      </c>
      <c r="C742" s="112" t="s">
        <v>2568</v>
      </c>
      <c r="D742" s="12" t="s">
        <v>3367</v>
      </c>
      <c r="E742" s="282"/>
      <c r="F742" s="285">
        <v>22000</v>
      </c>
    </row>
    <row r="743" spans="1:6" x14ac:dyDescent="0.25">
      <c r="A743" s="230">
        <v>45653</v>
      </c>
      <c r="B743" s="11" t="s">
        <v>3351</v>
      </c>
      <c r="C743" s="112" t="s">
        <v>2568</v>
      </c>
      <c r="D743" s="12" t="s">
        <v>3368</v>
      </c>
      <c r="E743" s="282"/>
      <c r="F743" s="285">
        <v>340000</v>
      </c>
    </row>
    <row r="744" spans="1:6" x14ac:dyDescent="0.25">
      <c r="A744" s="230">
        <v>45653</v>
      </c>
      <c r="B744" s="11" t="s">
        <v>3351</v>
      </c>
      <c r="C744" s="112" t="s">
        <v>2568</v>
      </c>
      <c r="D744" s="12" t="s">
        <v>3369</v>
      </c>
      <c r="E744" s="282"/>
      <c r="F744" s="285">
        <v>61000</v>
      </c>
    </row>
    <row r="745" spans="1:6" x14ac:dyDescent="0.25">
      <c r="A745" s="230">
        <v>45653</v>
      </c>
      <c r="B745" s="11" t="s">
        <v>3351</v>
      </c>
      <c r="C745" s="112" t="s">
        <v>2568</v>
      </c>
      <c r="D745" s="12" t="s">
        <v>3370</v>
      </c>
      <c r="E745" s="282"/>
      <c r="F745" s="285">
        <v>5800</v>
      </c>
    </row>
    <row r="746" spans="1:6" x14ac:dyDescent="0.25">
      <c r="A746" s="232">
        <v>45531</v>
      </c>
      <c r="B746" s="9" t="s">
        <v>179</v>
      </c>
      <c r="C746" s="142" t="s">
        <v>2568</v>
      </c>
      <c r="D746" s="17" t="s">
        <v>3371</v>
      </c>
      <c r="E746" s="294"/>
      <c r="F746" s="295">
        <v>54360346</v>
      </c>
    </row>
    <row r="747" spans="1:6" x14ac:dyDescent="0.25">
      <c r="A747" s="232">
        <v>45540</v>
      </c>
      <c r="B747" s="9" t="s">
        <v>3372</v>
      </c>
      <c r="C747" s="113" t="s">
        <v>2568</v>
      </c>
      <c r="D747" s="16" t="s">
        <v>3373</v>
      </c>
      <c r="E747" s="294"/>
      <c r="F747" s="295">
        <v>11224490</v>
      </c>
    </row>
    <row r="748" spans="1:6" x14ac:dyDescent="0.25">
      <c r="A748" s="232">
        <v>45540</v>
      </c>
      <c r="B748" s="9" t="s">
        <v>3372</v>
      </c>
      <c r="C748" s="113" t="s">
        <v>2568</v>
      </c>
      <c r="D748" s="12" t="s">
        <v>3374</v>
      </c>
      <c r="E748" s="294"/>
      <c r="F748" s="295">
        <v>-224490</v>
      </c>
    </row>
    <row r="749" spans="1:6" x14ac:dyDescent="0.25">
      <c r="A749" s="232">
        <v>45540</v>
      </c>
      <c r="B749" s="9" t="s">
        <v>3372</v>
      </c>
      <c r="C749" s="113" t="s">
        <v>2568</v>
      </c>
      <c r="D749" s="12" t="s">
        <v>50</v>
      </c>
      <c r="E749" s="294"/>
      <c r="F749" s="295">
        <v>5000</v>
      </c>
    </row>
    <row r="750" spans="1:6" x14ac:dyDescent="0.25">
      <c r="A750" s="232">
        <v>45540</v>
      </c>
      <c r="B750" s="9" t="s">
        <v>3372</v>
      </c>
      <c r="C750" s="113" t="s">
        <v>2568</v>
      </c>
      <c r="D750" s="12" t="s">
        <v>3375</v>
      </c>
      <c r="E750" s="294"/>
      <c r="F750" s="295">
        <v>200000</v>
      </c>
    </row>
    <row r="751" spans="1:6" x14ac:dyDescent="0.25">
      <c r="A751" s="232">
        <v>45546</v>
      </c>
      <c r="B751" s="9" t="s">
        <v>3376</v>
      </c>
      <c r="C751" s="142" t="s">
        <v>2568</v>
      </c>
      <c r="D751" s="30" t="s">
        <v>3377</v>
      </c>
      <c r="E751" s="294"/>
      <c r="F751" s="295">
        <v>15062000</v>
      </c>
    </row>
    <row r="752" spans="1:6" x14ac:dyDescent="0.25">
      <c r="A752" s="232">
        <v>45546</v>
      </c>
      <c r="B752" s="9" t="s">
        <v>3376</v>
      </c>
      <c r="C752" s="142" t="s">
        <v>2568</v>
      </c>
      <c r="D752" s="30" t="s">
        <v>3378</v>
      </c>
      <c r="E752" s="294"/>
      <c r="F752" s="295">
        <v>-195840</v>
      </c>
    </row>
    <row r="753" spans="1:6" x14ac:dyDescent="0.25">
      <c r="A753" s="232">
        <v>45546</v>
      </c>
      <c r="B753" s="9" t="s">
        <v>3376</v>
      </c>
      <c r="C753" s="142" t="s">
        <v>2568</v>
      </c>
      <c r="D753" s="30" t="s">
        <v>3379</v>
      </c>
      <c r="E753" s="294"/>
      <c r="F753" s="295">
        <v>2900</v>
      </c>
    </row>
    <row r="754" spans="1:6" x14ac:dyDescent="0.25">
      <c r="A754" s="232">
        <v>45546</v>
      </c>
      <c r="B754" s="9" t="s">
        <v>610</v>
      </c>
      <c r="C754" s="113" t="s">
        <v>2568</v>
      </c>
      <c r="D754" s="16" t="s">
        <v>3380</v>
      </c>
      <c r="E754" s="294"/>
      <c r="F754" s="295">
        <v>5612245</v>
      </c>
    </row>
    <row r="755" spans="1:6" x14ac:dyDescent="0.25">
      <c r="A755" s="232">
        <v>45546</v>
      </c>
      <c r="B755" s="9" t="s">
        <v>610</v>
      </c>
      <c r="C755" s="113" t="s">
        <v>2568</v>
      </c>
      <c r="D755" s="16" t="s">
        <v>3381</v>
      </c>
      <c r="E755" s="294"/>
      <c r="F755" s="295">
        <v>-112245</v>
      </c>
    </row>
    <row r="756" spans="1:6" x14ac:dyDescent="0.25">
      <c r="A756" s="230">
        <v>45554</v>
      </c>
      <c r="B756" s="11" t="s">
        <v>3382</v>
      </c>
      <c r="C756" s="112" t="s">
        <v>2568</v>
      </c>
      <c r="D756" s="17" t="s">
        <v>3383</v>
      </c>
      <c r="E756" s="282"/>
      <c r="F756" s="290">
        <v>2559000</v>
      </c>
    </row>
    <row r="757" spans="1:6" x14ac:dyDescent="0.25">
      <c r="A757" s="230">
        <v>45554</v>
      </c>
      <c r="B757" s="11" t="s">
        <v>3382</v>
      </c>
      <c r="C757" s="112" t="s">
        <v>2568</v>
      </c>
      <c r="D757" s="17" t="s">
        <v>3384</v>
      </c>
      <c r="E757" s="282"/>
      <c r="F757" s="290">
        <v>281490</v>
      </c>
    </row>
    <row r="758" spans="1:6" x14ac:dyDescent="0.25">
      <c r="A758" s="230">
        <v>45554</v>
      </c>
      <c r="B758" s="11" t="s">
        <v>3382</v>
      </c>
      <c r="C758" s="112" t="s">
        <v>2568</v>
      </c>
      <c r="D758" s="17" t="s">
        <v>3385</v>
      </c>
      <c r="E758" s="282"/>
      <c r="F758" s="290">
        <v>2900</v>
      </c>
    </row>
    <row r="759" spans="1:6" x14ac:dyDescent="0.25">
      <c r="A759" s="230">
        <v>45665</v>
      </c>
      <c r="B759" s="11" t="s">
        <v>3386</v>
      </c>
      <c r="C759" s="112" t="s">
        <v>2568</v>
      </c>
      <c r="D759" s="17" t="s">
        <v>3387</v>
      </c>
      <c r="E759" s="282"/>
      <c r="F759" s="283">
        <v>894663</v>
      </c>
    </row>
    <row r="760" spans="1:6" x14ac:dyDescent="0.25">
      <c r="A760" s="230">
        <v>45671</v>
      </c>
      <c r="B760" s="273" t="s">
        <v>3388</v>
      </c>
      <c r="C760" s="112" t="s">
        <v>2568</v>
      </c>
      <c r="D760" s="17" t="s">
        <v>3389</v>
      </c>
      <c r="E760" s="282"/>
      <c r="F760" s="283">
        <v>90000</v>
      </c>
    </row>
    <row r="761" spans="1:6" x14ac:dyDescent="0.25">
      <c r="A761" s="230">
        <v>45671</v>
      </c>
      <c r="B761" s="273" t="s">
        <v>3388</v>
      </c>
      <c r="C761" s="112" t="s">
        <v>2568</v>
      </c>
      <c r="D761" s="17" t="s">
        <v>3390</v>
      </c>
      <c r="E761" s="282"/>
      <c r="F761" s="283">
        <v>2500</v>
      </c>
    </row>
    <row r="762" spans="1:6" x14ac:dyDescent="0.25">
      <c r="A762" s="230">
        <v>45671</v>
      </c>
      <c r="B762" s="273" t="s">
        <v>3391</v>
      </c>
      <c r="C762" s="112" t="s">
        <v>2568</v>
      </c>
      <c r="D762" s="12" t="s">
        <v>3392</v>
      </c>
      <c r="E762" s="282"/>
      <c r="F762" s="283">
        <v>189000</v>
      </c>
    </row>
    <row r="763" spans="1:6" x14ac:dyDescent="0.25">
      <c r="A763" s="230">
        <v>45671</v>
      </c>
      <c r="B763" s="273" t="s">
        <v>3391</v>
      </c>
      <c r="C763" s="112" t="s">
        <v>2568</v>
      </c>
      <c r="D763" s="12" t="s">
        <v>3393</v>
      </c>
      <c r="E763" s="282"/>
      <c r="F763" s="283">
        <v>2500</v>
      </c>
    </row>
    <row r="764" spans="1:6" x14ac:dyDescent="0.25">
      <c r="A764" s="230">
        <v>45672</v>
      </c>
      <c r="B764" s="273" t="s">
        <v>3394</v>
      </c>
      <c r="C764" s="112" t="s">
        <v>2568</v>
      </c>
      <c r="D764" s="12" t="s">
        <v>3395</v>
      </c>
      <c r="E764" s="282"/>
      <c r="F764" s="283">
        <v>85000</v>
      </c>
    </row>
    <row r="765" spans="1:6" x14ac:dyDescent="0.25">
      <c r="A765" s="230">
        <v>45672</v>
      </c>
      <c r="B765" s="273" t="s">
        <v>3394</v>
      </c>
      <c r="C765" s="112" t="s">
        <v>2568</v>
      </c>
      <c r="D765" s="12" t="s">
        <v>3393</v>
      </c>
      <c r="E765" s="282"/>
      <c r="F765" s="283">
        <v>2500</v>
      </c>
    </row>
    <row r="766" spans="1:6" x14ac:dyDescent="0.25">
      <c r="A766" s="270">
        <v>45812</v>
      </c>
      <c r="B766" s="106" t="s">
        <v>1511</v>
      </c>
      <c r="C766" s="111" t="s">
        <v>2568</v>
      </c>
      <c r="D766" s="167" t="s">
        <v>1514</v>
      </c>
      <c r="E766" s="286"/>
      <c r="F766" s="296">
        <v>30000000</v>
      </c>
    </row>
    <row r="767" spans="1:6" x14ac:dyDescent="0.25">
      <c r="A767" s="230">
        <v>45665</v>
      </c>
      <c r="B767" s="11" t="s">
        <v>643</v>
      </c>
      <c r="C767" s="113" t="s">
        <v>2568</v>
      </c>
      <c r="D767" s="12" t="s">
        <v>3396</v>
      </c>
      <c r="E767" s="291"/>
      <c r="F767" s="285">
        <v>612245</v>
      </c>
    </row>
    <row r="768" spans="1:6" x14ac:dyDescent="0.25">
      <c r="A768" s="230">
        <v>45665</v>
      </c>
      <c r="B768" s="11" t="s">
        <v>643</v>
      </c>
      <c r="C768" s="113" t="s">
        <v>2568</v>
      </c>
      <c r="D768" s="12" t="s">
        <v>3397</v>
      </c>
      <c r="E768" s="291"/>
      <c r="F768" s="285">
        <v>-12245</v>
      </c>
    </row>
    <row r="769" spans="1:6" x14ac:dyDescent="0.25">
      <c r="A769" s="230">
        <v>45665</v>
      </c>
      <c r="B769" s="11" t="s">
        <v>643</v>
      </c>
      <c r="C769" s="113" t="s">
        <v>2568</v>
      </c>
      <c r="D769" s="12" t="s">
        <v>3398</v>
      </c>
      <c r="E769" s="291"/>
      <c r="F769" s="285">
        <v>2500</v>
      </c>
    </row>
    <row r="770" spans="1:6" x14ac:dyDescent="0.25">
      <c r="A770" s="230">
        <v>45667</v>
      </c>
      <c r="B770" s="11" t="s">
        <v>3399</v>
      </c>
      <c r="C770" s="112" t="s">
        <v>2568</v>
      </c>
      <c r="D770" s="17" t="s">
        <v>3400</v>
      </c>
      <c r="E770" s="282"/>
      <c r="F770" s="290">
        <v>4812500</v>
      </c>
    </row>
    <row r="771" spans="1:6" x14ac:dyDescent="0.25">
      <c r="A771" s="230">
        <v>45667</v>
      </c>
      <c r="B771" s="11" t="s">
        <v>3399</v>
      </c>
      <c r="C771" s="112" t="s">
        <v>2568</v>
      </c>
      <c r="D771" s="17" t="s">
        <v>3401</v>
      </c>
      <c r="E771" s="282"/>
      <c r="F771" s="290">
        <v>529375</v>
      </c>
    </row>
    <row r="772" spans="1:6" x14ac:dyDescent="0.25">
      <c r="A772" s="230">
        <v>45667</v>
      </c>
      <c r="B772" s="11" t="s">
        <v>3399</v>
      </c>
      <c r="C772" s="112" t="s">
        <v>2568</v>
      </c>
      <c r="D772" s="17" t="s">
        <v>3402</v>
      </c>
      <c r="E772" s="282"/>
      <c r="F772" s="290">
        <v>2900</v>
      </c>
    </row>
    <row r="773" spans="1:6" x14ac:dyDescent="0.25">
      <c r="A773" s="230">
        <v>45667</v>
      </c>
      <c r="B773" s="11" t="s">
        <v>3399</v>
      </c>
      <c r="C773" s="112" t="s">
        <v>2568</v>
      </c>
      <c r="D773" s="17" t="s">
        <v>3403</v>
      </c>
      <c r="E773" s="282"/>
      <c r="F773" s="290">
        <v>2900</v>
      </c>
    </row>
    <row r="774" spans="1:6" x14ac:dyDescent="0.25">
      <c r="A774" s="230">
        <v>45667</v>
      </c>
      <c r="B774" s="11" t="s">
        <v>1564</v>
      </c>
      <c r="C774" s="113" t="s">
        <v>2568</v>
      </c>
      <c r="D774" s="12" t="s">
        <v>3404</v>
      </c>
      <c r="E774" s="282"/>
      <c r="F774" s="285">
        <v>1107050</v>
      </c>
    </row>
    <row r="775" spans="1:6" x14ac:dyDescent="0.25">
      <c r="A775" s="230">
        <v>45672</v>
      </c>
      <c r="B775" s="11" t="s">
        <v>663</v>
      </c>
      <c r="C775" s="113" t="s">
        <v>2568</v>
      </c>
      <c r="D775" s="12" t="s">
        <v>3405</v>
      </c>
      <c r="E775" s="282"/>
      <c r="F775" s="285">
        <v>260000</v>
      </c>
    </row>
    <row r="776" spans="1:6" x14ac:dyDescent="0.25">
      <c r="A776" s="230">
        <v>45672</v>
      </c>
      <c r="B776" s="11" t="s">
        <v>663</v>
      </c>
      <c r="C776" s="113" t="s">
        <v>2568</v>
      </c>
      <c r="D776" s="12" t="s">
        <v>3406</v>
      </c>
      <c r="E776" s="282"/>
      <c r="F776" s="285">
        <v>25500</v>
      </c>
    </row>
    <row r="777" spans="1:6" x14ac:dyDescent="0.25">
      <c r="A777" s="230">
        <v>45672</v>
      </c>
      <c r="B777" s="11" t="s">
        <v>663</v>
      </c>
      <c r="C777" s="113" t="s">
        <v>2568</v>
      </c>
      <c r="D777" s="12" t="s">
        <v>3407</v>
      </c>
      <c r="E777" s="282"/>
      <c r="F777" s="285">
        <v>10000</v>
      </c>
    </row>
    <row r="778" spans="1:6" x14ac:dyDescent="0.25">
      <c r="A778" s="230">
        <v>45672</v>
      </c>
      <c r="B778" s="11" t="s">
        <v>663</v>
      </c>
      <c r="C778" s="113" t="s">
        <v>2568</v>
      </c>
      <c r="D778" s="12" t="s">
        <v>3408</v>
      </c>
      <c r="E778" s="282"/>
      <c r="F778" s="285">
        <v>220000</v>
      </c>
    </row>
    <row r="779" spans="1:6" x14ac:dyDescent="0.25">
      <c r="A779" s="230">
        <v>45672</v>
      </c>
      <c r="B779" s="11" t="s">
        <v>663</v>
      </c>
      <c r="C779" s="113" t="s">
        <v>2568</v>
      </c>
      <c r="D779" s="12" t="s">
        <v>3409</v>
      </c>
      <c r="E779" s="282"/>
      <c r="F779" s="285">
        <v>2500000</v>
      </c>
    </row>
    <row r="780" spans="1:6" x14ac:dyDescent="0.25">
      <c r="A780" s="230">
        <v>45672</v>
      </c>
      <c r="B780" s="11" t="s">
        <v>663</v>
      </c>
      <c r="C780" s="113" t="s">
        <v>2568</v>
      </c>
      <c r="D780" s="12" t="s">
        <v>3410</v>
      </c>
      <c r="E780" s="282"/>
      <c r="F780" s="285">
        <v>2500</v>
      </c>
    </row>
    <row r="781" spans="1:6" x14ac:dyDescent="0.25">
      <c r="A781" s="230">
        <v>45674</v>
      </c>
      <c r="B781" s="11" t="s">
        <v>1020</v>
      </c>
      <c r="C781" s="112" t="s">
        <v>2568</v>
      </c>
      <c r="D781" s="17" t="s">
        <v>3411</v>
      </c>
      <c r="E781" s="282"/>
      <c r="F781" s="290">
        <v>1800000</v>
      </c>
    </row>
    <row r="782" spans="1:6" x14ac:dyDescent="0.25">
      <c r="A782" s="230">
        <v>45674</v>
      </c>
      <c r="B782" s="11" t="s">
        <v>1020</v>
      </c>
      <c r="C782" s="112" t="s">
        <v>2568</v>
      </c>
      <c r="D782" s="17" t="s">
        <v>3412</v>
      </c>
      <c r="E782" s="282"/>
      <c r="F782" s="290">
        <v>2500</v>
      </c>
    </row>
    <row r="783" spans="1:6" x14ac:dyDescent="0.25">
      <c r="A783" s="230">
        <v>45674</v>
      </c>
      <c r="B783" s="11" t="s">
        <v>1020</v>
      </c>
      <c r="C783" s="112" t="s">
        <v>2568</v>
      </c>
      <c r="D783" s="17" t="s">
        <v>3413</v>
      </c>
      <c r="E783" s="282"/>
      <c r="F783" s="290">
        <v>200000</v>
      </c>
    </row>
    <row r="784" spans="1:6" x14ac:dyDescent="0.25">
      <c r="A784" s="230">
        <v>45674</v>
      </c>
      <c r="B784" s="11" t="s">
        <v>1020</v>
      </c>
      <c r="C784" s="112" t="s">
        <v>2568</v>
      </c>
      <c r="D784" s="17" t="s">
        <v>3412</v>
      </c>
      <c r="E784" s="282"/>
      <c r="F784" s="290">
        <v>2500</v>
      </c>
    </row>
    <row r="785" spans="1:6" x14ac:dyDescent="0.25">
      <c r="A785" s="230">
        <v>45674</v>
      </c>
      <c r="B785" s="11" t="s">
        <v>1020</v>
      </c>
      <c r="C785" s="112" t="s">
        <v>2568</v>
      </c>
      <c r="D785" s="17" t="s">
        <v>3413</v>
      </c>
      <c r="E785" s="282"/>
      <c r="F785" s="290">
        <v>150000</v>
      </c>
    </row>
    <row r="786" spans="1:6" x14ac:dyDescent="0.25">
      <c r="A786" s="230">
        <v>45674</v>
      </c>
      <c r="B786" s="11" t="s">
        <v>1020</v>
      </c>
      <c r="C786" s="112" t="s">
        <v>2568</v>
      </c>
      <c r="D786" s="17" t="s">
        <v>3414</v>
      </c>
      <c r="E786" s="282"/>
      <c r="F786" s="290">
        <v>6500</v>
      </c>
    </row>
    <row r="787" spans="1:6" x14ac:dyDescent="0.25">
      <c r="A787" s="230">
        <v>45674</v>
      </c>
      <c r="B787" s="11" t="s">
        <v>1020</v>
      </c>
      <c r="C787" s="112" t="s">
        <v>2568</v>
      </c>
      <c r="D787" s="17" t="s">
        <v>3413</v>
      </c>
      <c r="E787" s="282"/>
      <c r="F787" s="290">
        <v>210000</v>
      </c>
    </row>
    <row r="788" spans="1:6" x14ac:dyDescent="0.25">
      <c r="A788" s="230">
        <v>45674</v>
      </c>
      <c r="B788" s="11" t="s">
        <v>1020</v>
      </c>
      <c r="C788" s="112" t="s">
        <v>2568</v>
      </c>
      <c r="D788" s="17" t="s">
        <v>3414</v>
      </c>
      <c r="E788" s="282"/>
      <c r="F788" s="290">
        <v>2500</v>
      </c>
    </row>
    <row r="789" spans="1:6" x14ac:dyDescent="0.25">
      <c r="A789" s="230">
        <v>45679</v>
      </c>
      <c r="B789" s="11" t="s">
        <v>1024</v>
      </c>
      <c r="C789" s="112" t="s">
        <v>2568</v>
      </c>
      <c r="D789" s="17" t="s">
        <v>3415</v>
      </c>
      <c r="E789" s="282"/>
      <c r="F789" s="298">
        <v>5000000</v>
      </c>
    </row>
    <row r="790" spans="1:6" x14ac:dyDescent="0.25">
      <c r="A790" s="230">
        <v>45679</v>
      </c>
      <c r="B790" s="11" t="s">
        <v>1024</v>
      </c>
      <c r="C790" s="112" t="s">
        <v>2568</v>
      </c>
      <c r="D790" s="17" t="s">
        <v>3416</v>
      </c>
      <c r="E790" s="282"/>
      <c r="F790" s="298">
        <v>2500</v>
      </c>
    </row>
    <row r="791" spans="1:6" x14ac:dyDescent="0.25">
      <c r="A791" s="230">
        <v>45679</v>
      </c>
      <c r="B791" s="11" t="s">
        <v>1024</v>
      </c>
      <c r="C791" s="112" t="s">
        <v>2568</v>
      </c>
      <c r="D791" s="17" t="s">
        <v>3417</v>
      </c>
      <c r="E791" s="282"/>
      <c r="F791" s="298">
        <v>1350000</v>
      </c>
    </row>
    <row r="792" spans="1:6" x14ac:dyDescent="0.25">
      <c r="A792" s="230">
        <v>45679</v>
      </c>
      <c r="B792" s="11" t="s">
        <v>1024</v>
      </c>
      <c r="C792" s="112" t="s">
        <v>2568</v>
      </c>
      <c r="D792" s="17" t="s">
        <v>3418</v>
      </c>
      <c r="E792" s="282"/>
      <c r="F792" s="298">
        <v>2500</v>
      </c>
    </row>
    <row r="793" spans="1:6" x14ac:dyDescent="0.25">
      <c r="A793" s="230">
        <v>45679</v>
      </c>
      <c r="B793" s="11" t="s">
        <v>1024</v>
      </c>
      <c r="C793" s="112" t="s">
        <v>2568</v>
      </c>
      <c r="D793" s="17" t="s">
        <v>3419</v>
      </c>
      <c r="E793" s="282"/>
      <c r="F793" s="298">
        <v>112500</v>
      </c>
    </row>
    <row r="794" spans="1:6" x14ac:dyDescent="0.25">
      <c r="A794" s="230">
        <v>45679</v>
      </c>
      <c r="B794" s="11" t="s">
        <v>1024</v>
      </c>
      <c r="C794" s="112" t="s">
        <v>2568</v>
      </c>
      <c r="D794" s="17" t="s">
        <v>3420</v>
      </c>
      <c r="E794" s="282"/>
      <c r="F794" s="298">
        <v>317500</v>
      </c>
    </row>
    <row r="795" spans="1:6" x14ac:dyDescent="0.25">
      <c r="A795" s="230">
        <v>45686</v>
      </c>
      <c r="B795" s="11" t="s">
        <v>3421</v>
      </c>
      <c r="C795" s="112" t="s">
        <v>2568</v>
      </c>
      <c r="D795" s="17" t="s">
        <v>3422</v>
      </c>
      <c r="E795" s="282">
        <v>2000000</v>
      </c>
      <c r="F795" s="290"/>
    </row>
    <row r="796" spans="1:6" x14ac:dyDescent="0.25">
      <c r="A796" s="230">
        <v>45686</v>
      </c>
      <c r="B796" s="11" t="s">
        <v>3421</v>
      </c>
      <c r="C796" s="112" t="s">
        <v>2568</v>
      </c>
      <c r="D796" s="17" t="s">
        <v>3423</v>
      </c>
      <c r="E796" s="282"/>
      <c r="F796" s="290">
        <v>22000</v>
      </c>
    </row>
    <row r="797" spans="1:6" x14ac:dyDescent="0.25">
      <c r="A797" s="230">
        <v>45686</v>
      </c>
      <c r="B797" s="11" t="s">
        <v>3421</v>
      </c>
      <c r="C797" s="112" t="s">
        <v>2568</v>
      </c>
      <c r="D797" s="17" t="s">
        <v>1036</v>
      </c>
      <c r="E797" s="282"/>
      <c r="F797" s="290">
        <v>557198</v>
      </c>
    </row>
    <row r="798" spans="1:6" x14ac:dyDescent="0.25">
      <c r="A798" s="230">
        <v>45686</v>
      </c>
      <c r="B798" s="11" t="s">
        <v>3421</v>
      </c>
      <c r="C798" s="112" t="s">
        <v>2568</v>
      </c>
      <c r="D798" s="17" t="s">
        <v>3424</v>
      </c>
      <c r="E798" s="282"/>
      <c r="F798" s="290">
        <v>600000</v>
      </c>
    </row>
    <row r="799" spans="1:6" x14ac:dyDescent="0.25">
      <c r="A799" s="230">
        <v>45686</v>
      </c>
      <c r="B799" s="11" t="s">
        <v>3421</v>
      </c>
      <c r="C799" s="112" t="s">
        <v>2568</v>
      </c>
      <c r="D799" s="17" t="s">
        <v>3425</v>
      </c>
      <c r="E799" s="282"/>
      <c r="F799" s="290">
        <v>649600</v>
      </c>
    </row>
    <row r="800" spans="1:6" x14ac:dyDescent="0.25">
      <c r="A800" s="230">
        <v>45686</v>
      </c>
      <c r="B800" s="11" t="s">
        <v>3421</v>
      </c>
      <c r="C800" s="112" t="s">
        <v>2568</v>
      </c>
      <c r="D800" s="17" t="s">
        <v>3426</v>
      </c>
      <c r="E800" s="282"/>
      <c r="F800" s="290">
        <v>9000</v>
      </c>
    </row>
    <row r="801" spans="1:6" x14ac:dyDescent="0.25">
      <c r="A801" s="230">
        <v>45686</v>
      </c>
      <c r="B801" s="11" t="s">
        <v>3421</v>
      </c>
      <c r="C801" s="112" t="s">
        <v>2568</v>
      </c>
      <c r="D801" s="17" t="s">
        <v>3427</v>
      </c>
      <c r="E801" s="282"/>
      <c r="F801" s="290">
        <v>102000</v>
      </c>
    </row>
    <row r="802" spans="1:6" x14ac:dyDescent="0.25">
      <c r="A802" s="230">
        <v>45695</v>
      </c>
      <c r="B802" s="11" t="s">
        <v>3428</v>
      </c>
      <c r="C802" s="112" t="s">
        <v>2568</v>
      </c>
      <c r="D802" s="12" t="s">
        <v>1036</v>
      </c>
      <c r="E802" s="282"/>
      <c r="F802" s="290">
        <v>33400</v>
      </c>
    </row>
    <row r="803" spans="1:6" x14ac:dyDescent="0.25">
      <c r="A803" s="230">
        <v>45695</v>
      </c>
      <c r="B803" s="11" t="s">
        <v>3428</v>
      </c>
      <c r="C803" s="112" t="s">
        <v>2568</v>
      </c>
      <c r="D803" s="12" t="s">
        <v>1033</v>
      </c>
      <c r="E803" s="282"/>
      <c r="F803" s="290">
        <v>285900</v>
      </c>
    </row>
    <row r="804" spans="1:6" x14ac:dyDescent="0.25">
      <c r="A804" s="230">
        <v>45700</v>
      </c>
      <c r="B804" s="11" t="s">
        <v>3429</v>
      </c>
      <c r="C804" s="112" t="s">
        <v>2568</v>
      </c>
      <c r="D804" s="17" t="s">
        <v>3430</v>
      </c>
      <c r="E804" s="282"/>
      <c r="F804" s="290">
        <v>539000</v>
      </c>
    </row>
    <row r="805" spans="1:6" x14ac:dyDescent="0.25">
      <c r="A805" s="230">
        <v>45700</v>
      </c>
      <c r="B805" s="11" t="s">
        <v>3429</v>
      </c>
      <c r="C805" s="112" t="s">
        <v>2568</v>
      </c>
      <c r="D805" s="12" t="s">
        <v>3431</v>
      </c>
      <c r="E805" s="282"/>
      <c r="F805" s="290">
        <v>-10780</v>
      </c>
    </row>
    <row r="806" spans="1:6" x14ac:dyDescent="0.25">
      <c r="A806" s="230">
        <v>45702</v>
      </c>
      <c r="B806" s="11" t="s">
        <v>3432</v>
      </c>
      <c r="C806" s="113" t="s">
        <v>2568</v>
      </c>
      <c r="D806" s="12" t="s">
        <v>3433</v>
      </c>
      <c r="E806" s="282"/>
      <c r="F806" s="290">
        <v>4812500</v>
      </c>
    </row>
    <row r="807" spans="1:6" x14ac:dyDescent="0.25">
      <c r="A807" s="230">
        <v>45702</v>
      </c>
      <c r="B807" s="11" t="s">
        <v>3432</v>
      </c>
      <c r="C807" s="113" t="s">
        <v>2568</v>
      </c>
      <c r="D807" s="16" t="s">
        <v>3434</v>
      </c>
      <c r="E807" s="282"/>
      <c r="F807" s="290">
        <v>529375</v>
      </c>
    </row>
    <row r="808" spans="1:6" x14ac:dyDescent="0.25">
      <c r="A808" s="230">
        <v>45702</v>
      </c>
      <c r="B808" s="11" t="s">
        <v>3432</v>
      </c>
      <c r="C808" s="113" t="s">
        <v>2568</v>
      </c>
      <c r="D808" s="12" t="s">
        <v>105</v>
      </c>
      <c r="E808" s="282"/>
      <c r="F808" s="290">
        <v>2900</v>
      </c>
    </row>
    <row r="809" spans="1:6" x14ac:dyDescent="0.25">
      <c r="A809" s="230">
        <v>45784</v>
      </c>
      <c r="B809" s="11" t="s">
        <v>774</v>
      </c>
      <c r="C809" s="112" t="s">
        <v>2568</v>
      </c>
      <c r="D809" s="26" t="s">
        <v>3435</v>
      </c>
      <c r="E809" s="282"/>
      <c r="F809" s="289">
        <v>1500000</v>
      </c>
    </row>
    <row r="810" spans="1:6" x14ac:dyDescent="0.25">
      <c r="A810" s="230">
        <v>45784</v>
      </c>
      <c r="B810" s="11" t="s">
        <v>774</v>
      </c>
      <c r="C810" s="112" t="s">
        <v>2568</v>
      </c>
      <c r="D810" s="26" t="s">
        <v>275</v>
      </c>
      <c r="E810" s="282"/>
      <c r="F810" s="289">
        <v>2500</v>
      </c>
    </row>
    <row r="811" spans="1:6" x14ac:dyDescent="0.25">
      <c r="A811" s="232">
        <v>45805</v>
      </c>
      <c r="B811" s="9" t="s">
        <v>3436</v>
      </c>
      <c r="C811" s="142" t="s">
        <v>2568</v>
      </c>
      <c r="D811" s="43" t="s">
        <v>3437</v>
      </c>
      <c r="E811" s="282"/>
      <c r="F811" s="289">
        <v>4496900</v>
      </c>
    </row>
    <row r="812" spans="1:6" x14ac:dyDescent="0.25">
      <c r="A812" s="232">
        <v>45805</v>
      </c>
      <c r="B812" s="9" t="s">
        <v>3436</v>
      </c>
      <c r="C812" s="142" t="s">
        <v>2568</v>
      </c>
      <c r="D812" s="43" t="s">
        <v>981</v>
      </c>
      <c r="E812" s="282"/>
      <c r="F812" s="289">
        <v>2500</v>
      </c>
    </row>
    <row r="813" spans="1:6" x14ac:dyDescent="0.25">
      <c r="A813" s="232">
        <v>45812</v>
      </c>
      <c r="B813" s="9" t="s">
        <v>510</v>
      </c>
      <c r="C813" s="142" t="s">
        <v>2568</v>
      </c>
      <c r="D813" s="26" t="s">
        <v>3438</v>
      </c>
      <c r="E813" s="282"/>
      <c r="F813" s="289">
        <v>5767333</v>
      </c>
    </row>
    <row r="814" spans="1:6" x14ac:dyDescent="0.25">
      <c r="A814" s="232">
        <v>45812</v>
      </c>
      <c r="B814" s="9" t="s">
        <v>510</v>
      </c>
      <c r="C814" s="142" t="s">
        <v>2568</v>
      </c>
      <c r="D814" s="26" t="s">
        <v>3439</v>
      </c>
      <c r="E814" s="282"/>
      <c r="F814" s="289">
        <v>1200000</v>
      </c>
    </row>
    <row r="815" spans="1:6" x14ac:dyDescent="0.25">
      <c r="A815" s="232">
        <v>45812</v>
      </c>
      <c r="B815" s="9" t="s">
        <v>510</v>
      </c>
      <c r="C815" s="142" t="s">
        <v>2568</v>
      </c>
      <c r="D815" s="26" t="s">
        <v>3440</v>
      </c>
      <c r="E815" s="282"/>
      <c r="F815" s="289">
        <v>-24000</v>
      </c>
    </row>
    <row r="816" spans="1:6" x14ac:dyDescent="0.25">
      <c r="A816" s="232">
        <v>45812</v>
      </c>
      <c r="B816" s="9" t="s">
        <v>510</v>
      </c>
      <c r="C816" s="142" t="s">
        <v>2568</v>
      </c>
      <c r="D816" s="26" t="s">
        <v>1348</v>
      </c>
      <c r="E816" s="282"/>
      <c r="F816" s="289">
        <v>2500</v>
      </c>
    </row>
    <row r="817" spans="1:6" x14ac:dyDescent="0.25">
      <c r="A817" s="232">
        <v>45812</v>
      </c>
      <c r="B817" s="9" t="s">
        <v>3441</v>
      </c>
      <c r="C817" s="112" t="s">
        <v>2568</v>
      </c>
      <c r="D817" s="17" t="s">
        <v>3442</v>
      </c>
      <c r="E817" s="282"/>
      <c r="F817" s="299">
        <v>6000600</v>
      </c>
    </row>
    <row r="818" spans="1:6" x14ac:dyDescent="0.25">
      <c r="A818" s="232">
        <v>45812</v>
      </c>
      <c r="B818" s="9" t="s">
        <v>3441</v>
      </c>
      <c r="C818" s="112" t="s">
        <v>2568</v>
      </c>
      <c r="D818" s="17" t="s">
        <v>476</v>
      </c>
      <c r="E818" s="282"/>
      <c r="F818" s="299">
        <v>2500</v>
      </c>
    </row>
    <row r="819" spans="1:6" x14ac:dyDescent="0.25">
      <c r="A819" s="232">
        <v>45884</v>
      </c>
      <c r="B819" s="9" t="s">
        <v>3443</v>
      </c>
      <c r="C819" s="112" t="s">
        <v>2568</v>
      </c>
      <c r="D819" s="172" t="s">
        <v>3444</v>
      </c>
      <c r="E819" s="300"/>
      <c r="F819" s="289">
        <v>92000</v>
      </c>
    </row>
    <row r="820" spans="1:6" x14ac:dyDescent="0.25">
      <c r="A820" s="232">
        <v>45888</v>
      </c>
      <c r="B820" s="9" t="s">
        <v>3445</v>
      </c>
      <c r="C820" s="112" t="s">
        <v>2568</v>
      </c>
      <c r="D820" s="12" t="s">
        <v>3446</v>
      </c>
      <c r="E820" s="300"/>
      <c r="F820" s="301">
        <v>2500000</v>
      </c>
    </row>
    <row r="821" spans="1:6" x14ac:dyDescent="0.25">
      <c r="A821" s="232">
        <v>45888</v>
      </c>
      <c r="B821" s="9" t="s">
        <v>3445</v>
      </c>
      <c r="C821" s="112" t="s">
        <v>2568</v>
      </c>
      <c r="D821" s="12" t="s">
        <v>3447</v>
      </c>
      <c r="E821" s="300"/>
      <c r="F821" s="299">
        <v>-50000</v>
      </c>
    </row>
    <row r="822" spans="1:6" x14ac:dyDescent="0.25">
      <c r="A822" s="232">
        <v>45888</v>
      </c>
      <c r="B822" s="9" t="s">
        <v>3445</v>
      </c>
      <c r="C822" s="112" t="s">
        <v>2568</v>
      </c>
      <c r="D822" s="12" t="s">
        <v>3448</v>
      </c>
      <c r="E822" s="300"/>
      <c r="F822" s="301">
        <v>6500</v>
      </c>
    </row>
    <row r="823" spans="1:6" x14ac:dyDescent="0.25">
      <c r="A823" s="232">
        <v>45888</v>
      </c>
      <c r="B823" s="9" t="s">
        <v>3445</v>
      </c>
      <c r="C823" s="112" t="s">
        <v>2568</v>
      </c>
      <c r="D823" s="12" t="s">
        <v>3449</v>
      </c>
      <c r="E823" s="300"/>
      <c r="F823" s="301">
        <v>2800000</v>
      </c>
    </row>
    <row r="824" spans="1:6" x14ac:dyDescent="0.25">
      <c r="A824" s="232">
        <v>45888</v>
      </c>
      <c r="B824" s="9" t="s">
        <v>3445</v>
      </c>
      <c r="C824" s="112" t="s">
        <v>2568</v>
      </c>
      <c r="D824" s="12" t="s">
        <v>3448</v>
      </c>
      <c r="E824" s="300"/>
      <c r="F824" s="301">
        <v>6500</v>
      </c>
    </row>
    <row r="825" spans="1:6" x14ac:dyDescent="0.25">
      <c r="A825" s="232">
        <v>45888</v>
      </c>
      <c r="B825" s="9" t="s">
        <v>3445</v>
      </c>
      <c r="C825" s="112" t="s">
        <v>2568</v>
      </c>
      <c r="D825" s="12" t="s">
        <v>3450</v>
      </c>
      <c r="E825" s="300"/>
      <c r="F825" s="301">
        <v>3865700</v>
      </c>
    </row>
    <row r="826" spans="1:6" x14ac:dyDescent="0.25">
      <c r="A826" s="232">
        <v>45888</v>
      </c>
      <c r="B826" s="9" t="s">
        <v>3451</v>
      </c>
      <c r="C826" s="276" t="s">
        <v>2568</v>
      </c>
      <c r="D826" s="171" t="s">
        <v>3452</v>
      </c>
      <c r="E826" s="302"/>
      <c r="F826" s="299">
        <v>550000</v>
      </c>
    </row>
    <row r="827" spans="1:6" x14ac:dyDescent="0.25">
      <c r="A827" s="232">
        <v>45888</v>
      </c>
      <c r="B827" s="9" t="s">
        <v>3451</v>
      </c>
      <c r="C827" s="276" t="s">
        <v>2568</v>
      </c>
      <c r="D827" s="171" t="s">
        <v>2372</v>
      </c>
      <c r="E827" s="302"/>
      <c r="F827" s="299">
        <v>6500</v>
      </c>
    </row>
    <row r="828" spans="1:6" x14ac:dyDescent="0.25">
      <c r="A828" s="232">
        <v>45888</v>
      </c>
      <c r="B828" s="9" t="s">
        <v>3453</v>
      </c>
      <c r="C828" s="276" t="s">
        <v>2568</v>
      </c>
      <c r="D828" s="171" t="s">
        <v>3454</v>
      </c>
      <c r="E828" s="302"/>
      <c r="F828" s="299">
        <v>257500</v>
      </c>
    </row>
    <row r="829" spans="1:6" x14ac:dyDescent="0.25">
      <c r="A829" s="232">
        <v>45888</v>
      </c>
      <c r="B829" s="9" t="s">
        <v>3453</v>
      </c>
      <c r="C829" s="276" t="s">
        <v>2568</v>
      </c>
      <c r="D829" s="171" t="s">
        <v>105</v>
      </c>
      <c r="E829" s="302"/>
      <c r="F829" s="299">
        <v>2500</v>
      </c>
    </row>
    <row r="830" spans="1:6" x14ac:dyDescent="0.25">
      <c r="A830" s="272">
        <v>45891</v>
      </c>
      <c r="B830" s="37" t="s">
        <v>3455</v>
      </c>
      <c r="C830" s="142" t="s">
        <v>2568</v>
      </c>
      <c r="D830" s="169" t="s">
        <v>3456</v>
      </c>
      <c r="E830" s="303"/>
      <c r="F830" s="289">
        <v>2000000</v>
      </c>
    </row>
    <row r="831" spans="1:6" x14ac:dyDescent="0.25">
      <c r="A831" s="272">
        <v>45891</v>
      </c>
      <c r="B831" s="37" t="s">
        <v>3455</v>
      </c>
      <c r="C831" s="142" t="s">
        <v>2568</v>
      </c>
      <c r="D831" s="172" t="s">
        <v>202</v>
      </c>
      <c r="E831" s="303"/>
      <c r="F831" s="289">
        <v>2500</v>
      </c>
    </row>
    <row r="832" spans="1:6" x14ac:dyDescent="0.25">
      <c r="A832" s="232">
        <v>45894</v>
      </c>
      <c r="B832" s="9" t="s">
        <v>3457</v>
      </c>
      <c r="C832" s="113" t="s">
        <v>2568</v>
      </c>
      <c r="D832" s="173" t="s">
        <v>3458</v>
      </c>
      <c r="E832" s="303"/>
      <c r="F832" s="301">
        <v>200000</v>
      </c>
    </row>
    <row r="833" spans="1:6" x14ac:dyDescent="0.25">
      <c r="A833" s="232">
        <v>45894</v>
      </c>
      <c r="B833" s="9" t="s">
        <v>3457</v>
      </c>
      <c r="C833" s="113" t="s">
        <v>2568</v>
      </c>
      <c r="D833" s="173" t="s">
        <v>3448</v>
      </c>
      <c r="E833" s="303"/>
      <c r="F833" s="301">
        <v>2500</v>
      </c>
    </row>
    <row r="834" spans="1:6" x14ac:dyDescent="0.25">
      <c r="A834" s="232">
        <v>45894</v>
      </c>
      <c r="B834" s="9" t="s">
        <v>3457</v>
      </c>
      <c r="C834" s="113" t="s">
        <v>2568</v>
      </c>
      <c r="D834" s="12" t="s">
        <v>3459</v>
      </c>
      <c r="E834" s="303"/>
      <c r="F834" s="301">
        <v>400000</v>
      </c>
    </row>
    <row r="835" spans="1:6" x14ac:dyDescent="0.25">
      <c r="A835" s="232">
        <v>45894</v>
      </c>
      <c r="B835" s="9" t="s">
        <v>3457</v>
      </c>
      <c r="C835" s="113" t="s">
        <v>2568</v>
      </c>
      <c r="D835" s="12" t="s">
        <v>3448</v>
      </c>
      <c r="E835" s="303"/>
      <c r="F835" s="301">
        <v>2500</v>
      </c>
    </row>
    <row r="836" spans="1:6" x14ac:dyDescent="0.25">
      <c r="A836" s="232">
        <v>45894</v>
      </c>
      <c r="B836" s="9" t="s">
        <v>3457</v>
      </c>
      <c r="C836" s="113" t="s">
        <v>2568</v>
      </c>
      <c r="D836" s="12" t="s">
        <v>3460</v>
      </c>
      <c r="E836" s="303"/>
      <c r="F836" s="301">
        <v>331000</v>
      </c>
    </row>
    <row r="837" spans="1:6" x14ac:dyDescent="0.25">
      <c r="A837" s="232">
        <v>45894</v>
      </c>
      <c r="B837" s="9" t="s">
        <v>3457</v>
      </c>
      <c r="C837" s="113" t="s">
        <v>2568</v>
      </c>
      <c r="D837" s="12" t="s">
        <v>3448</v>
      </c>
      <c r="E837" s="303"/>
      <c r="F837" s="301">
        <v>2500</v>
      </c>
    </row>
    <row r="838" spans="1:6" x14ac:dyDescent="0.25">
      <c r="A838" s="232">
        <v>45894</v>
      </c>
      <c r="B838" s="9" t="s">
        <v>3457</v>
      </c>
      <c r="C838" s="113" t="s">
        <v>2568</v>
      </c>
      <c r="D838" s="12" t="s">
        <v>3461</v>
      </c>
      <c r="E838" s="303"/>
      <c r="F838" s="301">
        <v>306000</v>
      </c>
    </row>
    <row r="839" spans="1:6" x14ac:dyDescent="0.25">
      <c r="A839" s="232">
        <v>45894</v>
      </c>
      <c r="B839" s="9" t="s">
        <v>3457</v>
      </c>
      <c r="C839" s="113" t="s">
        <v>2568</v>
      </c>
      <c r="D839" s="12" t="s">
        <v>3448</v>
      </c>
      <c r="E839" s="303"/>
      <c r="F839" s="301">
        <v>2500</v>
      </c>
    </row>
    <row r="840" spans="1:6" x14ac:dyDescent="0.25">
      <c r="A840" s="232">
        <v>45894</v>
      </c>
      <c r="B840" s="9" t="s">
        <v>3462</v>
      </c>
      <c r="C840" s="142" t="s">
        <v>2568</v>
      </c>
      <c r="D840" s="172" t="s">
        <v>3463</v>
      </c>
      <c r="E840" s="303"/>
      <c r="F840" s="289">
        <v>40000</v>
      </c>
    </row>
    <row r="841" spans="1:6" x14ac:dyDescent="0.25">
      <c r="A841" s="232">
        <v>45894</v>
      </c>
      <c r="B841" s="9" t="s">
        <v>3464</v>
      </c>
      <c r="C841" s="142" t="s">
        <v>2568</v>
      </c>
      <c r="D841" s="172" t="s">
        <v>3465</v>
      </c>
      <c r="E841" s="304"/>
      <c r="F841" s="289">
        <v>2222500</v>
      </c>
    </row>
    <row r="842" spans="1:6" x14ac:dyDescent="0.25">
      <c r="A842" s="232">
        <v>45894</v>
      </c>
      <c r="B842" s="9" t="s">
        <v>3464</v>
      </c>
      <c r="C842" s="142" t="s">
        <v>2568</v>
      </c>
      <c r="D842" s="172" t="s">
        <v>3466</v>
      </c>
      <c r="E842" s="304"/>
      <c r="F842" s="289">
        <v>20000000</v>
      </c>
    </row>
    <row r="843" spans="1:6" x14ac:dyDescent="0.25">
      <c r="A843" s="232">
        <v>45894</v>
      </c>
      <c r="B843" s="9" t="s">
        <v>3464</v>
      </c>
      <c r="C843" s="142" t="s">
        <v>2568</v>
      </c>
      <c r="D843" s="172" t="s">
        <v>2539</v>
      </c>
      <c r="E843" s="304"/>
      <c r="F843" s="289">
        <v>2500</v>
      </c>
    </row>
    <row r="844" spans="1:6" x14ac:dyDescent="0.25">
      <c r="A844" s="232">
        <v>45894</v>
      </c>
      <c r="B844" s="9" t="s">
        <v>3464</v>
      </c>
      <c r="C844" s="142" t="s">
        <v>2568</v>
      </c>
      <c r="D844" s="172" t="s">
        <v>3467</v>
      </c>
      <c r="E844" s="304"/>
      <c r="F844" s="289">
        <v>75500</v>
      </c>
    </row>
    <row r="845" spans="1:6" x14ac:dyDescent="0.25">
      <c r="A845" s="232">
        <v>45894</v>
      </c>
      <c r="B845" s="9" t="s">
        <v>3464</v>
      </c>
      <c r="C845" s="142" t="s">
        <v>2568</v>
      </c>
      <c r="D845" s="172" t="s">
        <v>3468</v>
      </c>
      <c r="E845" s="304"/>
      <c r="F845" s="289">
        <v>667500</v>
      </c>
    </row>
    <row r="846" spans="1:6" x14ac:dyDescent="0.25">
      <c r="A846" s="232">
        <v>45895</v>
      </c>
      <c r="B846" s="9" t="s">
        <v>3469</v>
      </c>
      <c r="C846" s="142" t="s">
        <v>2568</v>
      </c>
      <c r="D846" s="172" t="s">
        <v>3470</v>
      </c>
      <c r="E846" s="304"/>
      <c r="F846" s="289">
        <v>250000</v>
      </c>
    </row>
    <row r="847" spans="1:6" x14ac:dyDescent="0.25">
      <c r="A847" s="232">
        <v>45895</v>
      </c>
      <c r="B847" s="9" t="s">
        <v>3469</v>
      </c>
      <c r="C847" s="142" t="s">
        <v>2568</v>
      </c>
      <c r="D847" s="172" t="s">
        <v>3471</v>
      </c>
      <c r="E847" s="304"/>
      <c r="F847" s="289">
        <v>2800000</v>
      </c>
    </row>
    <row r="848" spans="1:6" x14ac:dyDescent="0.25">
      <c r="A848" s="232">
        <v>45895</v>
      </c>
      <c r="B848" s="9" t="s">
        <v>3469</v>
      </c>
      <c r="C848" s="142" t="s">
        <v>2568</v>
      </c>
      <c r="D848" s="172" t="s">
        <v>202</v>
      </c>
      <c r="E848" s="304"/>
      <c r="F848" s="289">
        <v>2500</v>
      </c>
    </row>
    <row r="849" spans="1:6" x14ac:dyDescent="0.25">
      <c r="A849" s="232">
        <v>45895</v>
      </c>
      <c r="B849" s="9" t="s">
        <v>3469</v>
      </c>
      <c r="C849" s="142" t="s">
        <v>2568</v>
      </c>
      <c r="D849" s="172" t="s">
        <v>3472</v>
      </c>
      <c r="E849" s="304"/>
      <c r="F849" s="289">
        <v>2100000</v>
      </c>
    </row>
    <row r="850" spans="1:6" x14ac:dyDescent="0.25">
      <c r="A850" s="232">
        <v>45895</v>
      </c>
      <c r="B850" s="9" t="s">
        <v>3469</v>
      </c>
      <c r="C850" s="142" t="s">
        <v>2568</v>
      </c>
      <c r="D850" s="172" t="s">
        <v>3473</v>
      </c>
      <c r="E850" s="304"/>
      <c r="F850" s="289">
        <v>-42000</v>
      </c>
    </row>
    <row r="851" spans="1:6" x14ac:dyDescent="0.25">
      <c r="A851" s="232">
        <v>45895</v>
      </c>
      <c r="B851" s="9" t="s">
        <v>3469</v>
      </c>
      <c r="C851" s="142" t="s">
        <v>2568</v>
      </c>
      <c r="D851" s="172" t="s">
        <v>202</v>
      </c>
      <c r="E851" s="304"/>
      <c r="F851" s="289">
        <v>2500</v>
      </c>
    </row>
    <row r="852" spans="1:6" x14ac:dyDescent="0.25">
      <c r="A852" s="232">
        <v>45895</v>
      </c>
      <c r="B852" s="9" t="s">
        <v>3474</v>
      </c>
      <c r="C852" s="112" t="s">
        <v>2568</v>
      </c>
      <c r="D852" s="17" t="s">
        <v>3475</v>
      </c>
      <c r="E852" s="303"/>
      <c r="F852" s="299">
        <v>6300000</v>
      </c>
    </row>
    <row r="853" spans="1:6" x14ac:dyDescent="0.25">
      <c r="A853" s="232">
        <v>45895</v>
      </c>
      <c r="B853" s="9" t="s">
        <v>3474</v>
      </c>
      <c r="C853" s="112" t="s">
        <v>2568</v>
      </c>
      <c r="D853" s="17" t="s">
        <v>3476</v>
      </c>
      <c r="E853" s="303"/>
      <c r="F853" s="299">
        <v>-157500</v>
      </c>
    </row>
    <row r="854" spans="1:6" x14ac:dyDescent="0.25">
      <c r="A854" s="232">
        <v>45895</v>
      </c>
      <c r="B854" s="9" t="s">
        <v>3474</v>
      </c>
      <c r="C854" s="112" t="s">
        <v>2568</v>
      </c>
      <c r="D854" s="17" t="s">
        <v>3477</v>
      </c>
      <c r="E854" s="303"/>
      <c r="F854" s="299">
        <v>2500</v>
      </c>
    </row>
    <row r="855" spans="1:6" x14ac:dyDescent="0.25">
      <c r="A855" s="232">
        <v>45895</v>
      </c>
      <c r="B855" s="9" t="s">
        <v>3474</v>
      </c>
      <c r="C855" s="112" t="s">
        <v>2568</v>
      </c>
      <c r="D855" s="17" t="s">
        <v>3478</v>
      </c>
      <c r="E855" s="303"/>
      <c r="F855" s="299">
        <v>264500</v>
      </c>
    </row>
    <row r="856" spans="1:6" x14ac:dyDescent="0.25">
      <c r="A856" s="232">
        <v>45895</v>
      </c>
      <c r="B856" s="9" t="s">
        <v>3474</v>
      </c>
      <c r="C856" s="112" t="s">
        <v>2568</v>
      </c>
      <c r="D856" s="17" t="s">
        <v>3479</v>
      </c>
      <c r="E856" s="303"/>
      <c r="F856" s="299">
        <v>270000</v>
      </c>
    </row>
    <row r="857" spans="1:6" x14ac:dyDescent="0.25">
      <c r="A857" s="232">
        <v>45895</v>
      </c>
      <c r="B857" s="9" t="s">
        <v>3474</v>
      </c>
      <c r="C857" s="112" t="s">
        <v>2568</v>
      </c>
      <c r="D857" s="17" t="s">
        <v>3477</v>
      </c>
      <c r="E857" s="303"/>
      <c r="F857" s="299">
        <v>2500</v>
      </c>
    </row>
    <row r="858" spans="1:6" x14ac:dyDescent="0.25">
      <c r="A858" s="232">
        <v>45895</v>
      </c>
      <c r="B858" s="9" t="s">
        <v>3474</v>
      </c>
      <c r="C858" s="112" t="s">
        <v>2568</v>
      </c>
      <c r="D858" s="17" t="s">
        <v>3480</v>
      </c>
      <c r="E858" s="303"/>
      <c r="F858" s="299">
        <v>146000</v>
      </c>
    </row>
    <row r="859" spans="1:6" x14ac:dyDescent="0.25">
      <c r="A859" s="232">
        <v>45895</v>
      </c>
      <c r="B859" s="9" t="s">
        <v>3474</v>
      </c>
      <c r="C859" s="112" t="s">
        <v>2568</v>
      </c>
      <c r="D859" s="17" t="s">
        <v>3481</v>
      </c>
      <c r="E859" s="303"/>
      <c r="F859" s="299">
        <v>89500</v>
      </c>
    </row>
    <row r="860" spans="1:6" x14ac:dyDescent="0.25">
      <c r="A860" s="232">
        <v>45896</v>
      </c>
      <c r="B860" s="9" t="s">
        <v>3482</v>
      </c>
      <c r="C860" s="112" t="s">
        <v>2568</v>
      </c>
      <c r="D860" s="175" t="s">
        <v>3483</v>
      </c>
      <c r="E860" s="303"/>
      <c r="F860" s="283">
        <v>297000</v>
      </c>
    </row>
    <row r="861" spans="1:6" x14ac:dyDescent="0.25">
      <c r="A861" s="232">
        <v>45896</v>
      </c>
      <c r="B861" s="9" t="s">
        <v>3482</v>
      </c>
      <c r="C861" s="142" t="s">
        <v>2568</v>
      </c>
      <c r="D861" s="191" t="s">
        <v>3484</v>
      </c>
      <c r="E861" s="303"/>
      <c r="F861" s="305">
        <v>433000</v>
      </c>
    </row>
    <row r="862" spans="1:6" x14ac:dyDescent="0.25">
      <c r="A862" s="232">
        <v>45896</v>
      </c>
      <c r="B862" s="9" t="s">
        <v>3482</v>
      </c>
      <c r="C862" s="142" t="s">
        <v>2568</v>
      </c>
      <c r="D862" s="191" t="s">
        <v>3485</v>
      </c>
      <c r="E862" s="303"/>
      <c r="F862" s="305">
        <v>1400000</v>
      </c>
    </row>
    <row r="863" spans="1:6" x14ac:dyDescent="0.25">
      <c r="A863" s="232">
        <v>45896</v>
      </c>
      <c r="B863" s="9" t="s">
        <v>3482</v>
      </c>
      <c r="C863" s="142" t="s">
        <v>2568</v>
      </c>
      <c r="D863" s="191" t="s">
        <v>3486</v>
      </c>
      <c r="E863" s="303"/>
      <c r="F863" s="305">
        <v>1200000</v>
      </c>
    </row>
    <row r="864" spans="1:6" x14ac:dyDescent="0.25">
      <c r="A864" s="232">
        <v>45896</v>
      </c>
      <c r="B864" s="9" t="s">
        <v>3482</v>
      </c>
      <c r="C864" s="142" t="s">
        <v>2568</v>
      </c>
      <c r="D864" s="191" t="s">
        <v>3487</v>
      </c>
      <c r="E864" s="303"/>
      <c r="F864" s="305">
        <v>-24000</v>
      </c>
    </row>
    <row r="865" spans="1:6" x14ac:dyDescent="0.25">
      <c r="A865" s="232">
        <v>45896</v>
      </c>
      <c r="B865" s="9" t="s">
        <v>3482</v>
      </c>
      <c r="C865" s="142" t="s">
        <v>2568</v>
      </c>
      <c r="D865" s="191" t="s">
        <v>3488</v>
      </c>
      <c r="E865" s="303"/>
      <c r="F865" s="305">
        <v>2500</v>
      </c>
    </row>
    <row r="866" spans="1:6" x14ac:dyDescent="0.25">
      <c r="A866" s="232">
        <v>45896</v>
      </c>
      <c r="B866" s="9" t="s">
        <v>3482</v>
      </c>
      <c r="C866" s="142" t="s">
        <v>2568</v>
      </c>
      <c r="D866" s="191" t="s">
        <v>3489</v>
      </c>
      <c r="E866" s="303"/>
      <c r="F866" s="305">
        <v>200000</v>
      </c>
    </row>
    <row r="867" spans="1:6" x14ac:dyDescent="0.25">
      <c r="A867" s="232">
        <v>45896</v>
      </c>
      <c r="B867" s="9" t="s">
        <v>3482</v>
      </c>
      <c r="C867" s="142" t="s">
        <v>2568</v>
      </c>
      <c r="D867" s="191" t="s">
        <v>3490</v>
      </c>
      <c r="E867" s="303"/>
      <c r="F867" s="305">
        <v>-4000</v>
      </c>
    </row>
    <row r="868" spans="1:6" x14ac:dyDescent="0.25">
      <c r="A868" s="232">
        <v>45896</v>
      </c>
      <c r="B868" s="9" t="s">
        <v>3482</v>
      </c>
      <c r="C868" s="142" t="s">
        <v>2568</v>
      </c>
      <c r="D868" s="191" t="s">
        <v>3488</v>
      </c>
      <c r="E868" s="303"/>
      <c r="F868" s="305">
        <v>2500</v>
      </c>
    </row>
    <row r="869" spans="1:6" x14ac:dyDescent="0.25">
      <c r="A869" s="232">
        <v>45896</v>
      </c>
      <c r="B869" s="11" t="s">
        <v>3482</v>
      </c>
      <c r="C869" s="112" t="s">
        <v>2568</v>
      </c>
      <c r="D869" s="175" t="s">
        <v>3491</v>
      </c>
      <c r="E869" s="306"/>
      <c r="F869" s="283">
        <v>202500</v>
      </c>
    </row>
    <row r="870" spans="1:6" x14ac:dyDescent="0.25">
      <c r="A870" s="232">
        <v>45897</v>
      </c>
      <c r="B870" s="11" t="s">
        <v>3492</v>
      </c>
      <c r="C870" s="113" t="s">
        <v>2568</v>
      </c>
      <c r="D870" s="12" t="s">
        <v>3493</v>
      </c>
      <c r="E870" s="307"/>
      <c r="F870" s="285">
        <v>510000</v>
      </c>
    </row>
    <row r="871" spans="1:6" x14ac:dyDescent="0.25">
      <c r="A871" s="232">
        <v>45897</v>
      </c>
      <c r="B871" s="11" t="s">
        <v>3492</v>
      </c>
      <c r="C871" s="113" t="s">
        <v>2568</v>
      </c>
      <c r="D871" s="12" t="s">
        <v>202</v>
      </c>
      <c r="E871" s="307"/>
      <c r="F871" s="285">
        <v>2500</v>
      </c>
    </row>
    <row r="872" spans="1:6" x14ac:dyDescent="0.25">
      <c r="A872" s="232">
        <v>45897</v>
      </c>
      <c r="B872" s="11" t="s">
        <v>3492</v>
      </c>
      <c r="C872" s="113" t="s">
        <v>2568</v>
      </c>
      <c r="D872" s="12" t="s">
        <v>3494</v>
      </c>
      <c r="E872" s="307"/>
      <c r="F872" s="285">
        <v>2220000</v>
      </c>
    </row>
    <row r="873" spans="1:6" x14ac:dyDescent="0.25">
      <c r="A873" s="232">
        <v>45897</v>
      </c>
      <c r="B873" s="11" t="s">
        <v>3492</v>
      </c>
      <c r="C873" s="113" t="s">
        <v>2568</v>
      </c>
      <c r="D873" s="12" t="s">
        <v>206</v>
      </c>
      <c r="E873" s="307"/>
      <c r="F873" s="285">
        <v>2500</v>
      </c>
    </row>
    <row r="874" spans="1:6" x14ac:dyDescent="0.25">
      <c r="A874" s="232">
        <v>45897</v>
      </c>
      <c r="B874" s="9" t="s">
        <v>3492</v>
      </c>
      <c r="C874" s="113" t="s">
        <v>2568</v>
      </c>
      <c r="D874" s="12" t="s">
        <v>3495</v>
      </c>
      <c r="E874" s="308"/>
      <c r="F874" s="285">
        <v>400000</v>
      </c>
    </row>
    <row r="875" spans="1:6" x14ac:dyDescent="0.25">
      <c r="A875" s="232">
        <v>45897</v>
      </c>
      <c r="B875" s="9" t="s">
        <v>3492</v>
      </c>
      <c r="C875" s="113" t="s">
        <v>2568</v>
      </c>
      <c r="D875" s="12" t="s">
        <v>206</v>
      </c>
      <c r="E875" s="308"/>
      <c r="F875" s="301">
        <v>2500</v>
      </c>
    </row>
    <row r="876" spans="1:6" x14ac:dyDescent="0.25">
      <c r="A876" s="232">
        <v>45897</v>
      </c>
      <c r="B876" s="9" t="s">
        <v>3492</v>
      </c>
      <c r="C876" s="113" t="s">
        <v>2568</v>
      </c>
      <c r="D876" s="12" t="s">
        <v>3496</v>
      </c>
      <c r="E876" s="308"/>
      <c r="F876" s="285">
        <v>436000</v>
      </c>
    </row>
    <row r="877" spans="1:6" x14ac:dyDescent="0.25">
      <c r="A877" s="232">
        <v>45898</v>
      </c>
      <c r="B877" s="9" t="s">
        <v>3497</v>
      </c>
      <c r="C877" s="142" t="s">
        <v>2568</v>
      </c>
      <c r="D877" s="191" t="s">
        <v>3498</v>
      </c>
      <c r="E877" s="303"/>
      <c r="F877" s="305">
        <v>72500</v>
      </c>
    </row>
    <row r="878" spans="1:6" x14ac:dyDescent="0.25">
      <c r="A878" s="232">
        <v>45898</v>
      </c>
      <c r="B878" s="9" t="s">
        <v>3497</v>
      </c>
      <c r="C878" s="142" t="s">
        <v>2568</v>
      </c>
      <c r="D878" s="191" t="s">
        <v>3499</v>
      </c>
      <c r="E878" s="303"/>
      <c r="F878" s="305">
        <v>824500</v>
      </c>
    </row>
    <row r="879" spans="1:6" x14ac:dyDescent="0.25">
      <c r="A879" s="271">
        <v>45898</v>
      </c>
      <c r="B879" s="15" t="s">
        <v>4396</v>
      </c>
      <c r="C879" s="113" t="s">
        <v>2568</v>
      </c>
      <c r="D879" s="16" t="s">
        <v>4397</v>
      </c>
      <c r="E879" s="309"/>
      <c r="F879" s="289">
        <v>114000</v>
      </c>
    </row>
    <row r="880" spans="1:6" x14ac:dyDescent="0.25">
      <c r="A880" s="271">
        <v>45898</v>
      </c>
      <c r="B880" s="15" t="s">
        <v>4396</v>
      </c>
      <c r="C880" s="113" t="s">
        <v>2568</v>
      </c>
      <c r="D880" s="16" t="s">
        <v>4398</v>
      </c>
      <c r="E880" s="309"/>
      <c r="F880" s="289">
        <v>683000</v>
      </c>
    </row>
    <row r="881" spans="1:6" x14ac:dyDescent="0.25">
      <c r="A881" s="271">
        <v>45900</v>
      </c>
      <c r="B881" s="15" t="s">
        <v>4399</v>
      </c>
      <c r="C881" s="277" t="s">
        <v>2568</v>
      </c>
      <c r="D881" s="203" t="s">
        <v>4400</v>
      </c>
      <c r="E881" s="309"/>
      <c r="F881" s="289">
        <v>80000</v>
      </c>
    </row>
    <row r="882" spans="1:6" x14ac:dyDescent="0.25">
      <c r="A882" s="271">
        <v>45900</v>
      </c>
      <c r="B882" s="15" t="s">
        <v>4399</v>
      </c>
      <c r="C882" s="277" t="s">
        <v>2568</v>
      </c>
      <c r="D882" s="203" t="s">
        <v>4401</v>
      </c>
      <c r="E882" s="309"/>
      <c r="F882" s="289">
        <v>420000</v>
      </c>
    </row>
    <row r="883" spans="1:6" x14ac:dyDescent="0.25">
      <c r="A883" s="230">
        <v>45902</v>
      </c>
      <c r="B883" s="11" t="s">
        <v>4402</v>
      </c>
      <c r="C883" s="112" t="s">
        <v>2568</v>
      </c>
      <c r="D883" s="204" t="s">
        <v>4403</v>
      </c>
      <c r="E883" s="293"/>
      <c r="F883" s="289">
        <v>4500000</v>
      </c>
    </row>
    <row r="884" spans="1:6" x14ac:dyDescent="0.25">
      <c r="A884" s="230">
        <v>45902</v>
      </c>
      <c r="B884" s="11" t="s">
        <v>4402</v>
      </c>
      <c r="C884" s="112" t="s">
        <v>2568</v>
      </c>
      <c r="D884" s="204" t="s">
        <v>4404</v>
      </c>
      <c r="E884" s="293"/>
      <c r="F884" s="289">
        <v>-90000</v>
      </c>
    </row>
    <row r="885" spans="1:6" x14ac:dyDescent="0.25">
      <c r="A885" s="230">
        <v>45902</v>
      </c>
      <c r="B885" s="11" t="s">
        <v>4402</v>
      </c>
      <c r="C885" s="112" t="s">
        <v>2568</v>
      </c>
      <c r="D885" s="204" t="s">
        <v>3477</v>
      </c>
      <c r="E885" s="293"/>
      <c r="F885" s="289">
        <v>2500</v>
      </c>
    </row>
    <row r="886" spans="1:6" x14ac:dyDescent="0.25">
      <c r="A886" s="230">
        <v>45902</v>
      </c>
      <c r="B886" s="11" t="s">
        <v>4402</v>
      </c>
      <c r="C886" s="112" t="s">
        <v>2568</v>
      </c>
      <c r="D886" s="204" t="s">
        <v>4405</v>
      </c>
      <c r="E886" s="293"/>
      <c r="F886" s="289">
        <v>520000</v>
      </c>
    </row>
    <row r="887" spans="1:6" x14ac:dyDescent="0.25">
      <c r="A887" s="230">
        <v>45902</v>
      </c>
      <c r="B887" s="11" t="s">
        <v>4402</v>
      </c>
      <c r="C887" s="112" t="s">
        <v>2568</v>
      </c>
      <c r="D887" s="204" t="s">
        <v>4406</v>
      </c>
      <c r="E887" s="293"/>
      <c r="F887" s="289">
        <v>99000</v>
      </c>
    </row>
    <row r="888" spans="1:6" x14ac:dyDescent="0.25">
      <c r="A888" s="230">
        <v>45903</v>
      </c>
      <c r="B888" s="11" t="s">
        <v>4407</v>
      </c>
      <c r="C888" s="113" t="s">
        <v>2568</v>
      </c>
      <c r="D888" s="16" t="s">
        <v>4408</v>
      </c>
      <c r="E888" s="293"/>
      <c r="F888" s="285">
        <v>948235</v>
      </c>
    </row>
    <row r="889" spans="1:6" x14ac:dyDescent="0.25">
      <c r="A889" s="230">
        <v>45903</v>
      </c>
      <c r="B889" s="11" t="s">
        <v>4407</v>
      </c>
      <c r="C889" s="113" t="s">
        <v>2568</v>
      </c>
      <c r="D889" s="16" t="s">
        <v>4409</v>
      </c>
      <c r="E889" s="293"/>
      <c r="F889" s="285">
        <v>150000</v>
      </c>
    </row>
    <row r="890" spans="1:6" x14ac:dyDescent="0.25">
      <c r="A890" s="230">
        <v>45903</v>
      </c>
      <c r="B890" s="11" t="s">
        <v>4410</v>
      </c>
      <c r="C890" s="112" t="s">
        <v>2568</v>
      </c>
      <c r="D890" s="205" t="s">
        <v>4411</v>
      </c>
      <c r="E890" s="293"/>
      <c r="F890" s="289">
        <v>490000</v>
      </c>
    </row>
    <row r="891" spans="1:6" x14ac:dyDescent="0.25">
      <c r="A891" s="230">
        <v>45903</v>
      </c>
      <c r="B891" s="11" t="s">
        <v>4410</v>
      </c>
      <c r="C891" s="112" t="s">
        <v>2568</v>
      </c>
      <c r="D891" s="205" t="s">
        <v>4412</v>
      </c>
      <c r="E891" s="293"/>
      <c r="F891" s="289">
        <v>560000</v>
      </c>
    </row>
    <row r="892" spans="1:6" x14ac:dyDescent="0.25">
      <c r="A892" s="230">
        <v>45903</v>
      </c>
      <c r="B892" s="11" t="s">
        <v>4410</v>
      </c>
      <c r="C892" s="112" t="s">
        <v>2568</v>
      </c>
      <c r="D892" s="205" t="s">
        <v>50</v>
      </c>
      <c r="E892" s="293"/>
      <c r="F892" s="289">
        <v>2500</v>
      </c>
    </row>
    <row r="893" spans="1:6" x14ac:dyDescent="0.25">
      <c r="A893" s="230">
        <v>45904</v>
      </c>
      <c r="B893" s="11" t="s">
        <v>4413</v>
      </c>
      <c r="C893" s="112" t="s">
        <v>2568</v>
      </c>
      <c r="D893" s="206" t="s">
        <v>4414</v>
      </c>
      <c r="E893" s="293"/>
      <c r="F893" s="289">
        <v>5040000</v>
      </c>
    </row>
    <row r="894" spans="1:6" x14ac:dyDescent="0.25">
      <c r="A894" s="230">
        <v>45904</v>
      </c>
      <c r="B894" s="11" t="s">
        <v>4413</v>
      </c>
      <c r="C894" s="112" t="s">
        <v>2568</v>
      </c>
      <c r="D894" s="206" t="s">
        <v>4415</v>
      </c>
      <c r="E894" s="293"/>
      <c r="F894" s="289">
        <v>6600000</v>
      </c>
    </row>
    <row r="895" spans="1:6" x14ac:dyDescent="0.25">
      <c r="A895" s="230">
        <v>45904</v>
      </c>
      <c r="B895" s="11" t="s">
        <v>4413</v>
      </c>
      <c r="C895" s="112" t="s">
        <v>2568</v>
      </c>
      <c r="D895" s="206" t="s">
        <v>4416</v>
      </c>
      <c r="E895" s="293"/>
      <c r="F895" s="289">
        <v>8360000</v>
      </c>
    </row>
    <row r="896" spans="1:6" x14ac:dyDescent="0.25">
      <c r="A896" s="230">
        <v>45904</v>
      </c>
      <c r="B896" s="11" t="s">
        <v>4417</v>
      </c>
      <c r="C896" s="112" t="s">
        <v>2568</v>
      </c>
      <c r="D896" s="223" t="s">
        <v>4418</v>
      </c>
      <c r="E896" s="293"/>
      <c r="F896" s="283">
        <v>160000</v>
      </c>
    </row>
    <row r="897" spans="1:6" x14ac:dyDescent="0.25">
      <c r="A897" s="230">
        <v>45908</v>
      </c>
      <c r="B897" s="11" t="s">
        <v>4419</v>
      </c>
      <c r="C897" s="112" t="s">
        <v>2568</v>
      </c>
      <c r="D897" s="223" t="s">
        <v>4420</v>
      </c>
      <c r="E897" s="293"/>
      <c r="F897" s="283">
        <v>1955500</v>
      </c>
    </row>
    <row r="898" spans="1:6" x14ac:dyDescent="0.25">
      <c r="A898" s="230">
        <v>45908</v>
      </c>
      <c r="B898" s="11" t="s">
        <v>4419</v>
      </c>
      <c r="C898" s="112" t="s">
        <v>2568</v>
      </c>
      <c r="D898" s="223" t="s">
        <v>4421</v>
      </c>
      <c r="E898" s="293"/>
      <c r="F898" s="283">
        <v>259000</v>
      </c>
    </row>
    <row r="899" spans="1:6" x14ac:dyDescent="0.25">
      <c r="A899" s="230">
        <v>45908</v>
      </c>
      <c r="B899" s="11" t="s">
        <v>4422</v>
      </c>
      <c r="C899" s="113" t="s">
        <v>2568</v>
      </c>
      <c r="D899" s="16" t="s">
        <v>4423</v>
      </c>
      <c r="E899" s="293"/>
      <c r="F899" s="285">
        <v>8800000</v>
      </c>
    </row>
    <row r="900" spans="1:6" x14ac:dyDescent="0.25">
      <c r="A900" s="230">
        <v>45908</v>
      </c>
      <c r="B900" s="11" t="s">
        <v>4422</v>
      </c>
      <c r="C900" s="113" t="s">
        <v>2568</v>
      </c>
      <c r="D900" s="16" t="s">
        <v>105</v>
      </c>
      <c r="E900" s="293"/>
      <c r="F900" s="285">
        <v>2500</v>
      </c>
    </row>
    <row r="901" spans="1:6" x14ac:dyDescent="0.25">
      <c r="A901" s="230">
        <v>45908</v>
      </c>
      <c r="B901" s="11" t="s">
        <v>4422</v>
      </c>
      <c r="C901" s="113" t="s">
        <v>2568</v>
      </c>
      <c r="D901" s="16" t="s">
        <v>4424</v>
      </c>
      <c r="E901" s="293"/>
      <c r="F901" s="285">
        <v>280000</v>
      </c>
    </row>
    <row r="902" spans="1:6" x14ac:dyDescent="0.25">
      <c r="A902" s="230">
        <v>45908</v>
      </c>
      <c r="B902" s="11" t="s">
        <v>4422</v>
      </c>
      <c r="C902" s="113" t="s">
        <v>2568</v>
      </c>
      <c r="D902" s="16" t="s">
        <v>105</v>
      </c>
      <c r="E902" s="293"/>
      <c r="F902" s="285">
        <v>2500</v>
      </c>
    </row>
    <row r="903" spans="1:6" x14ac:dyDescent="0.25">
      <c r="A903" s="230">
        <v>45908</v>
      </c>
      <c r="B903" s="11" t="s">
        <v>4422</v>
      </c>
      <c r="C903" s="113" t="s">
        <v>2568</v>
      </c>
      <c r="D903" s="16" t="s">
        <v>4425</v>
      </c>
      <c r="E903" s="293"/>
      <c r="F903" s="285">
        <v>235000</v>
      </c>
    </row>
    <row r="904" spans="1:6" x14ac:dyDescent="0.25">
      <c r="A904" s="230">
        <v>45908</v>
      </c>
      <c r="B904" s="11" t="s">
        <v>4422</v>
      </c>
      <c r="C904" s="113" t="s">
        <v>2568</v>
      </c>
      <c r="D904" s="16" t="s">
        <v>105</v>
      </c>
      <c r="E904" s="293"/>
      <c r="F904" s="285">
        <v>2500</v>
      </c>
    </row>
    <row r="905" spans="1:6" x14ac:dyDescent="0.25">
      <c r="A905" s="230">
        <v>45908</v>
      </c>
      <c r="B905" s="11" t="s">
        <v>4422</v>
      </c>
      <c r="C905" s="113" t="s">
        <v>2568</v>
      </c>
      <c r="D905" s="16" t="s">
        <v>4426</v>
      </c>
      <c r="E905" s="293"/>
      <c r="F905" s="285">
        <v>1355600</v>
      </c>
    </row>
    <row r="906" spans="1:6" x14ac:dyDescent="0.25">
      <c r="A906" s="230">
        <v>45908</v>
      </c>
      <c r="B906" s="11" t="s">
        <v>4427</v>
      </c>
      <c r="C906" s="113" t="s">
        <v>2568</v>
      </c>
      <c r="D906" s="204" t="s">
        <v>4428</v>
      </c>
      <c r="E906" s="293"/>
      <c r="F906" s="285">
        <v>325000</v>
      </c>
    </row>
    <row r="907" spans="1:6" x14ac:dyDescent="0.25">
      <c r="A907" s="230">
        <v>45908</v>
      </c>
      <c r="B907" s="11" t="s">
        <v>4427</v>
      </c>
      <c r="C907" s="113" t="s">
        <v>2568</v>
      </c>
      <c r="D907" s="204" t="s">
        <v>3448</v>
      </c>
      <c r="E907" s="293"/>
      <c r="F907" s="285">
        <v>2500</v>
      </c>
    </row>
    <row r="908" spans="1:6" x14ac:dyDescent="0.25">
      <c r="A908" s="230">
        <v>45909</v>
      </c>
      <c r="B908" s="11" t="s">
        <v>4429</v>
      </c>
      <c r="C908" s="112" t="s">
        <v>2568</v>
      </c>
      <c r="D908" s="204" t="s">
        <v>4430</v>
      </c>
      <c r="E908" s="293"/>
      <c r="F908" s="289">
        <v>243500</v>
      </c>
    </row>
    <row r="909" spans="1:6" x14ac:dyDescent="0.25">
      <c r="A909" s="230">
        <v>45909</v>
      </c>
      <c r="B909" s="11" t="s">
        <v>4429</v>
      </c>
      <c r="C909" s="112" t="s">
        <v>2568</v>
      </c>
      <c r="D909" s="204" t="s">
        <v>4431</v>
      </c>
      <c r="E909" s="293"/>
      <c r="F909" s="289">
        <v>65110</v>
      </c>
    </row>
    <row r="910" spans="1:6" x14ac:dyDescent="0.25">
      <c r="A910" s="230">
        <v>45909</v>
      </c>
      <c r="B910" s="11" t="s">
        <v>4429</v>
      </c>
      <c r="C910" s="112" t="s">
        <v>2568</v>
      </c>
      <c r="D910" s="204" t="s">
        <v>4432</v>
      </c>
      <c r="E910" s="293"/>
      <c r="F910" s="289">
        <v>188200</v>
      </c>
    </row>
    <row r="911" spans="1:6" x14ac:dyDescent="0.25">
      <c r="A911" s="230">
        <v>45909</v>
      </c>
      <c r="B911" s="11" t="s">
        <v>4429</v>
      </c>
      <c r="C911" s="112" t="s">
        <v>2568</v>
      </c>
      <c r="D911" s="204" t="s">
        <v>4433</v>
      </c>
      <c r="E911" s="293"/>
      <c r="F911" s="289">
        <v>96100</v>
      </c>
    </row>
    <row r="912" spans="1:6" x14ac:dyDescent="0.25">
      <c r="A912" s="230">
        <v>45909</v>
      </c>
      <c r="B912" s="11" t="s">
        <v>4434</v>
      </c>
      <c r="C912" s="112" t="s">
        <v>2568</v>
      </c>
      <c r="D912" s="205" t="s">
        <v>4435</v>
      </c>
      <c r="E912" s="293">
        <v>113000</v>
      </c>
      <c r="F912" s="289"/>
    </row>
    <row r="913" spans="1:6" x14ac:dyDescent="0.25">
      <c r="A913" s="230">
        <v>45909</v>
      </c>
      <c r="B913" s="11" t="s">
        <v>4436</v>
      </c>
      <c r="C913" s="112" t="s">
        <v>2568</v>
      </c>
      <c r="D913" s="28" t="s">
        <v>4437</v>
      </c>
      <c r="E913" s="293"/>
      <c r="F913" s="289">
        <v>1000000</v>
      </c>
    </row>
    <row r="914" spans="1:6" x14ac:dyDescent="0.25">
      <c r="A914" s="230">
        <v>45909</v>
      </c>
      <c r="B914" s="11" t="s">
        <v>4436</v>
      </c>
      <c r="C914" s="112" t="s">
        <v>2568</v>
      </c>
      <c r="D914" s="28" t="s">
        <v>105</v>
      </c>
      <c r="E914" s="293"/>
      <c r="F914" s="289">
        <v>2500</v>
      </c>
    </row>
    <row r="915" spans="1:6" x14ac:dyDescent="0.25">
      <c r="A915" s="230">
        <v>45909</v>
      </c>
      <c r="B915" s="11" t="s">
        <v>4436</v>
      </c>
      <c r="C915" s="112" t="s">
        <v>2568</v>
      </c>
      <c r="D915" s="28" t="s">
        <v>4438</v>
      </c>
      <c r="E915" s="293"/>
      <c r="F915" s="289">
        <v>220000</v>
      </c>
    </row>
    <row r="916" spans="1:6" x14ac:dyDescent="0.25">
      <c r="A916" s="230">
        <v>45909</v>
      </c>
      <c r="B916" s="11" t="s">
        <v>4436</v>
      </c>
      <c r="C916" s="112" t="s">
        <v>2568</v>
      </c>
      <c r="D916" s="28" t="s">
        <v>105</v>
      </c>
      <c r="E916" s="293"/>
      <c r="F916" s="289">
        <v>2500</v>
      </c>
    </row>
    <row r="917" spans="1:6" x14ac:dyDescent="0.25">
      <c r="A917" s="230">
        <v>45909</v>
      </c>
      <c r="B917" s="11" t="s">
        <v>4436</v>
      </c>
      <c r="C917" s="112" t="s">
        <v>2568</v>
      </c>
      <c r="D917" s="28" t="s">
        <v>4439</v>
      </c>
      <c r="E917" s="293"/>
      <c r="F917" s="289">
        <v>2550000</v>
      </c>
    </row>
    <row r="918" spans="1:6" x14ac:dyDescent="0.25">
      <c r="A918" s="230">
        <v>45909</v>
      </c>
      <c r="B918" s="11" t="s">
        <v>4436</v>
      </c>
      <c r="C918" s="112" t="s">
        <v>2568</v>
      </c>
      <c r="D918" s="28" t="s">
        <v>105</v>
      </c>
      <c r="E918" s="293"/>
      <c r="F918" s="289">
        <v>2500</v>
      </c>
    </row>
    <row r="919" spans="1:6" x14ac:dyDescent="0.25">
      <c r="A919" s="271">
        <v>45910</v>
      </c>
      <c r="B919" s="15" t="s">
        <v>4440</v>
      </c>
      <c r="C919" s="113" t="s">
        <v>2568</v>
      </c>
      <c r="D919" s="208" t="s">
        <v>4441</v>
      </c>
      <c r="E919" s="309"/>
      <c r="F919" s="285">
        <v>144500</v>
      </c>
    </row>
    <row r="920" spans="1:6" x14ac:dyDescent="0.25">
      <c r="A920" s="230">
        <v>45911</v>
      </c>
      <c r="B920" s="11" t="s">
        <v>4442</v>
      </c>
      <c r="C920" s="112" t="s">
        <v>2568</v>
      </c>
      <c r="D920" s="223" t="s">
        <v>4443</v>
      </c>
      <c r="E920" s="293"/>
      <c r="F920" s="283">
        <v>6809000</v>
      </c>
    </row>
    <row r="921" spans="1:6" x14ac:dyDescent="0.25">
      <c r="A921" s="230">
        <v>45912</v>
      </c>
      <c r="B921" s="11" t="s">
        <v>4444</v>
      </c>
      <c r="C921" s="112" t="s">
        <v>2568</v>
      </c>
      <c r="D921" s="204" t="s">
        <v>4445</v>
      </c>
      <c r="E921" s="293"/>
      <c r="F921" s="289">
        <v>938270</v>
      </c>
    </row>
    <row r="922" spans="1:6" x14ac:dyDescent="0.25">
      <c r="A922" s="230">
        <v>45912</v>
      </c>
      <c r="B922" s="11" t="s">
        <v>4444</v>
      </c>
      <c r="C922" s="112" t="s">
        <v>2568</v>
      </c>
      <c r="D922" s="204" t="s">
        <v>4446</v>
      </c>
      <c r="E922" s="293"/>
      <c r="F922" s="289">
        <v>126000</v>
      </c>
    </row>
    <row r="923" spans="1:6" x14ac:dyDescent="0.25">
      <c r="A923" s="230">
        <v>45912</v>
      </c>
      <c r="B923" s="11" t="s">
        <v>4444</v>
      </c>
      <c r="C923" s="112" t="s">
        <v>2568</v>
      </c>
      <c r="D923" s="204" t="s">
        <v>4447</v>
      </c>
      <c r="E923" s="293"/>
      <c r="F923" s="289">
        <v>112000</v>
      </c>
    </row>
    <row r="924" spans="1:6" x14ac:dyDescent="0.25">
      <c r="A924" s="230">
        <v>45912</v>
      </c>
      <c r="B924" s="11" t="s">
        <v>4444</v>
      </c>
      <c r="C924" s="112" t="s">
        <v>2568</v>
      </c>
      <c r="D924" s="204" t="s">
        <v>4448</v>
      </c>
      <c r="E924" s="293"/>
      <c r="F924" s="289">
        <v>127800</v>
      </c>
    </row>
    <row r="925" spans="1:6" x14ac:dyDescent="0.25">
      <c r="A925" s="230">
        <v>45912</v>
      </c>
      <c r="B925" s="11" t="s">
        <v>4444</v>
      </c>
      <c r="C925" s="112" t="s">
        <v>2568</v>
      </c>
      <c r="D925" s="204" t="s">
        <v>4449</v>
      </c>
      <c r="E925" s="293"/>
      <c r="F925" s="289">
        <v>85000</v>
      </c>
    </row>
    <row r="926" spans="1:6" x14ac:dyDescent="0.25">
      <c r="A926" s="230">
        <v>45912</v>
      </c>
      <c r="B926" s="11" t="s">
        <v>4444</v>
      </c>
      <c r="C926" s="112" t="s">
        <v>2568</v>
      </c>
      <c r="D926" s="204" t="s">
        <v>4450</v>
      </c>
      <c r="E926" s="293"/>
      <c r="F926" s="289">
        <v>75433</v>
      </c>
    </row>
    <row r="927" spans="1:6" x14ac:dyDescent="0.25">
      <c r="A927" s="230">
        <v>45912</v>
      </c>
      <c r="B927" s="11" t="s">
        <v>4444</v>
      </c>
      <c r="C927" s="112" t="s">
        <v>2568</v>
      </c>
      <c r="D927" s="204" t="s">
        <v>4451</v>
      </c>
      <c r="E927" s="293"/>
      <c r="F927" s="289">
        <v>531200</v>
      </c>
    </row>
    <row r="928" spans="1:6" x14ac:dyDescent="0.25">
      <c r="A928" s="230">
        <v>45913</v>
      </c>
      <c r="B928" s="11" t="s">
        <v>4452</v>
      </c>
      <c r="C928" s="112" t="s">
        <v>2568</v>
      </c>
      <c r="D928" s="204" t="s">
        <v>4453</v>
      </c>
      <c r="E928" s="293"/>
      <c r="F928" s="289">
        <v>6026700</v>
      </c>
    </row>
    <row r="929" spans="1:6" x14ac:dyDescent="0.25">
      <c r="A929" s="230">
        <v>45914</v>
      </c>
      <c r="B929" s="11" t="s">
        <v>4454</v>
      </c>
      <c r="C929" s="112" t="s">
        <v>2568</v>
      </c>
      <c r="D929" s="28" t="s">
        <v>4455</v>
      </c>
      <c r="E929" s="293"/>
      <c r="F929" s="289">
        <v>3500000</v>
      </c>
    </row>
    <row r="930" spans="1:6" x14ac:dyDescent="0.25">
      <c r="A930" s="230">
        <v>45914</v>
      </c>
      <c r="B930" s="11" t="s">
        <v>4454</v>
      </c>
      <c r="C930" s="112" t="s">
        <v>2568</v>
      </c>
      <c r="D930" s="28" t="s">
        <v>2041</v>
      </c>
      <c r="E930" s="293"/>
      <c r="F930" s="289">
        <v>2500</v>
      </c>
    </row>
    <row r="931" spans="1:6" x14ac:dyDescent="0.25">
      <c r="A931" s="230">
        <v>45914</v>
      </c>
      <c r="B931" s="11" t="s">
        <v>4454</v>
      </c>
      <c r="C931" s="112" t="s">
        <v>2568</v>
      </c>
      <c r="D931" s="28" t="s">
        <v>4456</v>
      </c>
      <c r="E931" s="293"/>
      <c r="F931" s="289">
        <v>535600</v>
      </c>
    </row>
    <row r="932" spans="1:6" x14ac:dyDescent="0.25">
      <c r="A932" s="230">
        <v>45914</v>
      </c>
      <c r="B932" s="11" t="s">
        <v>4454</v>
      </c>
      <c r="C932" s="112" t="s">
        <v>2568</v>
      </c>
      <c r="D932" s="28" t="s">
        <v>4457</v>
      </c>
      <c r="E932" s="293"/>
      <c r="F932" s="289">
        <v>75000</v>
      </c>
    </row>
    <row r="933" spans="1:6" x14ac:dyDescent="0.25">
      <c r="A933" s="230">
        <v>45914</v>
      </c>
      <c r="B933" s="11" t="s">
        <v>4454</v>
      </c>
      <c r="C933" s="112" t="s">
        <v>2568</v>
      </c>
      <c r="D933" s="28" t="s">
        <v>2041</v>
      </c>
      <c r="E933" s="293"/>
      <c r="F933" s="289">
        <v>2500</v>
      </c>
    </row>
    <row r="934" spans="1:6" x14ac:dyDescent="0.25">
      <c r="A934" s="230">
        <v>45914</v>
      </c>
      <c r="B934" s="11" t="s">
        <v>4454</v>
      </c>
      <c r="C934" s="112" t="s">
        <v>2568</v>
      </c>
      <c r="D934" s="28" t="s">
        <v>4458</v>
      </c>
      <c r="E934" s="293"/>
      <c r="F934" s="289">
        <v>56500</v>
      </c>
    </row>
    <row r="935" spans="1:6" x14ac:dyDescent="0.25">
      <c r="A935" s="230">
        <v>45915</v>
      </c>
      <c r="B935" s="11" t="s">
        <v>4459</v>
      </c>
      <c r="C935" s="113" t="s">
        <v>2568</v>
      </c>
      <c r="D935" s="16" t="s">
        <v>4460</v>
      </c>
      <c r="E935" s="293"/>
      <c r="F935" s="285">
        <v>500000</v>
      </c>
    </row>
    <row r="936" spans="1:6" x14ac:dyDescent="0.25">
      <c r="A936" s="230">
        <v>45915</v>
      </c>
      <c r="B936" s="11" t="s">
        <v>4459</v>
      </c>
      <c r="C936" s="113" t="s">
        <v>2568</v>
      </c>
      <c r="D936" s="16" t="s">
        <v>4461</v>
      </c>
      <c r="E936" s="293"/>
      <c r="F936" s="285">
        <v>2500</v>
      </c>
    </row>
    <row r="937" spans="1:6" x14ac:dyDescent="0.25">
      <c r="A937" s="230">
        <v>45915</v>
      </c>
      <c r="B937" s="11" t="s">
        <v>4462</v>
      </c>
      <c r="C937" s="112" t="s">
        <v>2568</v>
      </c>
      <c r="D937" s="223" t="s">
        <v>4463</v>
      </c>
      <c r="E937" s="293"/>
      <c r="F937" s="283">
        <v>5000000</v>
      </c>
    </row>
    <row r="938" spans="1:6" x14ac:dyDescent="0.25">
      <c r="A938" s="230">
        <v>45915</v>
      </c>
      <c r="B938" s="11" t="s">
        <v>4462</v>
      </c>
      <c r="C938" s="112" t="s">
        <v>2568</v>
      </c>
      <c r="D938" s="223" t="s">
        <v>4464</v>
      </c>
      <c r="E938" s="293"/>
      <c r="F938" s="283">
        <v>2500</v>
      </c>
    </row>
    <row r="939" spans="1:6" x14ac:dyDescent="0.25">
      <c r="A939" s="230">
        <v>45916</v>
      </c>
      <c r="B939" s="11" t="s">
        <v>4465</v>
      </c>
      <c r="C939" s="112" t="s">
        <v>2568</v>
      </c>
      <c r="D939" s="28" t="s">
        <v>4466</v>
      </c>
      <c r="E939" s="293"/>
      <c r="F939" s="289">
        <v>1337500</v>
      </c>
    </row>
    <row r="940" spans="1:6" x14ac:dyDescent="0.25">
      <c r="A940" s="230">
        <v>45917</v>
      </c>
      <c r="B940" s="11" t="s">
        <v>4467</v>
      </c>
      <c r="C940" s="112" t="s">
        <v>2568</v>
      </c>
      <c r="D940" s="204" t="s">
        <v>4468</v>
      </c>
      <c r="E940" s="293"/>
      <c r="F940" s="289">
        <v>758744</v>
      </c>
    </row>
    <row r="941" spans="1:6" x14ac:dyDescent="0.25">
      <c r="A941" s="230">
        <v>45917</v>
      </c>
      <c r="B941" s="11" t="s">
        <v>4467</v>
      </c>
      <c r="C941" s="112" t="s">
        <v>2568</v>
      </c>
      <c r="D941" s="204" t="s">
        <v>4469</v>
      </c>
      <c r="E941" s="293"/>
      <c r="F941" s="289">
        <v>215620</v>
      </c>
    </row>
    <row r="942" spans="1:6" x14ac:dyDescent="0.25">
      <c r="A942" s="230">
        <v>45917</v>
      </c>
      <c r="B942" s="11" t="s">
        <v>4470</v>
      </c>
      <c r="C942" s="112" t="s">
        <v>2568</v>
      </c>
      <c r="D942" s="204" t="s">
        <v>4471</v>
      </c>
      <c r="E942" s="293"/>
      <c r="F942" s="289">
        <v>101000</v>
      </c>
    </row>
    <row r="943" spans="1:6" x14ac:dyDescent="0.25">
      <c r="A943" s="230">
        <v>45917</v>
      </c>
      <c r="B943" s="11" t="s">
        <v>4470</v>
      </c>
      <c r="C943" s="112" t="s">
        <v>2568</v>
      </c>
      <c r="D943" s="204" t="s">
        <v>4472</v>
      </c>
      <c r="E943" s="293"/>
      <c r="F943" s="289">
        <v>2000</v>
      </c>
    </row>
    <row r="944" spans="1:6" x14ac:dyDescent="0.25">
      <c r="A944" s="230">
        <v>45918</v>
      </c>
      <c r="B944" s="11" t="s">
        <v>4473</v>
      </c>
      <c r="C944" s="112" t="s">
        <v>2568</v>
      </c>
      <c r="D944" s="223" t="s">
        <v>4474</v>
      </c>
      <c r="E944" s="293"/>
      <c r="F944" s="283">
        <v>92500</v>
      </c>
    </row>
    <row r="945" spans="1:6" x14ac:dyDescent="0.25">
      <c r="A945" s="230">
        <v>45918</v>
      </c>
      <c r="B945" s="11" t="s">
        <v>4473</v>
      </c>
      <c r="C945" s="112" t="s">
        <v>2568</v>
      </c>
      <c r="D945" s="223" t="s">
        <v>990</v>
      </c>
      <c r="E945" s="293"/>
      <c r="F945" s="283">
        <v>203082</v>
      </c>
    </row>
    <row r="946" spans="1:6" x14ac:dyDescent="0.25">
      <c r="A946" s="230">
        <v>45918</v>
      </c>
      <c r="B946" s="11" t="s">
        <v>4473</v>
      </c>
      <c r="C946" s="112" t="s">
        <v>2568</v>
      </c>
      <c r="D946" s="223" t="s">
        <v>4475</v>
      </c>
      <c r="E946" s="293"/>
      <c r="F946" s="283">
        <v>1556500</v>
      </c>
    </row>
    <row r="947" spans="1:6" x14ac:dyDescent="0.25">
      <c r="A947" s="230">
        <v>45918</v>
      </c>
      <c r="B947" s="11" t="s">
        <v>4473</v>
      </c>
      <c r="C947" s="112" t="s">
        <v>2568</v>
      </c>
      <c r="D947" s="223" t="s">
        <v>4476</v>
      </c>
      <c r="E947" s="293"/>
      <c r="F947" s="283">
        <v>1952500</v>
      </c>
    </row>
    <row r="948" spans="1:6" x14ac:dyDescent="0.25">
      <c r="A948" s="230">
        <v>45918</v>
      </c>
      <c r="B948" s="11" t="s">
        <v>4473</v>
      </c>
      <c r="C948" s="112" t="s">
        <v>2568</v>
      </c>
      <c r="D948" s="223" t="s">
        <v>4477</v>
      </c>
      <c r="E948" s="293"/>
      <c r="F948" s="283">
        <v>1075000</v>
      </c>
    </row>
    <row r="949" spans="1:6" x14ac:dyDescent="0.25">
      <c r="A949" s="230">
        <v>45918</v>
      </c>
      <c r="B949" s="11" t="s">
        <v>4473</v>
      </c>
      <c r="C949" s="112" t="s">
        <v>2568</v>
      </c>
      <c r="D949" s="223" t="s">
        <v>4478</v>
      </c>
      <c r="E949" s="293"/>
      <c r="F949" s="283">
        <v>118250</v>
      </c>
    </row>
    <row r="950" spans="1:6" x14ac:dyDescent="0.25">
      <c r="A950" s="230">
        <v>45918</v>
      </c>
      <c r="B950" s="11" t="s">
        <v>4473</v>
      </c>
      <c r="C950" s="112" t="s">
        <v>2568</v>
      </c>
      <c r="D950" s="223" t="s">
        <v>4479</v>
      </c>
      <c r="E950" s="293"/>
      <c r="F950" s="283">
        <v>-21500</v>
      </c>
    </row>
    <row r="951" spans="1:6" x14ac:dyDescent="0.25">
      <c r="A951" s="230">
        <v>45918</v>
      </c>
      <c r="B951" s="11" t="s">
        <v>4473</v>
      </c>
      <c r="C951" s="112" t="s">
        <v>2568</v>
      </c>
      <c r="D951" s="223" t="s">
        <v>105</v>
      </c>
      <c r="E951" s="293"/>
      <c r="F951" s="283">
        <v>2500</v>
      </c>
    </row>
    <row r="952" spans="1:6" x14ac:dyDescent="0.25">
      <c r="A952" s="230">
        <v>45918</v>
      </c>
      <c r="B952" s="11" t="s">
        <v>4473</v>
      </c>
      <c r="C952" s="112" t="s">
        <v>2568</v>
      </c>
      <c r="D952" s="223" t="s">
        <v>4480</v>
      </c>
      <c r="E952" s="293"/>
      <c r="F952" s="283">
        <v>208450</v>
      </c>
    </row>
    <row r="953" spans="1:6" x14ac:dyDescent="0.25">
      <c r="A953" s="271">
        <v>45919</v>
      </c>
      <c r="B953" s="11" t="s">
        <v>4481</v>
      </c>
      <c r="C953" s="112" t="s">
        <v>2568</v>
      </c>
      <c r="D953" s="204" t="s">
        <v>4482</v>
      </c>
      <c r="E953" s="293"/>
      <c r="F953" s="289">
        <v>27000</v>
      </c>
    </row>
    <row r="954" spans="1:6" x14ac:dyDescent="0.25">
      <c r="A954" s="271">
        <v>45919</v>
      </c>
      <c r="B954" s="11" t="s">
        <v>4481</v>
      </c>
      <c r="C954" s="112" t="s">
        <v>2568</v>
      </c>
      <c r="D954" s="204" t="s">
        <v>4461</v>
      </c>
      <c r="E954" s="293"/>
      <c r="F954" s="289">
        <v>2500</v>
      </c>
    </row>
    <row r="955" spans="1:6" x14ac:dyDescent="0.25">
      <c r="A955" s="271">
        <v>45919</v>
      </c>
      <c r="B955" s="11" t="s">
        <v>4481</v>
      </c>
      <c r="C955" s="112" t="s">
        <v>2568</v>
      </c>
      <c r="D955" s="204" t="s">
        <v>4483</v>
      </c>
      <c r="E955" s="293"/>
      <c r="F955" s="289">
        <v>168000</v>
      </c>
    </row>
    <row r="956" spans="1:6" x14ac:dyDescent="0.25">
      <c r="A956" s="271">
        <v>45919</v>
      </c>
      <c r="B956" s="11" t="s">
        <v>4481</v>
      </c>
      <c r="C956" s="112" t="s">
        <v>2568</v>
      </c>
      <c r="D956" s="204" t="s">
        <v>4461</v>
      </c>
      <c r="E956" s="293"/>
      <c r="F956" s="289">
        <v>2500</v>
      </c>
    </row>
    <row r="957" spans="1:6" x14ac:dyDescent="0.25">
      <c r="A957" s="271">
        <v>45919</v>
      </c>
      <c r="B957" s="11" t="s">
        <v>4481</v>
      </c>
      <c r="C957" s="112" t="s">
        <v>2568</v>
      </c>
      <c r="D957" s="204" t="s">
        <v>4484</v>
      </c>
      <c r="E957" s="293"/>
      <c r="F957" s="289">
        <v>94630</v>
      </c>
    </row>
    <row r="958" spans="1:6" x14ac:dyDescent="0.25">
      <c r="A958" s="271">
        <v>45919</v>
      </c>
      <c r="B958" s="11" t="s">
        <v>4481</v>
      </c>
      <c r="C958" s="112" t="s">
        <v>2568</v>
      </c>
      <c r="D958" s="204" t="s">
        <v>4461</v>
      </c>
      <c r="E958" s="293"/>
      <c r="F958" s="289">
        <v>2500</v>
      </c>
    </row>
    <row r="959" spans="1:6" x14ac:dyDescent="0.25">
      <c r="A959" s="271">
        <v>45919</v>
      </c>
      <c r="B959" s="11" t="s">
        <v>4481</v>
      </c>
      <c r="C959" s="112" t="s">
        <v>2568</v>
      </c>
      <c r="D959" s="204" t="s">
        <v>4485</v>
      </c>
      <c r="E959" s="293"/>
      <c r="F959" s="289">
        <v>822000</v>
      </c>
    </row>
    <row r="960" spans="1:6" x14ac:dyDescent="0.25">
      <c r="A960" s="271">
        <v>45919</v>
      </c>
      <c r="B960" s="11" t="s">
        <v>4481</v>
      </c>
      <c r="C960" s="112" t="s">
        <v>2568</v>
      </c>
      <c r="D960" s="204" t="s">
        <v>4461</v>
      </c>
      <c r="E960" s="293"/>
      <c r="F960" s="289">
        <v>2500</v>
      </c>
    </row>
    <row r="961" spans="1:6" x14ac:dyDescent="0.25">
      <c r="A961" s="271">
        <v>45919</v>
      </c>
      <c r="B961" s="11" t="s">
        <v>4486</v>
      </c>
      <c r="C961" s="112" t="s">
        <v>2568</v>
      </c>
      <c r="D961" s="204" t="s">
        <v>4487</v>
      </c>
      <c r="E961" s="293"/>
      <c r="F961" s="289">
        <v>470000</v>
      </c>
    </row>
    <row r="962" spans="1:6" x14ac:dyDescent="0.25">
      <c r="A962" s="271">
        <v>45919</v>
      </c>
      <c r="B962" s="11" t="s">
        <v>4486</v>
      </c>
      <c r="C962" s="112" t="s">
        <v>2568</v>
      </c>
      <c r="D962" s="204" t="s">
        <v>4488</v>
      </c>
      <c r="E962" s="293"/>
      <c r="F962" s="289">
        <v>1428604</v>
      </c>
    </row>
    <row r="963" spans="1:6" x14ac:dyDescent="0.25">
      <c r="A963" s="271">
        <v>45919</v>
      </c>
      <c r="B963" s="11" t="s">
        <v>4489</v>
      </c>
      <c r="C963" s="112" t="s">
        <v>2568</v>
      </c>
      <c r="D963" s="204" t="s">
        <v>1898</v>
      </c>
      <c r="E963" s="293"/>
      <c r="F963" s="289">
        <v>470000</v>
      </c>
    </row>
    <row r="964" spans="1:6" x14ac:dyDescent="0.25">
      <c r="A964" s="271">
        <v>45919</v>
      </c>
      <c r="B964" s="11" t="s">
        <v>4489</v>
      </c>
      <c r="C964" s="112" t="s">
        <v>2568</v>
      </c>
      <c r="D964" s="204" t="s">
        <v>1473</v>
      </c>
      <c r="E964" s="293"/>
      <c r="F964" s="289">
        <v>84000</v>
      </c>
    </row>
    <row r="965" spans="1:6" x14ac:dyDescent="0.25">
      <c r="A965" s="271">
        <v>45919</v>
      </c>
      <c r="B965" s="11" t="s">
        <v>4489</v>
      </c>
      <c r="C965" s="112" t="s">
        <v>2568</v>
      </c>
      <c r="D965" s="204" t="s">
        <v>4490</v>
      </c>
      <c r="E965" s="293"/>
      <c r="F965" s="289">
        <v>36000</v>
      </c>
    </row>
    <row r="966" spans="1:6" x14ac:dyDescent="0.25">
      <c r="A966" s="271">
        <v>45919</v>
      </c>
      <c r="B966" s="11" t="s">
        <v>4489</v>
      </c>
      <c r="C966" s="112" t="s">
        <v>2568</v>
      </c>
      <c r="D966" s="204" t="s">
        <v>4491</v>
      </c>
      <c r="E966" s="293"/>
      <c r="F966" s="289">
        <v>186000</v>
      </c>
    </row>
    <row r="967" spans="1:6" x14ac:dyDescent="0.25">
      <c r="A967" s="271">
        <v>45919</v>
      </c>
      <c r="B967" s="11" t="s">
        <v>4492</v>
      </c>
      <c r="C967" s="112" t="s">
        <v>2568</v>
      </c>
      <c r="D967" s="204" t="s">
        <v>4493</v>
      </c>
      <c r="E967" s="293"/>
      <c r="F967" s="289">
        <v>125000</v>
      </c>
    </row>
    <row r="968" spans="1:6" x14ac:dyDescent="0.25">
      <c r="A968" s="271">
        <v>45922</v>
      </c>
      <c r="B968" s="11" t="s">
        <v>4494</v>
      </c>
      <c r="C968" s="112" t="s">
        <v>2568</v>
      </c>
      <c r="D968" s="204" t="s">
        <v>4495</v>
      </c>
      <c r="E968" s="293"/>
      <c r="F968" s="289">
        <v>155000</v>
      </c>
    </row>
    <row r="969" spans="1:6" x14ac:dyDescent="0.25">
      <c r="A969" s="271">
        <v>45922</v>
      </c>
      <c r="B969" s="11" t="s">
        <v>4494</v>
      </c>
      <c r="C969" s="112" t="s">
        <v>2568</v>
      </c>
      <c r="D969" s="204" t="s">
        <v>210</v>
      </c>
      <c r="E969" s="293"/>
      <c r="F969" s="289">
        <v>2500</v>
      </c>
    </row>
    <row r="970" spans="1:6" x14ac:dyDescent="0.25">
      <c r="A970" s="271">
        <v>45922</v>
      </c>
      <c r="B970" s="11" t="s">
        <v>4494</v>
      </c>
      <c r="C970" s="112" t="s">
        <v>2568</v>
      </c>
      <c r="D970" s="204" t="s">
        <v>4496</v>
      </c>
      <c r="E970" s="293"/>
      <c r="F970" s="289">
        <v>400000</v>
      </c>
    </row>
    <row r="971" spans="1:6" x14ac:dyDescent="0.25">
      <c r="A971" s="271">
        <v>45922</v>
      </c>
      <c r="B971" s="11" t="s">
        <v>4494</v>
      </c>
      <c r="C971" s="112" t="s">
        <v>2568</v>
      </c>
      <c r="D971" s="204" t="s">
        <v>4497</v>
      </c>
      <c r="E971" s="293"/>
      <c r="F971" s="289">
        <v>35600</v>
      </c>
    </row>
    <row r="972" spans="1:6" x14ac:dyDescent="0.25">
      <c r="A972" s="271">
        <v>45922</v>
      </c>
      <c r="B972" s="11" t="s">
        <v>4494</v>
      </c>
      <c r="C972" s="112" t="s">
        <v>2568</v>
      </c>
      <c r="D972" s="204" t="s">
        <v>210</v>
      </c>
      <c r="E972" s="293"/>
      <c r="F972" s="289">
        <v>2500</v>
      </c>
    </row>
    <row r="973" spans="1:6" x14ac:dyDescent="0.25">
      <c r="A973" s="271">
        <v>45922</v>
      </c>
      <c r="B973" s="11" t="s">
        <v>4494</v>
      </c>
      <c r="C973" s="112" t="s">
        <v>2568</v>
      </c>
      <c r="D973" s="204" t="s">
        <v>4498</v>
      </c>
      <c r="E973" s="293"/>
      <c r="F973" s="289">
        <v>300000</v>
      </c>
    </row>
    <row r="974" spans="1:6" x14ac:dyDescent="0.25">
      <c r="A974" s="271">
        <v>45922</v>
      </c>
      <c r="B974" s="11" t="s">
        <v>4494</v>
      </c>
      <c r="C974" s="112" t="s">
        <v>2568</v>
      </c>
      <c r="D974" s="204" t="s">
        <v>210</v>
      </c>
      <c r="E974" s="293"/>
      <c r="F974" s="289">
        <v>2500</v>
      </c>
    </row>
    <row r="975" spans="1:6" x14ac:dyDescent="0.25">
      <c r="A975" s="271">
        <v>45922</v>
      </c>
      <c r="B975" s="11" t="s">
        <v>4494</v>
      </c>
      <c r="C975" s="112" t="s">
        <v>2568</v>
      </c>
      <c r="D975" s="204" t="s">
        <v>4499</v>
      </c>
      <c r="E975" s="293"/>
      <c r="F975" s="289">
        <v>1320000</v>
      </c>
    </row>
    <row r="976" spans="1:6" x14ac:dyDescent="0.25">
      <c r="A976" s="271">
        <v>45922</v>
      </c>
      <c r="B976" s="11" t="s">
        <v>4494</v>
      </c>
      <c r="C976" s="112" t="s">
        <v>2568</v>
      </c>
      <c r="D976" s="204" t="s">
        <v>4500</v>
      </c>
      <c r="E976" s="293"/>
      <c r="F976" s="289">
        <v>-33000</v>
      </c>
    </row>
    <row r="977" spans="1:6" x14ac:dyDescent="0.25">
      <c r="A977" s="271">
        <v>45922</v>
      </c>
      <c r="B977" s="11" t="s">
        <v>4494</v>
      </c>
      <c r="C977" s="112" t="s">
        <v>2568</v>
      </c>
      <c r="D977" s="204" t="s">
        <v>210</v>
      </c>
      <c r="E977" s="293"/>
      <c r="F977" s="289">
        <v>2500</v>
      </c>
    </row>
    <row r="978" spans="1:6" x14ac:dyDescent="0.25">
      <c r="A978" s="271">
        <v>45922</v>
      </c>
      <c r="B978" s="11" t="s">
        <v>4501</v>
      </c>
      <c r="C978" s="112" t="s">
        <v>2568</v>
      </c>
      <c r="D978" s="204" t="s">
        <v>4502</v>
      </c>
      <c r="E978" s="293"/>
      <c r="F978" s="289">
        <v>244500</v>
      </c>
    </row>
    <row r="979" spans="1:6" x14ac:dyDescent="0.25">
      <c r="A979" s="271">
        <v>45922</v>
      </c>
      <c r="B979" s="11" t="s">
        <v>4501</v>
      </c>
      <c r="C979" s="112" t="s">
        <v>2568</v>
      </c>
      <c r="D979" s="204" t="s">
        <v>4503</v>
      </c>
      <c r="E979" s="293"/>
      <c r="F979" s="289">
        <v>900000</v>
      </c>
    </row>
    <row r="980" spans="1:6" x14ac:dyDescent="0.25">
      <c r="A980" s="230">
        <v>45923</v>
      </c>
      <c r="B980" s="11" t="s">
        <v>4504</v>
      </c>
      <c r="C980" s="112" t="s">
        <v>2568</v>
      </c>
      <c r="D980" s="28" t="s">
        <v>4505</v>
      </c>
      <c r="E980" s="293"/>
      <c r="F980" s="289">
        <v>411000</v>
      </c>
    </row>
    <row r="981" spans="1:6" x14ac:dyDescent="0.25">
      <c r="A981" s="230">
        <v>45923</v>
      </c>
      <c r="B981" s="11" t="s">
        <v>4504</v>
      </c>
      <c r="C981" s="112" t="s">
        <v>2568</v>
      </c>
      <c r="D981" s="28" t="s">
        <v>105</v>
      </c>
      <c r="E981" s="293"/>
      <c r="F981" s="289">
        <v>2500</v>
      </c>
    </row>
    <row r="982" spans="1:6" x14ac:dyDescent="0.25">
      <c r="A982" s="230">
        <v>45923</v>
      </c>
      <c r="B982" s="11" t="s">
        <v>4504</v>
      </c>
      <c r="C982" s="112" t="s">
        <v>2568</v>
      </c>
      <c r="D982" s="28" t="s">
        <v>4506</v>
      </c>
      <c r="E982" s="293"/>
      <c r="F982" s="289">
        <v>72000</v>
      </c>
    </row>
    <row r="983" spans="1:6" x14ac:dyDescent="0.25">
      <c r="A983" s="230">
        <v>45923</v>
      </c>
      <c r="B983" s="11" t="s">
        <v>4504</v>
      </c>
      <c r="C983" s="112" t="s">
        <v>2568</v>
      </c>
      <c r="D983" s="28" t="s">
        <v>105</v>
      </c>
      <c r="E983" s="293"/>
      <c r="F983" s="289">
        <v>2500</v>
      </c>
    </row>
    <row r="984" spans="1:6" x14ac:dyDescent="0.25">
      <c r="A984" s="230">
        <v>45923</v>
      </c>
      <c r="B984" s="11" t="s">
        <v>4504</v>
      </c>
      <c r="C984" s="112" t="s">
        <v>2568</v>
      </c>
      <c r="D984" s="28" t="s">
        <v>4507</v>
      </c>
      <c r="E984" s="293"/>
      <c r="F984" s="289">
        <v>5625000</v>
      </c>
    </row>
    <row r="985" spans="1:6" x14ac:dyDescent="0.25">
      <c r="A985" s="230">
        <v>45923</v>
      </c>
      <c r="B985" s="11" t="s">
        <v>4504</v>
      </c>
      <c r="C985" s="112" t="s">
        <v>2568</v>
      </c>
      <c r="D985" s="28" t="s">
        <v>105</v>
      </c>
      <c r="E985" s="293"/>
      <c r="F985" s="289">
        <v>2500</v>
      </c>
    </row>
    <row r="986" spans="1:6" x14ac:dyDescent="0.25">
      <c r="A986" s="230">
        <v>45924</v>
      </c>
      <c r="B986" s="11" t="s">
        <v>4508</v>
      </c>
      <c r="C986" s="113" t="s">
        <v>2568</v>
      </c>
      <c r="D986" s="12" t="s">
        <v>4509</v>
      </c>
      <c r="E986" s="293"/>
      <c r="F986" s="285">
        <v>155500</v>
      </c>
    </row>
    <row r="987" spans="1:6" x14ac:dyDescent="0.25">
      <c r="A987" s="230">
        <v>45924</v>
      </c>
      <c r="B987" s="11" t="s">
        <v>4508</v>
      </c>
      <c r="C987" s="113" t="s">
        <v>2568</v>
      </c>
      <c r="D987" s="12" t="s">
        <v>4510</v>
      </c>
      <c r="E987" s="293"/>
      <c r="F987" s="285">
        <v>2500</v>
      </c>
    </row>
    <row r="988" spans="1:6" x14ac:dyDescent="0.25">
      <c r="A988" s="230">
        <v>45924</v>
      </c>
      <c r="B988" s="11" t="s">
        <v>4508</v>
      </c>
      <c r="C988" s="113" t="s">
        <v>2568</v>
      </c>
      <c r="D988" s="12" t="s">
        <v>4511</v>
      </c>
      <c r="E988" s="293"/>
      <c r="F988" s="285">
        <v>212000</v>
      </c>
    </row>
    <row r="989" spans="1:6" x14ac:dyDescent="0.25">
      <c r="A989" s="230">
        <v>45924</v>
      </c>
      <c r="B989" s="11" t="s">
        <v>4508</v>
      </c>
      <c r="C989" s="113" t="s">
        <v>2568</v>
      </c>
      <c r="D989" s="12" t="s">
        <v>4512</v>
      </c>
      <c r="E989" s="293"/>
      <c r="F989" s="285">
        <v>104100</v>
      </c>
    </row>
    <row r="990" spans="1:6" x14ac:dyDescent="0.25">
      <c r="A990" s="230">
        <v>45924</v>
      </c>
      <c r="B990" s="11" t="s">
        <v>4508</v>
      </c>
      <c r="C990" s="113" t="s">
        <v>2568</v>
      </c>
      <c r="D990" s="12" t="s">
        <v>4513</v>
      </c>
      <c r="E990" s="293"/>
      <c r="F990" s="285">
        <v>2500</v>
      </c>
    </row>
    <row r="991" spans="1:6" x14ac:dyDescent="0.25">
      <c r="A991" s="230">
        <v>45924</v>
      </c>
      <c r="B991" s="11" t="s">
        <v>4508</v>
      </c>
      <c r="C991" s="113" t="s">
        <v>2568</v>
      </c>
      <c r="D991" s="12" t="s">
        <v>4514</v>
      </c>
      <c r="E991" s="293"/>
      <c r="F991" s="285">
        <v>3500000</v>
      </c>
    </row>
    <row r="992" spans="1:6" x14ac:dyDescent="0.25">
      <c r="A992" s="230">
        <v>45924</v>
      </c>
      <c r="B992" s="11" t="s">
        <v>4508</v>
      </c>
      <c r="C992" s="113" t="s">
        <v>2568</v>
      </c>
      <c r="D992" s="12" t="s">
        <v>4515</v>
      </c>
      <c r="E992" s="293"/>
      <c r="F992" s="285">
        <v>-87500</v>
      </c>
    </row>
    <row r="993" spans="1:6" x14ac:dyDescent="0.25">
      <c r="A993" s="230">
        <v>45924</v>
      </c>
      <c r="B993" s="11" t="s">
        <v>4508</v>
      </c>
      <c r="C993" s="113" t="s">
        <v>2568</v>
      </c>
      <c r="D993" s="12" t="s">
        <v>4513</v>
      </c>
      <c r="E993" s="293"/>
      <c r="F993" s="285">
        <v>2500</v>
      </c>
    </row>
    <row r="994" spans="1:6" x14ac:dyDescent="0.25">
      <c r="A994" s="230">
        <v>45929</v>
      </c>
      <c r="B994" s="11" t="s">
        <v>4516</v>
      </c>
      <c r="C994" s="113" t="s">
        <v>2568</v>
      </c>
      <c r="D994" s="12" t="s">
        <v>4517</v>
      </c>
      <c r="E994" s="309"/>
      <c r="F994" s="285">
        <v>1350000</v>
      </c>
    </row>
    <row r="995" spans="1:6" x14ac:dyDescent="0.25">
      <c r="A995" s="230">
        <v>45929</v>
      </c>
      <c r="B995" s="11" t="s">
        <v>4516</v>
      </c>
      <c r="C995" s="113" t="s">
        <v>2568</v>
      </c>
      <c r="D995" s="12" t="s">
        <v>4518</v>
      </c>
      <c r="E995" s="309"/>
      <c r="F995" s="285">
        <v>-27000</v>
      </c>
    </row>
    <row r="996" spans="1:6" x14ac:dyDescent="0.25">
      <c r="A996" s="230">
        <v>45929</v>
      </c>
      <c r="B996" s="11" t="s">
        <v>4516</v>
      </c>
      <c r="C996" s="113" t="s">
        <v>2568</v>
      </c>
      <c r="D996" s="12" t="s">
        <v>4519</v>
      </c>
      <c r="E996" s="309"/>
      <c r="F996" s="285">
        <v>2500</v>
      </c>
    </row>
    <row r="997" spans="1:6" x14ac:dyDescent="0.25">
      <c r="A997" s="230">
        <v>45929</v>
      </c>
      <c r="B997" s="11" t="s">
        <v>4516</v>
      </c>
      <c r="C997" s="113" t="s">
        <v>2568</v>
      </c>
      <c r="D997" s="12" t="s">
        <v>4520</v>
      </c>
      <c r="E997" s="309"/>
      <c r="F997" s="285">
        <v>101850</v>
      </c>
    </row>
    <row r="998" spans="1:6" x14ac:dyDescent="0.25">
      <c r="A998" s="230">
        <v>45929</v>
      </c>
      <c r="B998" s="11" t="s">
        <v>4516</v>
      </c>
      <c r="C998" s="113" t="s">
        <v>2568</v>
      </c>
      <c r="D998" s="12" t="s">
        <v>4519</v>
      </c>
      <c r="E998" s="309"/>
      <c r="F998" s="285">
        <v>2500</v>
      </c>
    </row>
    <row r="999" spans="1:6" x14ac:dyDescent="0.25">
      <c r="A999" s="230">
        <v>45929</v>
      </c>
      <c r="B999" s="11" t="s">
        <v>4521</v>
      </c>
      <c r="C999" s="113" t="s">
        <v>2568</v>
      </c>
      <c r="D999" s="12" t="s">
        <v>4522</v>
      </c>
      <c r="E999" s="309"/>
      <c r="F999" s="285">
        <v>282000</v>
      </c>
    </row>
    <row r="1000" spans="1:6" x14ac:dyDescent="0.25">
      <c r="A1000" s="230">
        <v>45929</v>
      </c>
      <c r="B1000" s="11" t="s">
        <v>4521</v>
      </c>
      <c r="C1000" s="113" t="s">
        <v>2568</v>
      </c>
      <c r="D1000" s="12" t="s">
        <v>4523</v>
      </c>
      <c r="E1000" s="309"/>
      <c r="F1000" s="285">
        <v>192000</v>
      </c>
    </row>
    <row r="1001" spans="1:6" x14ac:dyDescent="0.25">
      <c r="A1001" s="230">
        <v>45929</v>
      </c>
      <c r="B1001" s="11" t="s">
        <v>4521</v>
      </c>
      <c r="C1001" s="113" t="s">
        <v>2568</v>
      </c>
      <c r="D1001" s="12" t="s">
        <v>4524</v>
      </c>
      <c r="E1001" s="309"/>
      <c r="F1001" s="285">
        <v>737030</v>
      </c>
    </row>
    <row r="1002" spans="1:6" x14ac:dyDescent="0.25">
      <c r="A1002" s="230">
        <v>45929</v>
      </c>
      <c r="B1002" s="11" t="s">
        <v>4521</v>
      </c>
      <c r="C1002" s="113" t="s">
        <v>2568</v>
      </c>
      <c r="D1002" s="12" t="s">
        <v>4525</v>
      </c>
      <c r="E1002" s="309"/>
      <c r="F1002" s="285">
        <v>200000</v>
      </c>
    </row>
    <row r="1003" spans="1:6" x14ac:dyDescent="0.25">
      <c r="A1003" s="230">
        <v>45929</v>
      </c>
      <c r="B1003" s="11" t="s">
        <v>4521</v>
      </c>
      <c r="C1003" s="113" t="s">
        <v>2568</v>
      </c>
      <c r="D1003" s="12" t="s">
        <v>4526</v>
      </c>
      <c r="E1003" s="309"/>
      <c r="F1003" s="285">
        <v>87050</v>
      </c>
    </row>
    <row r="1004" spans="1:6" x14ac:dyDescent="0.25">
      <c r="A1004" s="230">
        <v>45929</v>
      </c>
      <c r="B1004" s="11" t="s">
        <v>4521</v>
      </c>
      <c r="C1004" s="113" t="s">
        <v>2568</v>
      </c>
      <c r="D1004" s="12" t="s">
        <v>4527</v>
      </c>
      <c r="E1004" s="309"/>
      <c r="F1004" s="285">
        <v>197000</v>
      </c>
    </row>
    <row r="1005" spans="1:6" x14ac:dyDescent="0.25">
      <c r="A1005" s="230">
        <v>45929</v>
      </c>
      <c r="B1005" s="11" t="s">
        <v>4521</v>
      </c>
      <c r="C1005" s="113" t="s">
        <v>2568</v>
      </c>
      <c r="D1005" s="12" t="s">
        <v>4519</v>
      </c>
      <c r="E1005" s="309"/>
      <c r="F1005" s="285">
        <v>2500</v>
      </c>
    </row>
    <row r="1006" spans="1:6" x14ac:dyDescent="0.25">
      <c r="A1006" s="230">
        <v>45930</v>
      </c>
      <c r="B1006" s="11" t="s">
        <v>4528</v>
      </c>
      <c r="C1006" s="112" t="s">
        <v>2568</v>
      </c>
      <c r="D1006" s="28" t="s">
        <v>4529</v>
      </c>
      <c r="E1006" s="293"/>
      <c r="F1006" s="289">
        <v>134000</v>
      </c>
    </row>
    <row r="1007" spans="1:6" x14ac:dyDescent="0.25">
      <c r="A1007" s="230">
        <v>45930</v>
      </c>
      <c r="B1007" s="11" t="s">
        <v>4528</v>
      </c>
      <c r="C1007" s="112" t="s">
        <v>2568</v>
      </c>
      <c r="D1007" s="28" t="s">
        <v>4530</v>
      </c>
      <c r="E1007" s="293"/>
      <c r="F1007" s="289">
        <v>525000</v>
      </c>
    </row>
    <row r="1008" spans="1:6" x14ac:dyDescent="0.25">
      <c r="A1008" s="230">
        <v>45930</v>
      </c>
      <c r="B1008" s="11" t="s">
        <v>4528</v>
      </c>
      <c r="C1008" s="112" t="s">
        <v>2568</v>
      </c>
      <c r="D1008" s="28" t="s">
        <v>3477</v>
      </c>
      <c r="E1008" s="293"/>
      <c r="F1008" s="289">
        <v>2500</v>
      </c>
    </row>
    <row r="1009" spans="1:6" x14ac:dyDescent="0.25">
      <c r="A1009" s="230">
        <v>45930</v>
      </c>
      <c r="B1009" s="11" t="s">
        <v>4528</v>
      </c>
      <c r="C1009" s="112" t="s">
        <v>2568</v>
      </c>
      <c r="D1009" s="28" t="s">
        <v>4531</v>
      </c>
      <c r="E1009" s="293"/>
      <c r="F1009" s="289">
        <v>690000</v>
      </c>
    </row>
    <row r="1010" spans="1:6" x14ac:dyDescent="0.25">
      <c r="A1010" s="230">
        <v>45953</v>
      </c>
      <c r="B1010" s="11" t="s">
        <v>4930</v>
      </c>
      <c r="C1010" s="112" t="s">
        <v>2568</v>
      </c>
      <c r="D1010" s="156" t="s">
        <v>4931</v>
      </c>
      <c r="E1010" s="282"/>
      <c r="F1010" s="290">
        <v>5343402</v>
      </c>
    </row>
    <row r="1011" spans="1:6" x14ac:dyDescent="0.25">
      <c r="A1011" s="230">
        <v>45953</v>
      </c>
      <c r="B1011" s="11" t="s">
        <v>4930</v>
      </c>
      <c r="C1011" s="112" t="s">
        <v>2568</v>
      </c>
      <c r="D1011" s="156" t="s">
        <v>4932</v>
      </c>
      <c r="E1011" s="282"/>
      <c r="F1011" s="290">
        <v>586425</v>
      </c>
    </row>
    <row r="1012" spans="1:6" x14ac:dyDescent="0.25">
      <c r="A1012" s="230">
        <v>45930</v>
      </c>
      <c r="B1012" s="11" t="s">
        <v>4933</v>
      </c>
      <c r="C1012" s="112" t="s">
        <v>2568</v>
      </c>
      <c r="D1012" s="51" t="s">
        <v>4934</v>
      </c>
      <c r="E1012" s="293"/>
      <c r="F1012" s="289">
        <v>130000</v>
      </c>
    </row>
    <row r="1013" spans="1:6" x14ac:dyDescent="0.25">
      <c r="A1013" s="230">
        <v>45930</v>
      </c>
      <c r="B1013" s="11" t="s">
        <v>4933</v>
      </c>
      <c r="C1013" s="112" t="s">
        <v>2568</v>
      </c>
      <c r="D1013" s="51" t="s">
        <v>4935</v>
      </c>
      <c r="E1013" s="293"/>
      <c r="F1013" s="289">
        <v>411000</v>
      </c>
    </row>
    <row r="1014" spans="1:6" x14ac:dyDescent="0.25">
      <c r="A1014" s="230">
        <v>45930</v>
      </c>
      <c r="B1014" s="11" t="s">
        <v>4933</v>
      </c>
      <c r="C1014" s="112" t="s">
        <v>2568</v>
      </c>
      <c r="D1014" s="51" t="s">
        <v>4936</v>
      </c>
      <c r="E1014" s="293"/>
      <c r="F1014" s="289">
        <v>2500</v>
      </c>
    </row>
    <row r="1015" spans="1:6" x14ac:dyDescent="0.25">
      <c r="A1015" s="230">
        <v>45930</v>
      </c>
      <c r="B1015" s="11" t="s">
        <v>4933</v>
      </c>
      <c r="C1015" s="112" t="s">
        <v>2568</v>
      </c>
      <c r="D1015" s="51" t="s">
        <v>4937</v>
      </c>
      <c r="E1015" s="293"/>
      <c r="F1015" s="289">
        <v>231500</v>
      </c>
    </row>
    <row r="1016" spans="1:6" x14ac:dyDescent="0.25">
      <c r="A1016" s="230">
        <v>45930</v>
      </c>
      <c r="B1016" s="11" t="s">
        <v>4933</v>
      </c>
      <c r="C1016" s="112" t="s">
        <v>2568</v>
      </c>
      <c r="D1016" s="51" t="s">
        <v>4936</v>
      </c>
      <c r="E1016" s="293"/>
      <c r="F1016" s="289">
        <v>2500</v>
      </c>
    </row>
    <row r="1017" spans="1:6" x14ac:dyDescent="0.25">
      <c r="A1017" s="230">
        <v>45930</v>
      </c>
      <c r="B1017" s="11" t="s">
        <v>4933</v>
      </c>
      <c r="C1017" s="112" t="s">
        <v>2568</v>
      </c>
      <c r="D1017" s="51" t="s">
        <v>4938</v>
      </c>
      <c r="E1017" s="293"/>
      <c r="F1017" s="289">
        <v>2220000</v>
      </c>
    </row>
    <row r="1018" spans="1:6" x14ac:dyDescent="0.25">
      <c r="A1018" s="230">
        <v>45930</v>
      </c>
      <c r="B1018" s="11" t="s">
        <v>4933</v>
      </c>
      <c r="C1018" s="112" t="s">
        <v>2568</v>
      </c>
      <c r="D1018" s="51" t="s">
        <v>4936</v>
      </c>
      <c r="E1018" s="293"/>
      <c r="F1018" s="289">
        <v>5000</v>
      </c>
    </row>
    <row r="1019" spans="1:6" x14ac:dyDescent="0.25">
      <c r="A1019" s="230">
        <v>45931</v>
      </c>
      <c r="B1019" s="11" t="s">
        <v>4939</v>
      </c>
      <c r="C1019" s="112" t="s">
        <v>2568</v>
      </c>
      <c r="D1019" s="224" t="s">
        <v>4940</v>
      </c>
      <c r="E1019" s="293"/>
      <c r="F1019" s="289">
        <v>590000</v>
      </c>
    </row>
    <row r="1020" spans="1:6" x14ac:dyDescent="0.25">
      <c r="A1020" s="230">
        <v>45931</v>
      </c>
      <c r="B1020" s="11" t="s">
        <v>4939</v>
      </c>
      <c r="C1020" s="112" t="s">
        <v>2568</v>
      </c>
      <c r="D1020" s="224" t="s">
        <v>4941</v>
      </c>
      <c r="E1020" s="293"/>
      <c r="F1020" s="289">
        <v>64900</v>
      </c>
    </row>
    <row r="1021" spans="1:6" x14ac:dyDescent="0.25">
      <c r="A1021" s="230">
        <v>45931</v>
      </c>
      <c r="B1021" s="11" t="s">
        <v>4939</v>
      </c>
      <c r="C1021" s="112" t="s">
        <v>4942</v>
      </c>
      <c r="D1021" s="224" t="s">
        <v>4891</v>
      </c>
      <c r="E1021" s="293"/>
      <c r="F1021" s="289">
        <v>2900</v>
      </c>
    </row>
    <row r="1022" spans="1:6" x14ac:dyDescent="0.25">
      <c r="A1022" s="230">
        <v>45936</v>
      </c>
      <c r="B1022" s="11" t="s">
        <v>4943</v>
      </c>
      <c r="C1022" s="278" t="s">
        <v>2568</v>
      </c>
      <c r="D1022" s="279" t="s">
        <v>4944</v>
      </c>
      <c r="E1022" s="293"/>
      <c r="F1022" s="289">
        <v>103000</v>
      </c>
    </row>
    <row r="1023" spans="1:6" x14ac:dyDescent="0.25">
      <c r="A1023" s="230">
        <v>45943</v>
      </c>
      <c r="B1023" s="11" t="s">
        <v>4945</v>
      </c>
      <c r="C1023" s="112" t="s">
        <v>2568</v>
      </c>
      <c r="D1023" s="213" t="s">
        <v>446</v>
      </c>
      <c r="E1023" s="293"/>
      <c r="F1023" s="289">
        <v>982362</v>
      </c>
    </row>
    <row r="1024" spans="1:6" x14ac:dyDescent="0.25">
      <c r="A1024" s="230">
        <v>45943</v>
      </c>
      <c r="B1024" s="11" t="s">
        <v>4945</v>
      </c>
      <c r="C1024" s="112" t="s">
        <v>2568</v>
      </c>
      <c r="D1024" s="213" t="s">
        <v>447</v>
      </c>
      <c r="E1024" s="293"/>
      <c r="F1024" s="289">
        <v>1060500</v>
      </c>
    </row>
    <row r="1025" spans="1:6" x14ac:dyDescent="0.25">
      <c r="A1025" s="230">
        <v>45943</v>
      </c>
      <c r="B1025" s="11" t="s">
        <v>4945</v>
      </c>
      <c r="C1025" s="112" t="s">
        <v>2568</v>
      </c>
      <c r="D1025" s="213" t="s">
        <v>2030</v>
      </c>
      <c r="E1025" s="293"/>
      <c r="F1025" s="289">
        <v>3000</v>
      </c>
    </row>
    <row r="1026" spans="1:6" x14ac:dyDescent="0.25">
      <c r="A1026" s="230">
        <v>45943</v>
      </c>
      <c r="B1026" s="11" t="s">
        <v>4945</v>
      </c>
      <c r="C1026" s="112" t="s">
        <v>2568</v>
      </c>
      <c r="D1026" s="213" t="s">
        <v>4946</v>
      </c>
      <c r="E1026" s="293"/>
      <c r="F1026" s="289">
        <v>215620</v>
      </c>
    </row>
    <row r="1027" spans="1:6" x14ac:dyDescent="0.25">
      <c r="A1027" s="230">
        <v>45943</v>
      </c>
      <c r="B1027" s="11" t="s">
        <v>4945</v>
      </c>
      <c r="C1027" s="112" t="s">
        <v>2568</v>
      </c>
      <c r="D1027" s="213" t="s">
        <v>4947</v>
      </c>
      <c r="E1027" s="293"/>
      <c r="F1027" s="289">
        <v>107500</v>
      </c>
    </row>
    <row r="1028" spans="1:6" x14ac:dyDescent="0.25">
      <c r="A1028" s="230">
        <v>45943</v>
      </c>
      <c r="B1028" s="11" t="s">
        <v>4945</v>
      </c>
      <c r="C1028" s="112" t="s">
        <v>2568</v>
      </c>
      <c r="D1028" s="213" t="s">
        <v>4948</v>
      </c>
      <c r="E1028" s="293"/>
      <c r="F1028" s="289">
        <v>95000</v>
      </c>
    </row>
    <row r="1029" spans="1:6" x14ac:dyDescent="0.25">
      <c r="A1029" s="230">
        <v>45943</v>
      </c>
      <c r="B1029" s="11" t="s">
        <v>4945</v>
      </c>
      <c r="C1029" s="112" t="s">
        <v>2568</v>
      </c>
      <c r="D1029" s="213" t="s">
        <v>4949</v>
      </c>
      <c r="E1029" s="293"/>
      <c r="F1029" s="289">
        <v>208000</v>
      </c>
    </row>
    <row r="1030" spans="1:6" x14ac:dyDescent="0.25">
      <c r="A1030" s="230">
        <v>45943</v>
      </c>
      <c r="B1030" s="11" t="s">
        <v>4945</v>
      </c>
      <c r="C1030" s="112" t="s">
        <v>2568</v>
      </c>
      <c r="D1030" s="213" t="s">
        <v>4950</v>
      </c>
      <c r="E1030" s="293"/>
      <c r="F1030" s="289">
        <v>30000</v>
      </c>
    </row>
    <row r="1031" spans="1:6" x14ac:dyDescent="0.25">
      <c r="A1031" s="230">
        <v>45943</v>
      </c>
      <c r="B1031" s="11" t="s">
        <v>4945</v>
      </c>
      <c r="C1031" s="112" t="s">
        <v>2568</v>
      </c>
      <c r="D1031" s="213" t="s">
        <v>2556</v>
      </c>
      <c r="E1031" s="293"/>
      <c r="F1031" s="289">
        <v>2900</v>
      </c>
    </row>
    <row r="1032" spans="1:6" x14ac:dyDescent="0.25">
      <c r="A1032" s="230">
        <v>45943</v>
      </c>
      <c r="B1032" s="11" t="s">
        <v>4951</v>
      </c>
      <c r="C1032" s="112" t="s">
        <v>2568</v>
      </c>
      <c r="D1032" s="213" t="s">
        <v>4952</v>
      </c>
      <c r="E1032" s="293"/>
      <c r="F1032" s="289">
        <v>40000</v>
      </c>
    </row>
    <row r="1033" spans="1:6" x14ac:dyDescent="0.25">
      <c r="A1033" s="230">
        <v>45943</v>
      </c>
      <c r="B1033" s="11" t="s">
        <v>4953</v>
      </c>
      <c r="C1033" s="112" t="s">
        <v>2568</v>
      </c>
      <c r="D1033" s="213" t="s">
        <v>4954</v>
      </c>
      <c r="E1033" s="293"/>
      <c r="F1033" s="289">
        <v>50000</v>
      </c>
    </row>
    <row r="1034" spans="1:6" x14ac:dyDescent="0.25">
      <c r="A1034" s="230">
        <v>45943</v>
      </c>
      <c r="B1034" s="11" t="s">
        <v>4953</v>
      </c>
      <c r="C1034" s="112" t="s">
        <v>2568</v>
      </c>
      <c r="D1034" s="213" t="s">
        <v>4955</v>
      </c>
      <c r="E1034" s="293"/>
      <c r="F1034" s="289">
        <v>3000</v>
      </c>
    </row>
    <row r="1035" spans="1:6" x14ac:dyDescent="0.25">
      <c r="A1035" s="230">
        <v>45944</v>
      </c>
      <c r="B1035" s="11" t="s">
        <v>4956</v>
      </c>
      <c r="C1035" s="112" t="s">
        <v>2568</v>
      </c>
      <c r="D1035" s="213" t="s">
        <v>4957</v>
      </c>
      <c r="E1035" s="293"/>
      <c r="F1035" s="289">
        <v>1500000</v>
      </c>
    </row>
    <row r="1036" spans="1:6" x14ac:dyDescent="0.25">
      <c r="A1036" s="230">
        <v>45944</v>
      </c>
      <c r="B1036" s="11" t="s">
        <v>4956</v>
      </c>
      <c r="C1036" s="112" t="s">
        <v>2568</v>
      </c>
      <c r="D1036" s="213" t="s">
        <v>3477</v>
      </c>
      <c r="E1036" s="293"/>
      <c r="F1036" s="289">
        <v>2500</v>
      </c>
    </row>
    <row r="1037" spans="1:6" x14ac:dyDescent="0.25">
      <c r="A1037" s="230">
        <v>45944</v>
      </c>
      <c r="B1037" s="11" t="s">
        <v>4956</v>
      </c>
      <c r="C1037" s="112" t="s">
        <v>2568</v>
      </c>
      <c r="D1037" s="213" t="s">
        <v>4958</v>
      </c>
      <c r="E1037" s="293"/>
      <c r="F1037" s="289">
        <v>53500</v>
      </c>
    </row>
    <row r="1038" spans="1:6" x14ac:dyDescent="0.25">
      <c r="A1038" s="270">
        <v>45945</v>
      </c>
      <c r="B1038" s="106" t="s">
        <v>4959</v>
      </c>
      <c r="C1038" s="111" t="s">
        <v>2568</v>
      </c>
      <c r="D1038" s="225" t="s">
        <v>4960</v>
      </c>
      <c r="E1038" s="309"/>
      <c r="F1038" s="296">
        <v>20000000</v>
      </c>
    </row>
    <row r="1039" spans="1:6" x14ac:dyDescent="0.25">
      <c r="A1039" s="230">
        <v>45946</v>
      </c>
      <c r="B1039" s="11" t="s">
        <v>4961</v>
      </c>
      <c r="C1039" s="112" t="s">
        <v>2568</v>
      </c>
      <c r="D1039" s="280" t="s">
        <v>4962</v>
      </c>
      <c r="E1039" s="293"/>
      <c r="F1039" s="283">
        <v>2502500</v>
      </c>
    </row>
    <row r="1040" spans="1:6" x14ac:dyDescent="0.25">
      <c r="A1040" s="230">
        <v>45947</v>
      </c>
      <c r="B1040" s="11" t="s">
        <v>4963</v>
      </c>
      <c r="C1040" s="112" t="s">
        <v>2568</v>
      </c>
      <c r="D1040" s="213" t="s">
        <v>4964</v>
      </c>
      <c r="E1040" s="293"/>
      <c r="F1040" s="289">
        <v>103000</v>
      </c>
    </row>
    <row r="1041" spans="1:6" x14ac:dyDescent="0.25">
      <c r="A1041" s="230">
        <v>45947</v>
      </c>
      <c r="B1041" s="11" t="s">
        <v>4963</v>
      </c>
      <c r="C1041" s="112" t="s">
        <v>2568</v>
      </c>
      <c r="D1041" s="213" t="s">
        <v>4965</v>
      </c>
      <c r="E1041" s="293"/>
      <c r="F1041" s="289">
        <v>1096000</v>
      </c>
    </row>
    <row r="1042" spans="1:6" x14ac:dyDescent="0.25">
      <c r="A1042" s="230">
        <v>45950</v>
      </c>
      <c r="B1042" s="11" t="s">
        <v>4966</v>
      </c>
      <c r="C1042" s="112" t="s">
        <v>2568</v>
      </c>
      <c r="D1042" s="213" t="s">
        <v>446</v>
      </c>
      <c r="E1042" s="293"/>
      <c r="F1042" s="289">
        <v>95490</v>
      </c>
    </row>
    <row r="1043" spans="1:6" x14ac:dyDescent="0.25">
      <c r="A1043" s="230">
        <v>45950</v>
      </c>
      <c r="B1043" s="11" t="s">
        <v>4966</v>
      </c>
      <c r="C1043" s="112" t="s">
        <v>2568</v>
      </c>
      <c r="D1043" s="213" t="s">
        <v>4967</v>
      </c>
      <c r="E1043" s="293"/>
      <c r="F1043" s="289">
        <v>39800</v>
      </c>
    </row>
    <row r="1044" spans="1:6" x14ac:dyDescent="0.25">
      <c r="A1044" s="230">
        <v>45950</v>
      </c>
      <c r="B1044" s="11" t="s">
        <v>4968</v>
      </c>
      <c r="C1044" s="112" t="s">
        <v>2568</v>
      </c>
      <c r="D1044" s="213" t="s">
        <v>4969</v>
      </c>
      <c r="E1044" s="293"/>
      <c r="F1044" s="289">
        <v>3700000</v>
      </c>
    </row>
    <row r="1045" spans="1:6" x14ac:dyDescent="0.25">
      <c r="A1045" s="230">
        <v>45950</v>
      </c>
      <c r="B1045" s="11" t="s">
        <v>4968</v>
      </c>
      <c r="C1045" s="112" t="s">
        <v>2568</v>
      </c>
      <c r="D1045" s="213" t="s">
        <v>981</v>
      </c>
      <c r="E1045" s="293"/>
      <c r="F1045" s="289">
        <v>2500</v>
      </c>
    </row>
    <row r="1046" spans="1:6" x14ac:dyDescent="0.25">
      <c r="A1046" s="230">
        <v>45950</v>
      </c>
      <c r="B1046" s="11" t="s">
        <v>4968</v>
      </c>
      <c r="C1046" s="112" t="s">
        <v>2568</v>
      </c>
      <c r="D1046" s="213" t="s">
        <v>4970</v>
      </c>
      <c r="E1046" s="293"/>
      <c r="F1046" s="289">
        <v>210000</v>
      </c>
    </row>
    <row r="1047" spans="1:6" x14ac:dyDescent="0.25">
      <c r="A1047" s="230">
        <v>45950</v>
      </c>
      <c r="B1047" s="11" t="s">
        <v>4968</v>
      </c>
      <c r="C1047" s="112" t="s">
        <v>2568</v>
      </c>
      <c r="D1047" s="213" t="s">
        <v>4971</v>
      </c>
      <c r="E1047" s="293"/>
      <c r="F1047" s="289">
        <v>14750</v>
      </c>
    </row>
    <row r="1048" spans="1:6" x14ac:dyDescent="0.25">
      <c r="A1048" s="230">
        <v>45950</v>
      </c>
      <c r="B1048" s="11" t="s">
        <v>4968</v>
      </c>
      <c r="C1048" s="112" t="s">
        <v>2568</v>
      </c>
      <c r="D1048" s="213" t="s">
        <v>4972</v>
      </c>
      <c r="E1048" s="293"/>
      <c r="F1048" s="289">
        <v>159000</v>
      </c>
    </row>
    <row r="1049" spans="1:6" x14ac:dyDescent="0.25">
      <c r="A1049" s="230">
        <v>45950</v>
      </c>
      <c r="B1049" s="11" t="s">
        <v>4968</v>
      </c>
      <c r="C1049" s="112" t="s">
        <v>2568</v>
      </c>
      <c r="D1049" s="213" t="s">
        <v>981</v>
      </c>
      <c r="E1049" s="293"/>
      <c r="F1049" s="289">
        <v>2500</v>
      </c>
    </row>
    <row r="1050" spans="1:6" x14ac:dyDescent="0.25">
      <c r="A1050" s="230">
        <v>45951</v>
      </c>
      <c r="B1050" s="11" t="s">
        <v>4973</v>
      </c>
      <c r="C1050" s="112" t="s">
        <v>2568</v>
      </c>
      <c r="D1050" s="213" t="s">
        <v>4974</v>
      </c>
      <c r="E1050" s="293"/>
      <c r="F1050" s="289">
        <v>273000</v>
      </c>
    </row>
    <row r="1051" spans="1:6" x14ac:dyDescent="0.25">
      <c r="A1051" s="230">
        <v>45952</v>
      </c>
      <c r="B1051" s="11" t="s">
        <v>4975</v>
      </c>
      <c r="C1051" s="112" t="s">
        <v>2568</v>
      </c>
      <c r="D1051" s="213" t="s">
        <v>4976</v>
      </c>
      <c r="E1051" s="293"/>
      <c r="F1051" s="289">
        <v>101500</v>
      </c>
    </row>
    <row r="1052" spans="1:6" x14ac:dyDescent="0.25">
      <c r="A1052" s="230">
        <v>45953</v>
      </c>
      <c r="B1052" s="11" t="s">
        <v>4977</v>
      </c>
      <c r="C1052" s="112" t="s">
        <v>2568</v>
      </c>
      <c r="D1052" s="281" t="s">
        <v>4978</v>
      </c>
      <c r="E1052" s="309"/>
      <c r="F1052" s="283">
        <v>1200000</v>
      </c>
    </row>
    <row r="1053" spans="1:6" x14ac:dyDescent="0.25">
      <c r="A1053" s="230">
        <v>45953</v>
      </c>
      <c r="B1053" s="11" t="s">
        <v>4977</v>
      </c>
      <c r="C1053" s="112" t="s">
        <v>2568</v>
      </c>
      <c r="D1053" s="281" t="s">
        <v>4979</v>
      </c>
      <c r="E1053" s="309"/>
      <c r="F1053" s="283">
        <v>-24000</v>
      </c>
    </row>
    <row r="1054" spans="1:6" x14ac:dyDescent="0.25">
      <c r="A1054" s="230">
        <v>45953</v>
      </c>
      <c r="B1054" s="11" t="s">
        <v>4977</v>
      </c>
      <c r="C1054" s="112" t="s">
        <v>2568</v>
      </c>
      <c r="D1054" s="280" t="s">
        <v>4980</v>
      </c>
      <c r="E1054" s="309"/>
      <c r="F1054" s="283">
        <v>2500</v>
      </c>
    </row>
    <row r="1055" spans="1:6" x14ac:dyDescent="0.25">
      <c r="A1055" s="230">
        <v>45953</v>
      </c>
      <c r="B1055" s="11" t="s">
        <v>4977</v>
      </c>
      <c r="C1055" s="112" t="s">
        <v>2568</v>
      </c>
      <c r="D1055" s="280" t="s">
        <v>4981</v>
      </c>
      <c r="E1055" s="309"/>
      <c r="F1055" s="283">
        <v>476500</v>
      </c>
    </row>
    <row r="1056" spans="1:6" x14ac:dyDescent="0.25">
      <c r="A1056" s="230">
        <v>45954</v>
      </c>
      <c r="B1056" s="11" t="s">
        <v>4982</v>
      </c>
      <c r="C1056" s="112" t="s">
        <v>2568</v>
      </c>
      <c r="D1056" s="213" t="s">
        <v>4983</v>
      </c>
      <c r="E1056" s="293"/>
      <c r="F1056" s="289">
        <v>42000</v>
      </c>
    </row>
    <row r="1057" spans="1:6" x14ac:dyDescent="0.25">
      <c r="A1057" s="230">
        <v>45954</v>
      </c>
      <c r="B1057" s="11" t="s">
        <v>4982</v>
      </c>
      <c r="C1057" s="112" t="s">
        <v>2568</v>
      </c>
      <c r="D1057" s="213" t="s">
        <v>4984</v>
      </c>
      <c r="E1057" s="293"/>
      <c r="F1057" s="289">
        <v>170000</v>
      </c>
    </row>
    <row r="1058" spans="1:6" x14ac:dyDescent="0.25">
      <c r="A1058" s="230">
        <v>45954</v>
      </c>
      <c r="B1058" s="11" t="s">
        <v>4982</v>
      </c>
      <c r="C1058" s="112" t="s">
        <v>2568</v>
      </c>
      <c r="D1058" s="213" t="s">
        <v>4985</v>
      </c>
      <c r="E1058" s="293"/>
      <c r="F1058" s="289">
        <v>414660</v>
      </c>
    </row>
    <row r="1059" spans="1:6" x14ac:dyDescent="0.25">
      <c r="A1059" s="230">
        <v>45954</v>
      </c>
      <c r="B1059" s="11" t="s">
        <v>4982</v>
      </c>
      <c r="C1059" s="112" t="s">
        <v>2568</v>
      </c>
      <c r="D1059" s="213" t="s">
        <v>4986</v>
      </c>
      <c r="E1059" s="293"/>
      <c r="F1059" s="289">
        <v>14000</v>
      </c>
    </row>
    <row r="1060" spans="1:6" x14ac:dyDescent="0.25">
      <c r="A1060" s="230">
        <v>45954</v>
      </c>
      <c r="B1060" s="11" t="s">
        <v>4982</v>
      </c>
      <c r="C1060" s="112" t="s">
        <v>2568</v>
      </c>
      <c r="D1060" s="213" t="s">
        <v>4987</v>
      </c>
      <c r="E1060" s="293"/>
      <c r="F1060" s="289">
        <v>10000</v>
      </c>
    </row>
    <row r="1061" spans="1:6" x14ac:dyDescent="0.25">
      <c r="A1061" s="230">
        <v>45954</v>
      </c>
      <c r="B1061" s="11" t="s">
        <v>4982</v>
      </c>
      <c r="C1061" s="112" t="s">
        <v>2568</v>
      </c>
      <c r="D1061" s="213" t="s">
        <v>4988</v>
      </c>
      <c r="E1061" s="293"/>
      <c r="F1061" s="289">
        <v>95000</v>
      </c>
    </row>
    <row r="1062" spans="1:6" x14ac:dyDescent="0.25">
      <c r="A1062" s="230">
        <v>45954</v>
      </c>
      <c r="B1062" s="11" t="s">
        <v>4982</v>
      </c>
      <c r="C1062" s="112" t="s">
        <v>2568</v>
      </c>
      <c r="D1062" s="213" t="s">
        <v>4989</v>
      </c>
      <c r="E1062" s="293"/>
      <c r="F1062" s="289">
        <v>112000</v>
      </c>
    </row>
    <row r="1063" spans="1:6" x14ac:dyDescent="0.25">
      <c r="A1063" s="230">
        <v>45954</v>
      </c>
      <c r="B1063" s="11" t="s">
        <v>4982</v>
      </c>
      <c r="C1063" s="112" t="s">
        <v>2568</v>
      </c>
      <c r="D1063" s="213" t="s">
        <v>4990</v>
      </c>
      <c r="E1063" s="293"/>
      <c r="F1063" s="289">
        <v>138000</v>
      </c>
    </row>
    <row r="1064" spans="1:6" x14ac:dyDescent="0.25">
      <c r="A1064" s="230">
        <v>45954</v>
      </c>
      <c r="B1064" s="11" t="s">
        <v>4982</v>
      </c>
      <c r="C1064" s="112" t="s">
        <v>2568</v>
      </c>
      <c r="D1064" s="213" t="s">
        <v>4991</v>
      </c>
      <c r="E1064" s="293"/>
      <c r="F1064" s="289">
        <v>82000</v>
      </c>
    </row>
    <row r="1065" spans="1:6" x14ac:dyDescent="0.25">
      <c r="A1065" s="230">
        <v>45964</v>
      </c>
      <c r="B1065" s="11" t="s">
        <v>5386</v>
      </c>
      <c r="C1065" s="112" t="s">
        <v>2568</v>
      </c>
      <c r="D1065" s="281" t="s">
        <v>5387</v>
      </c>
      <c r="E1065" s="293"/>
      <c r="F1065" s="283">
        <v>6000</v>
      </c>
    </row>
    <row r="1066" spans="1:6" x14ac:dyDescent="0.25">
      <c r="A1066" s="230">
        <v>45964</v>
      </c>
      <c r="B1066" s="11" t="s">
        <v>5386</v>
      </c>
      <c r="C1066" s="112" t="s">
        <v>2568</v>
      </c>
      <c r="D1066" s="281" t="s">
        <v>5388</v>
      </c>
      <c r="E1066" s="293"/>
      <c r="F1066" s="283">
        <v>20000</v>
      </c>
    </row>
    <row r="1067" spans="1:6" x14ac:dyDescent="0.25">
      <c r="A1067" s="230">
        <v>45964</v>
      </c>
      <c r="B1067" s="11" t="s">
        <v>5386</v>
      </c>
      <c r="C1067" s="112" t="s">
        <v>2568</v>
      </c>
      <c r="D1067" s="281" t="s">
        <v>5389</v>
      </c>
      <c r="E1067" s="293"/>
      <c r="F1067" s="283">
        <v>60000</v>
      </c>
    </row>
    <row r="1068" spans="1:6" x14ac:dyDescent="0.25">
      <c r="A1068" s="230">
        <v>45964</v>
      </c>
      <c r="B1068" s="11" t="s">
        <v>5386</v>
      </c>
      <c r="C1068" s="112" t="s">
        <v>2568</v>
      </c>
      <c r="D1068" s="281" t="s">
        <v>5390</v>
      </c>
      <c r="E1068" s="293"/>
      <c r="F1068" s="283">
        <v>32000</v>
      </c>
    </row>
    <row r="1069" spans="1:6" x14ac:dyDescent="0.25">
      <c r="A1069" s="230">
        <v>45965</v>
      </c>
      <c r="B1069" s="11" t="s">
        <v>5391</v>
      </c>
      <c r="C1069" s="112" t="s">
        <v>2568</v>
      </c>
      <c r="D1069" s="213" t="s">
        <v>5392</v>
      </c>
      <c r="E1069" s="293"/>
      <c r="F1069" s="289">
        <v>103000</v>
      </c>
    </row>
    <row r="1070" spans="1:6" x14ac:dyDescent="0.25">
      <c r="A1070" s="230">
        <v>45965</v>
      </c>
      <c r="B1070" s="11" t="s">
        <v>5391</v>
      </c>
      <c r="C1070" s="112" t="s">
        <v>2568</v>
      </c>
      <c r="D1070" s="213" t="s">
        <v>5393</v>
      </c>
      <c r="E1070" s="293"/>
      <c r="F1070" s="289">
        <v>220000</v>
      </c>
    </row>
    <row r="1071" spans="1:6" x14ac:dyDescent="0.25">
      <c r="A1071" s="230">
        <v>45965</v>
      </c>
      <c r="B1071" s="11" t="s">
        <v>5391</v>
      </c>
      <c r="C1071" s="112" t="s">
        <v>2568</v>
      </c>
      <c r="D1071" s="213" t="s">
        <v>5394</v>
      </c>
      <c r="E1071" s="293"/>
      <c r="F1071" s="289">
        <v>110000</v>
      </c>
    </row>
    <row r="1072" spans="1:6" x14ac:dyDescent="0.25">
      <c r="A1072" s="230">
        <v>45965</v>
      </c>
      <c r="B1072" s="11" t="s">
        <v>5391</v>
      </c>
      <c r="C1072" s="112" t="s">
        <v>2568</v>
      </c>
      <c r="D1072" s="281" t="s">
        <v>2041</v>
      </c>
      <c r="E1072" s="293"/>
      <c r="F1072" s="289">
        <v>2500</v>
      </c>
    </row>
    <row r="1073" spans="1:6" x14ac:dyDescent="0.25">
      <c r="A1073" s="230">
        <v>45965</v>
      </c>
      <c r="B1073" s="11" t="s">
        <v>5395</v>
      </c>
      <c r="C1073" s="112" t="s">
        <v>2568</v>
      </c>
      <c r="D1073" s="213" t="s">
        <v>5396</v>
      </c>
      <c r="E1073" s="293"/>
      <c r="F1073" s="289">
        <v>2298800</v>
      </c>
    </row>
    <row r="1074" spans="1:6" x14ac:dyDescent="0.25">
      <c r="A1074" s="230">
        <v>45971</v>
      </c>
      <c r="B1074" s="11" t="s">
        <v>5397</v>
      </c>
      <c r="C1074" s="112" t="s">
        <v>2568</v>
      </c>
      <c r="D1074" s="213" t="s">
        <v>5398</v>
      </c>
      <c r="E1074" s="293"/>
      <c r="F1074" s="290">
        <v>400000</v>
      </c>
    </row>
    <row r="1075" spans="1:6" x14ac:dyDescent="0.25">
      <c r="A1075" s="230">
        <v>45971</v>
      </c>
      <c r="B1075" s="11" t="s">
        <v>5397</v>
      </c>
      <c r="C1075" s="112" t="s">
        <v>2568</v>
      </c>
      <c r="D1075" s="213" t="s">
        <v>210</v>
      </c>
      <c r="E1075" s="293"/>
      <c r="F1075" s="290">
        <v>2500</v>
      </c>
    </row>
    <row r="1076" spans="1:6" x14ac:dyDescent="0.25">
      <c r="A1076" s="230">
        <v>45971</v>
      </c>
      <c r="B1076" s="11" t="s">
        <v>5397</v>
      </c>
      <c r="C1076" s="112" t="s">
        <v>2568</v>
      </c>
      <c r="D1076" s="213" t="s">
        <v>5399</v>
      </c>
      <c r="E1076" s="293"/>
      <c r="F1076" s="290">
        <v>22000</v>
      </c>
    </row>
    <row r="1077" spans="1:6" x14ac:dyDescent="0.25">
      <c r="A1077" s="230">
        <v>45971</v>
      </c>
      <c r="B1077" s="11" t="s">
        <v>5397</v>
      </c>
      <c r="C1077" s="112" t="s">
        <v>2568</v>
      </c>
      <c r="D1077" s="213" t="s">
        <v>5400</v>
      </c>
      <c r="E1077" s="293"/>
      <c r="F1077" s="290">
        <v>23000</v>
      </c>
    </row>
    <row r="1078" spans="1:6" x14ac:dyDescent="0.25">
      <c r="A1078" s="230">
        <v>45971</v>
      </c>
      <c r="B1078" s="11" t="s">
        <v>5397</v>
      </c>
      <c r="C1078" s="112" t="s">
        <v>2568</v>
      </c>
      <c r="D1078" s="213" t="s">
        <v>4496</v>
      </c>
      <c r="E1078" s="293"/>
      <c r="F1078" s="290">
        <v>30000</v>
      </c>
    </row>
    <row r="1079" spans="1:6" x14ac:dyDescent="0.25">
      <c r="A1079" s="230">
        <v>45978</v>
      </c>
      <c r="B1079" s="11" t="s">
        <v>5712</v>
      </c>
      <c r="C1079" s="112" t="s">
        <v>2568</v>
      </c>
      <c r="D1079" s="28" t="s">
        <v>5713</v>
      </c>
      <c r="E1079" s="293">
        <v>50000</v>
      </c>
      <c r="F1079" s="290"/>
    </row>
    <row r="1080" spans="1:6" x14ac:dyDescent="0.25">
      <c r="A1080" s="230">
        <v>45978</v>
      </c>
      <c r="B1080" s="11" t="s">
        <v>5712</v>
      </c>
      <c r="C1080" s="112" t="s">
        <v>2568</v>
      </c>
      <c r="D1080" s="28" t="s">
        <v>981</v>
      </c>
      <c r="E1080" s="293">
        <v>2500</v>
      </c>
      <c r="F1080" s="290"/>
    </row>
    <row r="1081" spans="1:6" x14ac:dyDescent="0.25">
      <c r="A1081" s="230">
        <v>45979</v>
      </c>
      <c r="B1081" s="11" t="s">
        <v>5714</v>
      </c>
      <c r="C1081" s="112" t="s">
        <v>2568</v>
      </c>
      <c r="D1081" s="28" t="s">
        <v>5715</v>
      </c>
      <c r="E1081" s="310"/>
      <c r="F1081" s="311">
        <v>1195201</v>
      </c>
    </row>
    <row r="1082" spans="1:6" x14ac:dyDescent="0.25">
      <c r="A1082" s="230">
        <v>45980</v>
      </c>
      <c r="B1082" s="11" t="s">
        <v>5716</v>
      </c>
      <c r="C1082" s="112" t="s">
        <v>2568</v>
      </c>
      <c r="D1082" s="28" t="s">
        <v>5717</v>
      </c>
      <c r="E1082" s="293"/>
      <c r="F1082" s="290">
        <v>1229000</v>
      </c>
    </row>
    <row r="1083" spans="1:6" x14ac:dyDescent="0.25">
      <c r="A1083" s="230">
        <v>45980</v>
      </c>
      <c r="B1083" s="11" t="s">
        <v>5716</v>
      </c>
      <c r="C1083" s="112" t="s">
        <v>2568</v>
      </c>
      <c r="D1083" s="28" t="s">
        <v>210</v>
      </c>
      <c r="E1083" s="293"/>
      <c r="F1083" s="290">
        <v>2500</v>
      </c>
    </row>
    <row r="1084" spans="1:6" x14ac:dyDescent="0.25">
      <c r="A1084" s="230">
        <v>45980</v>
      </c>
      <c r="B1084" s="11" t="s">
        <v>5716</v>
      </c>
      <c r="C1084" s="112" t="s">
        <v>2568</v>
      </c>
      <c r="D1084" s="28" t="s">
        <v>5718</v>
      </c>
      <c r="E1084" s="293"/>
      <c r="F1084" s="290">
        <v>1189971</v>
      </c>
    </row>
    <row r="1085" spans="1:6" x14ac:dyDescent="0.25">
      <c r="A1085" s="230">
        <v>45980</v>
      </c>
      <c r="B1085" s="11" t="s">
        <v>5716</v>
      </c>
      <c r="C1085" s="112" t="s">
        <v>2568</v>
      </c>
      <c r="D1085" s="28" t="s">
        <v>210</v>
      </c>
      <c r="E1085" s="293"/>
      <c r="F1085" s="290">
        <v>2500</v>
      </c>
    </row>
    <row r="1086" spans="1:6" x14ac:dyDescent="0.25">
      <c r="A1086" s="230">
        <v>45981</v>
      </c>
      <c r="B1086" s="11" t="s">
        <v>5719</v>
      </c>
      <c r="C1086" s="112" t="s">
        <v>2568</v>
      </c>
      <c r="D1086" s="28" t="s">
        <v>5720</v>
      </c>
      <c r="E1086" s="293"/>
      <c r="F1086" s="290">
        <v>1123800</v>
      </c>
    </row>
    <row r="1087" spans="1:6" x14ac:dyDescent="0.25">
      <c r="A1087" s="230">
        <v>45981</v>
      </c>
      <c r="B1087" s="11" t="s">
        <v>5719</v>
      </c>
      <c r="C1087" s="112" t="s">
        <v>2568</v>
      </c>
      <c r="D1087" s="28" t="s">
        <v>5721</v>
      </c>
      <c r="E1087" s="293"/>
      <c r="F1087" s="290">
        <v>384723</v>
      </c>
    </row>
    <row r="1088" spans="1:6" x14ac:dyDescent="0.25">
      <c r="A1088" s="230">
        <v>45981</v>
      </c>
      <c r="B1088" s="11" t="s">
        <v>5719</v>
      </c>
      <c r="C1088" s="112" t="s">
        <v>2568</v>
      </c>
      <c r="D1088" s="28" t="s">
        <v>5722</v>
      </c>
      <c r="E1088" s="293"/>
      <c r="F1088" s="290">
        <v>904974</v>
      </c>
    </row>
    <row r="1089" spans="1:6" x14ac:dyDescent="0.25">
      <c r="A1089" s="230">
        <v>45981</v>
      </c>
      <c r="B1089" s="11" t="s">
        <v>5719</v>
      </c>
      <c r="C1089" s="112" t="s">
        <v>2568</v>
      </c>
      <c r="D1089" s="28" t="s">
        <v>5723</v>
      </c>
      <c r="E1089" s="293"/>
      <c r="F1089" s="290">
        <v>150000</v>
      </c>
    </row>
    <row r="1090" spans="1:6" x14ac:dyDescent="0.25">
      <c r="A1090" s="230">
        <v>45981</v>
      </c>
      <c r="B1090" s="11" t="s">
        <v>5719</v>
      </c>
      <c r="C1090" s="112" t="s">
        <v>2568</v>
      </c>
      <c r="D1090" s="28" t="s">
        <v>5724</v>
      </c>
      <c r="E1090" s="293"/>
      <c r="F1090" s="290">
        <v>450000</v>
      </c>
    </row>
    <row r="1091" spans="1:6" x14ac:dyDescent="0.25">
      <c r="A1091" s="230">
        <v>45982</v>
      </c>
      <c r="B1091" s="11" t="s">
        <v>5725</v>
      </c>
      <c r="C1091" s="112" t="s">
        <v>2568</v>
      </c>
      <c r="D1091" s="28" t="s">
        <v>5726</v>
      </c>
      <c r="E1091" s="293">
        <v>1225000</v>
      </c>
      <c r="F1091" s="290"/>
    </row>
    <row r="1092" spans="1:6" x14ac:dyDescent="0.25">
      <c r="A1092" s="230">
        <v>45982</v>
      </c>
      <c r="B1092" s="11" t="s">
        <v>5725</v>
      </c>
      <c r="C1092" s="112" t="s">
        <v>2568</v>
      </c>
      <c r="D1092" s="28" t="s">
        <v>5727</v>
      </c>
      <c r="E1092" s="293">
        <v>-24500</v>
      </c>
      <c r="F1092" s="290"/>
    </row>
    <row r="1093" spans="1:6" x14ac:dyDescent="0.25">
      <c r="A1093" s="230">
        <v>45982</v>
      </c>
      <c r="B1093" s="11" t="s">
        <v>5725</v>
      </c>
      <c r="C1093" s="112" t="s">
        <v>2568</v>
      </c>
      <c r="D1093" s="28" t="s">
        <v>981</v>
      </c>
      <c r="E1093" s="293">
        <v>2500</v>
      </c>
      <c r="F1093" s="290"/>
    </row>
    <row r="1094" spans="1:6" x14ac:dyDescent="0.25">
      <c r="A1094" s="230">
        <v>45982</v>
      </c>
      <c r="B1094" s="11" t="s">
        <v>5725</v>
      </c>
      <c r="C1094" s="112" t="s">
        <v>2568</v>
      </c>
      <c r="D1094" s="28" t="s">
        <v>5728</v>
      </c>
      <c r="E1094" s="293">
        <v>202200</v>
      </c>
      <c r="F1094" s="290"/>
    </row>
    <row r="1095" spans="1:6" x14ac:dyDescent="0.25">
      <c r="A1095" s="230">
        <v>45987</v>
      </c>
      <c r="B1095" s="11" t="s">
        <v>5729</v>
      </c>
      <c r="C1095" s="262" t="s">
        <v>2568</v>
      </c>
      <c r="D1095" s="258" t="s">
        <v>5730</v>
      </c>
      <c r="E1095" s="310"/>
      <c r="F1095" s="311">
        <v>555000</v>
      </c>
    </row>
    <row r="1096" spans="1:6" x14ac:dyDescent="0.25">
      <c r="A1096" s="230">
        <v>45987</v>
      </c>
      <c r="B1096" s="11" t="s">
        <v>5729</v>
      </c>
      <c r="C1096" s="262" t="s">
        <v>2568</v>
      </c>
      <c r="D1096" s="258" t="s">
        <v>210</v>
      </c>
      <c r="E1096" s="310"/>
      <c r="F1096" s="311">
        <v>2500</v>
      </c>
    </row>
    <row r="1097" spans="1:6" x14ac:dyDescent="0.25">
      <c r="A1097" s="230">
        <v>45987</v>
      </c>
      <c r="B1097" s="11" t="s">
        <v>5729</v>
      </c>
      <c r="C1097" s="262" t="s">
        <v>2568</v>
      </c>
      <c r="D1097" s="258" t="s">
        <v>5731</v>
      </c>
      <c r="E1097" s="310"/>
      <c r="F1097" s="311">
        <v>19000</v>
      </c>
    </row>
    <row r="1098" spans="1:6" x14ac:dyDescent="0.25">
      <c r="A1098" s="230">
        <v>45987</v>
      </c>
      <c r="B1098" s="11" t="s">
        <v>5729</v>
      </c>
      <c r="C1098" s="262" t="s">
        <v>2568</v>
      </c>
      <c r="D1098" s="258" t="s">
        <v>5732</v>
      </c>
      <c r="E1098" s="310"/>
      <c r="F1098" s="311">
        <v>59000</v>
      </c>
    </row>
    <row r="1099" spans="1:6" x14ac:dyDescent="0.25">
      <c r="A1099" s="230">
        <v>45988</v>
      </c>
      <c r="B1099" s="11" t="s">
        <v>5733</v>
      </c>
      <c r="C1099" s="112" t="s">
        <v>2568</v>
      </c>
      <c r="D1099" s="280" t="s">
        <v>5734</v>
      </c>
      <c r="E1099" s="293"/>
      <c r="F1099" s="283">
        <v>183000</v>
      </c>
    </row>
    <row r="1100" spans="1:6" x14ac:dyDescent="0.25">
      <c r="A1100" s="230">
        <v>45988</v>
      </c>
      <c r="B1100" s="11" t="s">
        <v>5733</v>
      </c>
      <c r="C1100" s="112" t="s">
        <v>2568</v>
      </c>
      <c r="D1100" s="280" t="s">
        <v>5735</v>
      </c>
      <c r="E1100" s="293"/>
      <c r="F1100" s="283">
        <v>2552500</v>
      </c>
    </row>
    <row r="1101" spans="1:6" x14ac:dyDescent="0.25">
      <c r="A1101" s="230">
        <v>45988</v>
      </c>
      <c r="B1101" s="11" t="s">
        <v>5736</v>
      </c>
      <c r="C1101" s="112" t="s">
        <v>2568</v>
      </c>
      <c r="D1101" s="28" t="s">
        <v>5737</v>
      </c>
      <c r="E1101" s="293"/>
      <c r="F1101" s="290">
        <v>13550000</v>
      </c>
    </row>
    <row r="1102" spans="1:6" x14ac:dyDescent="0.25">
      <c r="A1102" s="230">
        <v>45988</v>
      </c>
      <c r="B1102" s="11" t="s">
        <v>5736</v>
      </c>
      <c r="C1102" s="112" t="s">
        <v>2568</v>
      </c>
      <c r="D1102" s="28" t="s">
        <v>5738</v>
      </c>
      <c r="E1102" s="293"/>
      <c r="F1102" s="290">
        <v>1490500</v>
      </c>
    </row>
    <row r="1103" spans="1:6" x14ac:dyDescent="0.25">
      <c r="A1103" s="230">
        <v>45988</v>
      </c>
      <c r="B1103" s="11" t="s">
        <v>5736</v>
      </c>
      <c r="C1103" s="112" t="s">
        <v>2568</v>
      </c>
      <c r="D1103" s="28" t="s">
        <v>5739</v>
      </c>
      <c r="E1103" s="293"/>
      <c r="F1103" s="290">
        <v>2900</v>
      </c>
    </row>
    <row r="1104" spans="1:6" x14ac:dyDescent="0.25">
      <c r="A1104" s="230">
        <v>45991</v>
      </c>
      <c r="B1104" s="11" t="s">
        <v>5740</v>
      </c>
      <c r="C1104" s="112" t="s">
        <v>2568</v>
      </c>
      <c r="D1104" s="17" t="s">
        <v>5741</v>
      </c>
      <c r="E1104" s="293"/>
      <c r="F1104" s="289">
        <v>127000</v>
      </c>
    </row>
    <row r="1105" spans="1:6" x14ac:dyDescent="0.25">
      <c r="A1105" s="230">
        <v>45991</v>
      </c>
      <c r="B1105" s="11" t="s">
        <v>5740</v>
      </c>
      <c r="C1105" s="112" t="s">
        <v>2568</v>
      </c>
      <c r="D1105" s="17" t="s">
        <v>2041</v>
      </c>
      <c r="E1105" s="293"/>
      <c r="F1105" s="289">
        <v>2500</v>
      </c>
    </row>
    <row r="1106" spans="1:6" x14ac:dyDescent="0.25">
      <c r="A1106" s="230">
        <v>45992</v>
      </c>
      <c r="B1106" s="11" t="s">
        <v>5742</v>
      </c>
      <c r="C1106" s="112" t="s">
        <v>2568</v>
      </c>
      <c r="D1106" s="17" t="s">
        <v>5743</v>
      </c>
      <c r="E1106" s="293"/>
      <c r="F1106" s="290">
        <v>512250</v>
      </c>
    </row>
    <row r="1107" spans="1:6" x14ac:dyDescent="0.25">
      <c r="A1107" s="230">
        <v>45992</v>
      </c>
      <c r="B1107" s="11" t="s">
        <v>5742</v>
      </c>
      <c r="C1107" s="112" t="s">
        <v>2568</v>
      </c>
      <c r="D1107" s="17" t="s">
        <v>5744</v>
      </c>
      <c r="E1107" s="282"/>
      <c r="F1107" s="290">
        <v>239300</v>
      </c>
    </row>
    <row r="1108" spans="1:6" x14ac:dyDescent="0.25">
      <c r="A1108" s="230">
        <v>45992</v>
      </c>
      <c r="B1108" s="11" t="s">
        <v>5742</v>
      </c>
      <c r="C1108" s="112" t="s">
        <v>2568</v>
      </c>
      <c r="D1108" s="17" t="s">
        <v>5745</v>
      </c>
      <c r="E1108" s="293"/>
      <c r="F1108" s="290">
        <v>39000</v>
      </c>
    </row>
    <row r="1109" spans="1:6" x14ac:dyDescent="0.25">
      <c r="A1109" s="230">
        <v>45992</v>
      </c>
      <c r="B1109" s="11" t="s">
        <v>5742</v>
      </c>
      <c r="C1109" s="112" t="s">
        <v>2568</v>
      </c>
      <c r="D1109" s="17" t="s">
        <v>5746</v>
      </c>
      <c r="E1109" s="293"/>
      <c r="F1109" s="290">
        <v>2000000</v>
      </c>
    </row>
    <row r="1110" spans="1:6" x14ac:dyDescent="0.25">
      <c r="A1110" s="230">
        <v>45992</v>
      </c>
      <c r="B1110" s="11" t="s">
        <v>5742</v>
      </c>
      <c r="C1110" s="112" t="s">
        <v>2568</v>
      </c>
      <c r="D1110" s="17" t="s">
        <v>5747</v>
      </c>
      <c r="E1110" s="293"/>
      <c r="F1110" s="290">
        <v>123000</v>
      </c>
    </row>
    <row r="1111" spans="1:6" ht="15.6" x14ac:dyDescent="0.3">
      <c r="A1111" s="230">
        <v>45996</v>
      </c>
      <c r="B1111" s="11" t="s">
        <v>5748</v>
      </c>
      <c r="C1111" s="262" t="s">
        <v>2568</v>
      </c>
      <c r="D1111" s="258" t="s">
        <v>5744</v>
      </c>
      <c r="E1111" s="312"/>
      <c r="F1111" s="311">
        <v>71000</v>
      </c>
    </row>
    <row r="1112" spans="1:6" x14ac:dyDescent="0.25">
      <c r="A1112" s="230">
        <v>46008</v>
      </c>
      <c r="B1112" s="11" t="s">
        <v>5749</v>
      </c>
      <c r="C1112" s="112" t="s">
        <v>2568</v>
      </c>
      <c r="D1112" s="28" t="s">
        <v>5750</v>
      </c>
      <c r="E1112" s="313"/>
      <c r="F1112" s="290">
        <v>1290000</v>
      </c>
    </row>
    <row r="1113" spans="1:6" x14ac:dyDescent="0.25">
      <c r="A1113" s="230">
        <v>46008</v>
      </c>
      <c r="B1113" s="11" t="s">
        <v>5749</v>
      </c>
      <c r="C1113" s="112" t="s">
        <v>2568</v>
      </c>
      <c r="D1113" s="28" t="s">
        <v>5751</v>
      </c>
      <c r="E1113" s="313"/>
      <c r="F1113" s="290">
        <v>-25800</v>
      </c>
    </row>
    <row r="1114" spans="1:6" x14ac:dyDescent="0.25">
      <c r="A1114" s="230">
        <v>46008</v>
      </c>
      <c r="B1114" s="11" t="s">
        <v>5749</v>
      </c>
      <c r="C1114" s="112" t="s">
        <v>2568</v>
      </c>
      <c r="D1114" s="28" t="s">
        <v>5752</v>
      </c>
      <c r="E1114" s="313"/>
      <c r="F1114" s="290">
        <v>685000</v>
      </c>
    </row>
    <row r="1115" spans="1:6" x14ac:dyDescent="0.25">
      <c r="A1115" s="230">
        <v>46008</v>
      </c>
      <c r="B1115" s="11" t="s">
        <v>5749</v>
      </c>
      <c r="C1115" s="112" t="s">
        <v>2568</v>
      </c>
      <c r="D1115" s="28" t="s">
        <v>5753</v>
      </c>
      <c r="E1115" s="313"/>
      <c r="F1115" s="290">
        <v>-13700</v>
      </c>
    </row>
    <row r="1116" spans="1:6" x14ac:dyDescent="0.25">
      <c r="A1116" s="230">
        <v>45989</v>
      </c>
      <c r="B1116" s="11" t="s">
        <v>5754</v>
      </c>
      <c r="C1116" s="112" t="s">
        <v>2568</v>
      </c>
      <c r="D1116" s="267" t="s">
        <v>5755</v>
      </c>
      <c r="E1116" s="282"/>
      <c r="F1116" s="290">
        <v>7766427</v>
      </c>
    </row>
    <row r="1117" spans="1:6" x14ac:dyDescent="0.25">
      <c r="A1117" s="230">
        <v>45989</v>
      </c>
      <c r="B1117" s="11" t="s">
        <v>5754</v>
      </c>
      <c r="C1117" s="112" t="s">
        <v>2568</v>
      </c>
      <c r="D1117" s="267" t="s">
        <v>5756</v>
      </c>
      <c r="E1117" s="282"/>
      <c r="F1117" s="290">
        <v>587825</v>
      </c>
    </row>
    <row r="1118" spans="1:6" x14ac:dyDescent="0.25">
      <c r="A1118" s="576">
        <v>46020</v>
      </c>
      <c r="B1118" s="577" t="s">
        <v>6130</v>
      </c>
      <c r="C1118" s="578" t="s">
        <v>2568</v>
      </c>
      <c r="D1118" s="579" t="s">
        <v>6131</v>
      </c>
      <c r="E1118" s="310"/>
      <c r="F1118" s="311">
        <v>229000</v>
      </c>
    </row>
    <row r="1119" spans="1:6" x14ac:dyDescent="0.25">
      <c r="A1119" s="576">
        <v>46020</v>
      </c>
      <c r="B1119" s="577" t="s">
        <v>6130</v>
      </c>
      <c r="C1119" s="578" t="s">
        <v>2568</v>
      </c>
      <c r="D1119" s="579" t="s">
        <v>6132</v>
      </c>
      <c r="E1119" s="310"/>
      <c r="F1119" s="311">
        <v>4900000</v>
      </c>
    </row>
    <row r="1120" spans="1:6" x14ac:dyDescent="0.25">
      <c r="A1120" s="576">
        <v>46020</v>
      </c>
      <c r="B1120" s="577" t="s">
        <v>6130</v>
      </c>
      <c r="C1120" s="578" t="s">
        <v>2568</v>
      </c>
      <c r="D1120" s="579" t="s">
        <v>6133</v>
      </c>
      <c r="E1120" s="310"/>
      <c r="F1120" s="311">
        <v>-98000</v>
      </c>
    </row>
    <row r="1121" spans="1:6" x14ac:dyDescent="0.25">
      <c r="A1121" s="576">
        <v>46020</v>
      </c>
      <c r="B1121" s="577" t="s">
        <v>6130</v>
      </c>
      <c r="C1121" s="578" t="s">
        <v>2568</v>
      </c>
      <c r="D1121" s="579" t="s">
        <v>6134</v>
      </c>
      <c r="E1121" s="310"/>
      <c r="F1121" s="311">
        <v>47000</v>
      </c>
    </row>
    <row r="1122" spans="1:6" x14ac:dyDescent="0.25">
      <c r="A1122" s="576">
        <v>46020</v>
      </c>
      <c r="B1122" s="577" t="s">
        <v>6130</v>
      </c>
      <c r="C1122" s="578" t="s">
        <v>2568</v>
      </c>
      <c r="D1122" s="579" t="s">
        <v>6135</v>
      </c>
      <c r="E1122" s="310"/>
      <c r="F1122" s="311">
        <v>254000</v>
      </c>
    </row>
    <row r="1123" spans="1:6" x14ac:dyDescent="0.25">
      <c r="A1123" s="576">
        <v>46020</v>
      </c>
      <c r="B1123" s="577" t="s">
        <v>6136</v>
      </c>
      <c r="C1123" s="578" t="s">
        <v>2568</v>
      </c>
      <c r="D1123" s="579" t="s">
        <v>6137</v>
      </c>
      <c r="E1123" s="310"/>
      <c r="F1123" s="311">
        <v>7800000</v>
      </c>
    </row>
    <row r="1124" spans="1:6" x14ac:dyDescent="0.25">
      <c r="A1124" s="576">
        <v>46020</v>
      </c>
      <c r="B1124" s="577" t="s">
        <v>6136</v>
      </c>
      <c r="C1124" s="578" t="s">
        <v>2568</v>
      </c>
      <c r="D1124" s="579" t="s">
        <v>6138</v>
      </c>
      <c r="E1124" s="310"/>
      <c r="F1124" s="311">
        <v>431240</v>
      </c>
    </row>
    <row r="1125" spans="1:6" x14ac:dyDescent="0.25">
      <c r="A1125" s="576">
        <v>46022</v>
      </c>
      <c r="B1125" s="577" t="s">
        <v>6139</v>
      </c>
      <c r="C1125" s="578" t="s">
        <v>2568</v>
      </c>
      <c r="D1125" s="579" t="s">
        <v>6140</v>
      </c>
      <c r="E1125" s="310"/>
      <c r="F1125" s="311">
        <v>1518000</v>
      </c>
    </row>
    <row r="1126" spans="1:6" x14ac:dyDescent="0.25">
      <c r="A1126" s="576">
        <v>46022</v>
      </c>
      <c r="B1126" s="577" t="s">
        <v>6139</v>
      </c>
      <c r="C1126" s="578" t="s">
        <v>2568</v>
      </c>
      <c r="D1126" s="579" t="s">
        <v>6141</v>
      </c>
      <c r="E1126" s="310"/>
      <c r="F1126" s="311">
        <v>166980</v>
      </c>
    </row>
    <row r="1127" spans="1:6" x14ac:dyDescent="0.25">
      <c r="A1127" s="576">
        <v>46022</v>
      </c>
      <c r="B1127" s="577" t="s">
        <v>6139</v>
      </c>
      <c r="C1127" s="578" t="s">
        <v>2568</v>
      </c>
      <c r="D1127" s="579" t="s">
        <v>6142</v>
      </c>
      <c r="E1127" s="310"/>
      <c r="F1127" s="311">
        <v>2900</v>
      </c>
    </row>
    <row r="1128" spans="1:6" x14ac:dyDescent="0.25">
      <c r="A1128" s="576">
        <v>45993</v>
      </c>
      <c r="B1128" s="580" t="s">
        <v>6147</v>
      </c>
      <c r="C1128" s="578" t="s">
        <v>2568</v>
      </c>
      <c r="D1128" s="580" t="s">
        <v>6148</v>
      </c>
      <c r="E1128" s="581"/>
      <c r="F1128" s="582">
        <v>169000</v>
      </c>
    </row>
    <row r="1129" spans="1:6" x14ac:dyDescent="0.25">
      <c r="A1129" s="576">
        <v>45994</v>
      </c>
      <c r="B1129" s="580" t="s">
        <v>6149</v>
      </c>
      <c r="C1129" s="578" t="s">
        <v>2568</v>
      </c>
      <c r="D1129" s="580" t="s">
        <v>6150</v>
      </c>
      <c r="E1129" s="581"/>
      <c r="F1129" s="582">
        <v>88000</v>
      </c>
    </row>
    <row r="1130" spans="1:6" x14ac:dyDescent="0.25">
      <c r="A1130" s="576">
        <v>45994</v>
      </c>
      <c r="B1130" s="580" t="s">
        <v>6149</v>
      </c>
      <c r="C1130" s="578" t="s">
        <v>2568</v>
      </c>
      <c r="D1130" s="580" t="s">
        <v>6151</v>
      </c>
      <c r="E1130" s="581"/>
      <c r="F1130" s="582">
        <v>204409</v>
      </c>
    </row>
    <row r="1131" spans="1:6" x14ac:dyDescent="0.25">
      <c r="A1131" s="576">
        <v>45994</v>
      </c>
      <c r="B1131" s="580" t="s">
        <v>6149</v>
      </c>
      <c r="C1131" s="578" t="s">
        <v>2568</v>
      </c>
      <c r="D1131" s="580" t="s">
        <v>6152</v>
      </c>
      <c r="E1131" s="581"/>
      <c r="F1131" s="582">
        <v>5000</v>
      </c>
    </row>
    <row r="1132" spans="1:6" x14ac:dyDescent="0.25">
      <c r="A1132" s="576">
        <v>45996</v>
      </c>
      <c r="B1132" s="580" t="s">
        <v>6153</v>
      </c>
      <c r="C1132" s="578" t="s">
        <v>2568</v>
      </c>
      <c r="D1132" s="580" t="s">
        <v>105</v>
      </c>
      <c r="E1132" s="581"/>
      <c r="F1132" s="582">
        <v>2500</v>
      </c>
    </row>
    <row r="1133" spans="1:6" x14ac:dyDescent="0.25">
      <c r="A1133" s="576">
        <v>45996</v>
      </c>
      <c r="B1133" s="580" t="s">
        <v>6153</v>
      </c>
      <c r="C1133" s="578" t="s">
        <v>2568</v>
      </c>
      <c r="D1133" s="580" t="s">
        <v>6154</v>
      </c>
      <c r="E1133" s="581"/>
      <c r="F1133" s="582">
        <v>7700000</v>
      </c>
    </row>
    <row r="1134" spans="1:6" x14ac:dyDescent="0.25">
      <c r="A1134" s="576">
        <v>46000</v>
      </c>
      <c r="B1134" s="580" t="s">
        <v>6155</v>
      </c>
      <c r="C1134" s="578" t="s">
        <v>2568</v>
      </c>
      <c r="D1134" s="580" t="s">
        <v>6156</v>
      </c>
      <c r="E1134" s="581"/>
      <c r="F1134" s="582">
        <v>60750</v>
      </c>
    </row>
    <row r="1135" spans="1:6" x14ac:dyDescent="0.25">
      <c r="A1135" s="576">
        <v>46000</v>
      </c>
      <c r="B1135" s="580" t="s">
        <v>6155</v>
      </c>
      <c r="C1135" s="578" t="s">
        <v>2568</v>
      </c>
      <c r="D1135" s="580" t="s">
        <v>105</v>
      </c>
      <c r="E1135" s="581"/>
      <c r="F1135" s="582">
        <v>2500</v>
      </c>
    </row>
    <row r="1136" spans="1:6" x14ac:dyDescent="0.25">
      <c r="A1136" s="576">
        <v>46008</v>
      </c>
      <c r="B1136" s="580" t="s">
        <v>6157</v>
      </c>
      <c r="C1136" s="578" t="s">
        <v>2568</v>
      </c>
      <c r="D1136" s="580" t="s">
        <v>6158</v>
      </c>
      <c r="E1136" s="581"/>
      <c r="F1136" s="582">
        <v>1263000</v>
      </c>
    </row>
    <row r="1137" spans="1:6" x14ac:dyDescent="0.25">
      <c r="A1137" s="576">
        <v>45996</v>
      </c>
      <c r="B1137" s="580" t="s">
        <v>6159</v>
      </c>
      <c r="C1137" s="578" t="s">
        <v>2568</v>
      </c>
      <c r="D1137" s="580" t="s">
        <v>6160</v>
      </c>
      <c r="E1137" s="581"/>
      <c r="F1137" s="582">
        <v>3900000</v>
      </c>
    </row>
    <row r="1138" spans="1:6" x14ac:dyDescent="0.25">
      <c r="A1138" s="576">
        <v>45996</v>
      </c>
      <c r="B1138" s="580" t="s">
        <v>6159</v>
      </c>
      <c r="C1138" s="578" t="s">
        <v>2568</v>
      </c>
      <c r="D1138" s="580" t="s">
        <v>105</v>
      </c>
      <c r="E1138" s="581"/>
      <c r="F1138" s="582">
        <v>2500</v>
      </c>
    </row>
    <row r="1139" spans="1:6" x14ac:dyDescent="0.25">
      <c r="A1139" s="583">
        <v>46022</v>
      </c>
      <c r="B1139" s="584" t="s">
        <v>6161</v>
      </c>
      <c r="C1139" s="585" t="s">
        <v>2568</v>
      </c>
      <c r="D1139" s="584" t="s">
        <v>6162</v>
      </c>
      <c r="E1139" s="586"/>
      <c r="F1139" s="587">
        <v>16357370</v>
      </c>
    </row>
  </sheetData>
  <autoFilter ref="A2:F1064" xr:uid="{3D6ED688-D447-4691-8816-016B4D517EC4}"/>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6BCFD-3811-4BF7-B40B-E9A6A87E003E}">
  <dimension ref="A2:F488"/>
  <sheetViews>
    <sheetView workbookViewId="0">
      <pane xSplit="3" ySplit="2" topLeftCell="D477" activePane="bottomRight" state="frozen"/>
      <selection pane="topRight" activeCell="D1" sqref="D1"/>
      <selection pane="bottomLeft" activeCell="A3" sqref="A3"/>
      <selection pane="bottomRight" activeCell="D493" sqref="D493"/>
    </sheetView>
  </sheetViews>
  <sheetFormatPr defaultRowHeight="15" x14ac:dyDescent="0.25"/>
  <cols>
    <col min="1" max="3" width="13.88671875" style="103" customWidth="1"/>
    <col min="4" max="4" width="111.21875" style="103" customWidth="1"/>
    <col min="5" max="6" width="18.88671875" style="314" customWidth="1"/>
    <col min="7" max="16384" width="8.88671875" style="103"/>
  </cols>
  <sheetData>
    <row r="2" spans="1:6" ht="15.6" x14ac:dyDescent="0.25">
      <c r="A2" s="319" t="s">
        <v>0</v>
      </c>
      <c r="B2" s="102" t="s">
        <v>1</v>
      </c>
      <c r="C2" s="109" t="s">
        <v>2</v>
      </c>
      <c r="D2" s="102" t="s">
        <v>3</v>
      </c>
      <c r="E2" s="320" t="s">
        <v>4</v>
      </c>
      <c r="F2" s="179" t="s">
        <v>5</v>
      </c>
    </row>
    <row r="3" spans="1:6" x14ac:dyDescent="0.25">
      <c r="A3" s="321">
        <v>45547</v>
      </c>
      <c r="B3" s="323">
        <v>294</v>
      </c>
      <c r="C3" s="324" t="s">
        <v>3529</v>
      </c>
      <c r="D3" s="330" t="s">
        <v>3530</v>
      </c>
      <c r="E3" s="331"/>
      <c r="F3" s="332">
        <v>1148169661</v>
      </c>
    </row>
    <row r="4" spans="1:6" x14ac:dyDescent="0.25">
      <c r="A4" s="232">
        <v>45615</v>
      </c>
      <c r="B4" s="9">
        <v>377</v>
      </c>
      <c r="C4" s="142" t="s">
        <v>3529</v>
      </c>
      <c r="D4" s="12" t="s">
        <v>3531</v>
      </c>
      <c r="E4" s="294"/>
      <c r="F4" s="301">
        <v>19703000</v>
      </c>
    </row>
    <row r="5" spans="1:6" x14ac:dyDescent="0.25">
      <c r="A5" s="232">
        <v>45615</v>
      </c>
      <c r="B5" s="9">
        <v>377</v>
      </c>
      <c r="C5" s="142" t="s">
        <v>3529</v>
      </c>
      <c r="D5" s="12" t="s">
        <v>3532</v>
      </c>
      <c r="E5" s="294"/>
      <c r="F5" s="301">
        <v>45513213</v>
      </c>
    </row>
    <row r="6" spans="1:6" x14ac:dyDescent="0.25">
      <c r="A6" s="232">
        <v>45615</v>
      </c>
      <c r="B6" s="9">
        <v>377</v>
      </c>
      <c r="C6" s="142" t="s">
        <v>3529</v>
      </c>
      <c r="D6" s="12" t="s">
        <v>3533</v>
      </c>
      <c r="E6" s="294"/>
      <c r="F6" s="301">
        <v>10343900</v>
      </c>
    </row>
    <row r="7" spans="1:6" x14ac:dyDescent="0.25">
      <c r="A7" s="232">
        <v>45630</v>
      </c>
      <c r="B7" s="9">
        <v>417</v>
      </c>
      <c r="C7" s="142" t="s">
        <v>3529</v>
      </c>
      <c r="D7" s="12" t="s">
        <v>3534</v>
      </c>
      <c r="E7" s="294"/>
      <c r="F7" s="305">
        <v>25465307</v>
      </c>
    </row>
    <row r="8" spans="1:6" x14ac:dyDescent="0.25">
      <c r="A8" s="232">
        <v>45630</v>
      </c>
      <c r="B8" s="9">
        <v>417</v>
      </c>
      <c r="C8" s="142" t="s">
        <v>3529</v>
      </c>
      <c r="D8" s="12" t="s">
        <v>3535</v>
      </c>
      <c r="E8" s="294"/>
      <c r="F8" s="305">
        <v>5787550</v>
      </c>
    </row>
    <row r="9" spans="1:6" x14ac:dyDescent="0.25">
      <c r="A9" s="232">
        <v>45642</v>
      </c>
      <c r="B9" s="9">
        <v>456</v>
      </c>
      <c r="C9" s="142" t="s">
        <v>3529</v>
      </c>
      <c r="D9" s="17" t="s">
        <v>3536</v>
      </c>
      <c r="E9" s="294"/>
      <c r="F9" s="305">
        <v>14500000</v>
      </c>
    </row>
    <row r="10" spans="1:6" x14ac:dyDescent="0.25">
      <c r="A10" s="232">
        <v>45642</v>
      </c>
      <c r="B10" s="9">
        <v>456</v>
      </c>
      <c r="C10" s="142" t="s">
        <v>3529</v>
      </c>
      <c r="D10" s="17" t="s">
        <v>3537</v>
      </c>
      <c r="E10" s="294"/>
      <c r="F10" s="305">
        <v>2500</v>
      </c>
    </row>
    <row r="11" spans="1:6" x14ac:dyDescent="0.25">
      <c r="A11" s="232">
        <v>45649</v>
      </c>
      <c r="B11" s="9">
        <v>479</v>
      </c>
      <c r="C11" s="112" t="s">
        <v>3529</v>
      </c>
      <c r="D11" s="17" t="s">
        <v>3538</v>
      </c>
      <c r="E11" s="294"/>
      <c r="F11" s="305">
        <v>14400000</v>
      </c>
    </row>
    <row r="12" spans="1:6" x14ac:dyDescent="0.25">
      <c r="A12" s="232">
        <v>45649</v>
      </c>
      <c r="B12" s="9">
        <v>479</v>
      </c>
      <c r="C12" s="112" t="s">
        <v>3529</v>
      </c>
      <c r="D12" s="17" t="s">
        <v>3539</v>
      </c>
      <c r="E12" s="294"/>
      <c r="F12" s="305">
        <v>1584000</v>
      </c>
    </row>
    <row r="13" spans="1:6" x14ac:dyDescent="0.25">
      <c r="A13" s="232">
        <v>45649</v>
      </c>
      <c r="B13" s="9">
        <v>479</v>
      </c>
      <c r="C13" s="112" t="s">
        <v>3529</v>
      </c>
      <c r="D13" s="17" t="s">
        <v>3540</v>
      </c>
      <c r="E13" s="294"/>
      <c r="F13" s="305">
        <v>-288000</v>
      </c>
    </row>
    <row r="14" spans="1:6" x14ac:dyDescent="0.25">
      <c r="A14" s="232">
        <v>45649</v>
      </c>
      <c r="B14" s="9">
        <v>479</v>
      </c>
      <c r="C14" s="112" t="s">
        <v>3529</v>
      </c>
      <c r="D14" s="17" t="s">
        <v>3541</v>
      </c>
      <c r="E14" s="294"/>
      <c r="F14" s="305">
        <v>2500</v>
      </c>
    </row>
    <row r="15" spans="1:6" x14ac:dyDescent="0.25">
      <c r="A15" s="232">
        <v>45650</v>
      </c>
      <c r="B15" s="9">
        <v>485</v>
      </c>
      <c r="C15" s="142" t="s">
        <v>3529</v>
      </c>
      <c r="D15" s="12" t="s">
        <v>3542</v>
      </c>
      <c r="E15" s="333"/>
      <c r="F15" s="305">
        <v>3000000</v>
      </c>
    </row>
    <row r="16" spans="1:6" x14ac:dyDescent="0.25">
      <c r="A16" s="232">
        <v>45650</v>
      </c>
      <c r="B16" s="9">
        <v>485</v>
      </c>
      <c r="C16" s="142" t="s">
        <v>3529</v>
      </c>
      <c r="D16" s="12" t="s">
        <v>3543</v>
      </c>
      <c r="E16" s="333"/>
      <c r="F16" s="305">
        <v>2500</v>
      </c>
    </row>
    <row r="17" spans="1:6" x14ac:dyDescent="0.25">
      <c r="A17" s="232">
        <v>45650</v>
      </c>
      <c r="B17" s="9">
        <v>486</v>
      </c>
      <c r="C17" s="142" t="s">
        <v>3529</v>
      </c>
      <c r="D17" s="30" t="s">
        <v>865</v>
      </c>
      <c r="E17" s="333"/>
      <c r="F17" s="305">
        <v>6500</v>
      </c>
    </row>
    <row r="18" spans="1:6" x14ac:dyDescent="0.25">
      <c r="A18" s="232">
        <v>45652</v>
      </c>
      <c r="B18" s="9">
        <v>497</v>
      </c>
      <c r="C18" s="142" t="s">
        <v>3529</v>
      </c>
      <c r="D18" s="17" t="s">
        <v>3544</v>
      </c>
      <c r="E18" s="294"/>
      <c r="F18" s="305">
        <v>43200000</v>
      </c>
    </row>
    <row r="19" spans="1:6" x14ac:dyDescent="0.25">
      <c r="A19" s="232">
        <v>45652</v>
      </c>
      <c r="B19" s="9">
        <v>497</v>
      </c>
      <c r="C19" s="142" t="s">
        <v>3529</v>
      </c>
      <c r="D19" s="17" t="s">
        <v>3545</v>
      </c>
      <c r="E19" s="294"/>
      <c r="F19" s="305">
        <v>4752000</v>
      </c>
    </row>
    <row r="20" spans="1:6" x14ac:dyDescent="0.25">
      <c r="A20" s="232">
        <v>45652</v>
      </c>
      <c r="B20" s="9">
        <v>497</v>
      </c>
      <c r="C20" s="142" t="s">
        <v>3529</v>
      </c>
      <c r="D20" s="17" t="s">
        <v>3546</v>
      </c>
      <c r="E20" s="294"/>
      <c r="F20" s="305">
        <v>-864000</v>
      </c>
    </row>
    <row r="21" spans="1:6" x14ac:dyDescent="0.25">
      <c r="A21" s="232">
        <v>45652</v>
      </c>
      <c r="B21" s="9">
        <v>497</v>
      </c>
      <c r="C21" s="142" t="s">
        <v>3529</v>
      </c>
      <c r="D21" s="17" t="s">
        <v>3541</v>
      </c>
      <c r="E21" s="294"/>
      <c r="F21" s="305">
        <v>2500</v>
      </c>
    </row>
    <row r="22" spans="1:6" x14ac:dyDescent="0.25">
      <c r="A22" s="232">
        <v>45653</v>
      </c>
      <c r="B22" s="9">
        <v>505</v>
      </c>
      <c r="C22" s="142" t="s">
        <v>3529</v>
      </c>
      <c r="D22" s="17" t="s">
        <v>3547</v>
      </c>
      <c r="E22" s="294"/>
      <c r="F22" s="305">
        <v>3720000</v>
      </c>
    </row>
    <row r="23" spans="1:6" x14ac:dyDescent="0.25">
      <c r="A23" s="232">
        <v>45653</v>
      </c>
      <c r="B23" s="9">
        <v>505</v>
      </c>
      <c r="C23" s="142" t="s">
        <v>3529</v>
      </c>
      <c r="D23" s="17" t="s">
        <v>3548</v>
      </c>
      <c r="E23" s="294"/>
      <c r="F23" s="305">
        <v>2500</v>
      </c>
    </row>
    <row r="24" spans="1:6" x14ac:dyDescent="0.25">
      <c r="A24" s="230">
        <v>45419</v>
      </c>
      <c r="B24" s="11" t="s">
        <v>3549</v>
      </c>
      <c r="C24" s="112" t="s">
        <v>3529</v>
      </c>
      <c r="D24" s="17" t="s">
        <v>3550</v>
      </c>
      <c r="E24" s="282"/>
      <c r="F24" s="290">
        <v>99000</v>
      </c>
    </row>
    <row r="25" spans="1:6" x14ac:dyDescent="0.25">
      <c r="A25" s="230">
        <v>45419</v>
      </c>
      <c r="B25" s="11" t="s">
        <v>3549</v>
      </c>
      <c r="C25" s="112" t="s">
        <v>3529</v>
      </c>
      <c r="D25" s="17" t="s">
        <v>3551</v>
      </c>
      <c r="E25" s="282"/>
      <c r="F25" s="290">
        <v>141500</v>
      </c>
    </row>
    <row r="26" spans="1:6" x14ac:dyDescent="0.25">
      <c r="A26" s="230">
        <v>45432</v>
      </c>
      <c r="B26" s="11" t="s">
        <v>3552</v>
      </c>
      <c r="C26" s="325" t="s">
        <v>3529</v>
      </c>
      <c r="D26" s="131" t="s">
        <v>3553</v>
      </c>
      <c r="E26" s="282"/>
      <c r="F26" s="290">
        <v>135000</v>
      </c>
    </row>
    <row r="27" spans="1:6" x14ac:dyDescent="0.25">
      <c r="A27" s="230">
        <v>45443</v>
      </c>
      <c r="B27" s="11" t="s">
        <v>2964</v>
      </c>
      <c r="C27" s="112" t="s">
        <v>3529</v>
      </c>
      <c r="D27" s="17" t="s">
        <v>3554</v>
      </c>
      <c r="E27" s="282"/>
      <c r="F27" s="290">
        <v>125000</v>
      </c>
    </row>
    <row r="28" spans="1:6" x14ac:dyDescent="0.25">
      <c r="A28" s="230">
        <v>45455</v>
      </c>
      <c r="B28" s="11" t="s">
        <v>3555</v>
      </c>
      <c r="C28" s="112" t="s">
        <v>3529</v>
      </c>
      <c r="D28" s="17" t="s">
        <v>3556</v>
      </c>
      <c r="E28" s="282"/>
      <c r="F28" s="290">
        <v>124736400</v>
      </c>
    </row>
    <row r="29" spans="1:6" x14ac:dyDescent="0.25">
      <c r="A29" s="230">
        <v>45455</v>
      </c>
      <c r="B29" s="11" t="s">
        <v>3555</v>
      </c>
      <c r="C29" s="112" t="s">
        <v>3529</v>
      </c>
      <c r="D29" s="17" t="s">
        <v>3557</v>
      </c>
      <c r="E29" s="282"/>
      <c r="F29" s="290">
        <v>13721004</v>
      </c>
    </row>
    <row r="30" spans="1:6" x14ac:dyDescent="0.25">
      <c r="A30" s="230">
        <v>45455</v>
      </c>
      <c r="B30" s="11" t="s">
        <v>3555</v>
      </c>
      <c r="C30" s="112" t="s">
        <v>3529</v>
      </c>
      <c r="D30" s="17" t="s">
        <v>3558</v>
      </c>
      <c r="E30" s="282"/>
      <c r="F30" s="290">
        <v>2900</v>
      </c>
    </row>
    <row r="31" spans="1:6" x14ac:dyDescent="0.25">
      <c r="A31" s="230">
        <v>45455</v>
      </c>
      <c r="B31" s="11" t="s">
        <v>3559</v>
      </c>
      <c r="C31" s="112" t="s">
        <v>3529</v>
      </c>
      <c r="D31" s="17" t="s">
        <v>3560</v>
      </c>
      <c r="E31" s="282"/>
      <c r="F31" s="290">
        <v>345946512</v>
      </c>
    </row>
    <row r="32" spans="1:6" x14ac:dyDescent="0.25">
      <c r="A32" s="230">
        <v>45455</v>
      </c>
      <c r="B32" s="11" t="s">
        <v>3559</v>
      </c>
      <c r="C32" s="112" t="s">
        <v>3529</v>
      </c>
      <c r="D32" s="17" t="s">
        <v>3561</v>
      </c>
      <c r="E32" s="282"/>
      <c r="F32" s="290">
        <v>412000</v>
      </c>
    </row>
    <row r="33" spans="1:6" x14ac:dyDescent="0.25">
      <c r="A33" s="230">
        <v>45488</v>
      </c>
      <c r="B33" s="11" t="s">
        <v>3562</v>
      </c>
      <c r="C33" s="112" t="s">
        <v>3529</v>
      </c>
      <c r="D33" s="17" t="s">
        <v>481</v>
      </c>
      <c r="E33" s="282"/>
      <c r="F33" s="290">
        <v>95196</v>
      </c>
    </row>
    <row r="34" spans="1:6" x14ac:dyDescent="0.25">
      <c r="A34" s="230">
        <v>45488</v>
      </c>
      <c r="B34" s="11" t="s">
        <v>3562</v>
      </c>
      <c r="C34" s="112" t="s">
        <v>3529</v>
      </c>
      <c r="D34" s="17" t="s">
        <v>2155</v>
      </c>
      <c r="E34" s="282"/>
      <c r="F34" s="290">
        <v>14000</v>
      </c>
    </row>
    <row r="35" spans="1:6" x14ac:dyDescent="0.25">
      <c r="A35" s="230">
        <v>45488</v>
      </c>
      <c r="B35" s="11" t="s">
        <v>3562</v>
      </c>
      <c r="C35" s="112" t="s">
        <v>3529</v>
      </c>
      <c r="D35" s="17" t="s">
        <v>3563</v>
      </c>
      <c r="E35" s="282"/>
      <c r="F35" s="290">
        <v>2900</v>
      </c>
    </row>
    <row r="36" spans="1:6" x14ac:dyDescent="0.25">
      <c r="A36" s="230">
        <v>45492</v>
      </c>
      <c r="B36" s="11" t="s">
        <v>3564</v>
      </c>
      <c r="C36" s="112" t="s">
        <v>3529</v>
      </c>
      <c r="D36" s="17" t="s">
        <v>1898</v>
      </c>
      <c r="E36" s="282"/>
      <c r="F36" s="290">
        <v>160050</v>
      </c>
    </row>
    <row r="37" spans="1:6" x14ac:dyDescent="0.25">
      <c r="A37" s="230">
        <v>45492</v>
      </c>
      <c r="B37" s="11" t="s">
        <v>3564</v>
      </c>
      <c r="C37" s="112" t="s">
        <v>3529</v>
      </c>
      <c r="D37" s="17" t="s">
        <v>3565</v>
      </c>
      <c r="E37" s="282"/>
      <c r="F37" s="290">
        <v>2900</v>
      </c>
    </row>
    <row r="38" spans="1:6" x14ac:dyDescent="0.25">
      <c r="A38" s="230">
        <v>45511</v>
      </c>
      <c r="B38" s="11" t="s">
        <v>3566</v>
      </c>
      <c r="C38" s="112" t="s">
        <v>3529</v>
      </c>
      <c r="D38" s="17" t="s">
        <v>3567</v>
      </c>
      <c r="E38" s="282"/>
      <c r="F38" s="290">
        <v>59418040</v>
      </c>
    </row>
    <row r="39" spans="1:6" x14ac:dyDescent="0.25">
      <c r="A39" s="230">
        <v>45511</v>
      </c>
      <c r="B39" s="11" t="s">
        <v>3566</v>
      </c>
      <c r="C39" s="112" t="s">
        <v>3529</v>
      </c>
      <c r="D39" s="17" t="s">
        <v>3568</v>
      </c>
      <c r="E39" s="282"/>
      <c r="F39" s="290">
        <v>406750</v>
      </c>
    </row>
    <row r="40" spans="1:6" x14ac:dyDescent="0.25">
      <c r="A40" s="230">
        <v>45523</v>
      </c>
      <c r="B40" s="11" t="s">
        <v>553</v>
      </c>
      <c r="C40" s="112" t="s">
        <v>3529</v>
      </c>
      <c r="D40" s="28" t="s">
        <v>3569</v>
      </c>
      <c r="E40" s="282"/>
      <c r="F40" s="290">
        <v>2051300</v>
      </c>
    </row>
    <row r="41" spans="1:6" x14ac:dyDescent="0.25">
      <c r="A41" s="230">
        <v>45527</v>
      </c>
      <c r="B41" s="11" t="s">
        <v>832</v>
      </c>
      <c r="C41" s="112" t="s">
        <v>3529</v>
      </c>
      <c r="D41" s="28" t="s">
        <v>3570</v>
      </c>
      <c r="E41" s="282"/>
      <c r="F41" s="290">
        <v>300000</v>
      </c>
    </row>
    <row r="42" spans="1:6" x14ac:dyDescent="0.25">
      <c r="A42" s="230">
        <v>45527</v>
      </c>
      <c r="B42" s="11" t="s">
        <v>832</v>
      </c>
      <c r="C42" s="112" t="s">
        <v>3529</v>
      </c>
      <c r="D42" s="28" t="s">
        <v>3571</v>
      </c>
      <c r="E42" s="282"/>
      <c r="F42" s="290">
        <v>142500</v>
      </c>
    </row>
    <row r="43" spans="1:6" x14ac:dyDescent="0.25">
      <c r="A43" s="230">
        <v>45527</v>
      </c>
      <c r="B43" s="11" t="s">
        <v>832</v>
      </c>
      <c r="C43" s="112" t="s">
        <v>3529</v>
      </c>
      <c r="D43" s="28" t="s">
        <v>3572</v>
      </c>
      <c r="E43" s="282"/>
      <c r="F43" s="290">
        <v>42000</v>
      </c>
    </row>
    <row r="44" spans="1:6" x14ac:dyDescent="0.25">
      <c r="A44" s="230">
        <v>45527</v>
      </c>
      <c r="B44" s="11" t="s">
        <v>832</v>
      </c>
      <c r="C44" s="112" t="s">
        <v>3529</v>
      </c>
      <c r="D44" s="28" t="s">
        <v>3573</v>
      </c>
      <c r="E44" s="282"/>
      <c r="F44" s="290">
        <v>2355455</v>
      </c>
    </row>
    <row r="45" spans="1:6" x14ac:dyDescent="0.25">
      <c r="A45" s="230">
        <v>45567</v>
      </c>
      <c r="B45" s="11" t="s">
        <v>3574</v>
      </c>
      <c r="C45" s="112" t="s">
        <v>3529</v>
      </c>
      <c r="D45" s="17" t="s">
        <v>3575</v>
      </c>
      <c r="E45" s="282"/>
      <c r="F45" s="290">
        <v>61023600</v>
      </c>
    </row>
    <row r="46" spans="1:6" x14ac:dyDescent="0.25">
      <c r="A46" s="230">
        <v>45567</v>
      </c>
      <c r="B46" s="11" t="s">
        <v>3574</v>
      </c>
      <c r="C46" s="112" t="s">
        <v>3529</v>
      </c>
      <c r="D46" s="17" t="s">
        <v>3576</v>
      </c>
      <c r="E46" s="282"/>
      <c r="F46" s="290">
        <v>385250</v>
      </c>
    </row>
    <row r="47" spans="1:6" x14ac:dyDescent="0.25">
      <c r="A47" s="230">
        <v>45611</v>
      </c>
      <c r="B47" s="11" t="s">
        <v>3577</v>
      </c>
      <c r="C47" s="112" t="s">
        <v>3529</v>
      </c>
      <c r="D47" s="17" t="s">
        <v>3578</v>
      </c>
      <c r="E47" s="282"/>
      <c r="F47" s="290">
        <v>148717800</v>
      </c>
    </row>
    <row r="48" spans="1:6" x14ac:dyDescent="0.25">
      <c r="A48" s="230">
        <v>45611</v>
      </c>
      <c r="B48" s="11" t="s">
        <v>3577</v>
      </c>
      <c r="C48" s="112" t="s">
        <v>3529</v>
      </c>
      <c r="D48" s="17" t="s">
        <v>3579</v>
      </c>
      <c r="E48" s="282"/>
      <c r="F48" s="290">
        <v>402375</v>
      </c>
    </row>
    <row r="49" spans="1:6" x14ac:dyDescent="0.25">
      <c r="A49" s="230">
        <v>45616</v>
      </c>
      <c r="B49" s="11" t="s">
        <v>3580</v>
      </c>
      <c r="C49" s="112" t="s">
        <v>3529</v>
      </c>
      <c r="D49" s="17" t="s">
        <v>3581</v>
      </c>
      <c r="E49" s="282"/>
      <c r="F49" s="290">
        <v>136336000</v>
      </c>
    </row>
    <row r="50" spans="1:6" x14ac:dyDescent="0.25">
      <c r="A50" s="230">
        <v>45616</v>
      </c>
      <c r="B50" s="11" t="s">
        <v>3580</v>
      </c>
      <c r="C50" s="112" t="s">
        <v>3529</v>
      </c>
      <c r="D50" s="17" t="s">
        <v>3582</v>
      </c>
      <c r="E50" s="282"/>
      <c r="F50" s="290">
        <v>400000</v>
      </c>
    </row>
    <row r="51" spans="1:6" x14ac:dyDescent="0.25">
      <c r="A51" s="230">
        <v>45635</v>
      </c>
      <c r="B51" s="11" t="s">
        <v>3583</v>
      </c>
      <c r="C51" s="112" t="s">
        <v>3529</v>
      </c>
      <c r="D51" s="17" t="s">
        <v>3584</v>
      </c>
      <c r="E51" s="282"/>
      <c r="F51" s="290">
        <v>2625000</v>
      </c>
    </row>
    <row r="52" spans="1:6" x14ac:dyDescent="0.25">
      <c r="A52" s="230">
        <v>45635</v>
      </c>
      <c r="B52" s="11" t="s">
        <v>3583</v>
      </c>
      <c r="C52" s="112" t="s">
        <v>3529</v>
      </c>
      <c r="D52" s="17" t="s">
        <v>3585</v>
      </c>
      <c r="E52" s="282"/>
      <c r="F52" s="290">
        <v>2900</v>
      </c>
    </row>
    <row r="53" spans="1:6" x14ac:dyDescent="0.25">
      <c r="A53" s="230">
        <v>45637</v>
      </c>
      <c r="B53" s="11" t="s">
        <v>3586</v>
      </c>
      <c r="C53" s="112" t="s">
        <v>3529</v>
      </c>
      <c r="D53" s="17" t="s">
        <v>3587</v>
      </c>
      <c r="E53" s="282"/>
      <c r="F53" s="289">
        <v>50960000</v>
      </c>
    </row>
    <row r="54" spans="1:6" x14ac:dyDescent="0.25">
      <c r="A54" s="230">
        <v>45637</v>
      </c>
      <c r="B54" s="11" t="s">
        <v>3586</v>
      </c>
      <c r="C54" s="112" t="s">
        <v>3529</v>
      </c>
      <c r="D54" s="17" t="s">
        <v>3588</v>
      </c>
      <c r="E54" s="282"/>
      <c r="F54" s="289">
        <v>5605600</v>
      </c>
    </row>
    <row r="55" spans="1:6" x14ac:dyDescent="0.25">
      <c r="A55" s="230">
        <v>45637</v>
      </c>
      <c r="B55" s="11" t="s">
        <v>3586</v>
      </c>
      <c r="C55" s="112" t="s">
        <v>3529</v>
      </c>
      <c r="D55" s="17" t="s">
        <v>1411</v>
      </c>
      <c r="E55" s="282"/>
      <c r="F55" s="289">
        <v>2900</v>
      </c>
    </row>
    <row r="56" spans="1:6" x14ac:dyDescent="0.25">
      <c r="A56" s="230">
        <v>45637</v>
      </c>
      <c r="B56" s="11" t="s">
        <v>3589</v>
      </c>
      <c r="C56" s="112" t="s">
        <v>3529</v>
      </c>
      <c r="D56" s="17" t="s">
        <v>3590</v>
      </c>
      <c r="E56" s="282"/>
      <c r="F56" s="290">
        <v>27440000</v>
      </c>
    </row>
    <row r="57" spans="1:6" x14ac:dyDescent="0.25">
      <c r="A57" s="230">
        <v>45637</v>
      </c>
      <c r="B57" s="11" t="s">
        <v>3589</v>
      </c>
      <c r="C57" s="112" t="s">
        <v>3529</v>
      </c>
      <c r="D57" s="17" t="s">
        <v>3591</v>
      </c>
      <c r="E57" s="282"/>
      <c r="F57" s="290">
        <v>3018400</v>
      </c>
    </row>
    <row r="58" spans="1:6" x14ac:dyDescent="0.25">
      <c r="A58" s="230">
        <v>45637</v>
      </c>
      <c r="B58" s="11" t="s">
        <v>3589</v>
      </c>
      <c r="C58" s="112" t="s">
        <v>3529</v>
      </c>
      <c r="D58" s="17" t="s">
        <v>1411</v>
      </c>
      <c r="E58" s="282"/>
      <c r="F58" s="290">
        <v>2900</v>
      </c>
    </row>
    <row r="59" spans="1:6" x14ac:dyDescent="0.25">
      <c r="A59" s="230">
        <v>45637</v>
      </c>
      <c r="B59" s="11" t="s">
        <v>3592</v>
      </c>
      <c r="C59" s="112" t="s">
        <v>3529</v>
      </c>
      <c r="D59" s="17" t="s">
        <v>3593</v>
      </c>
      <c r="E59" s="282"/>
      <c r="F59" s="290">
        <v>942500000</v>
      </c>
    </row>
    <row r="60" spans="1:6" x14ac:dyDescent="0.25">
      <c r="A60" s="230">
        <v>45637</v>
      </c>
      <c r="B60" s="11" t="s">
        <v>3592</v>
      </c>
      <c r="C60" s="112" t="s">
        <v>3529</v>
      </c>
      <c r="D60" s="17" t="s">
        <v>3594</v>
      </c>
      <c r="E60" s="282"/>
      <c r="F60" s="290">
        <v>103675000</v>
      </c>
    </row>
    <row r="61" spans="1:6" x14ac:dyDescent="0.25">
      <c r="A61" s="230">
        <v>45637</v>
      </c>
      <c r="B61" s="11" t="s">
        <v>3592</v>
      </c>
      <c r="C61" s="112" t="s">
        <v>3529</v>
      </c>
      <c r="D61" s="17" t="s">
        <v>3595</v>
      </c>
      <c r="E61" s="282"/>
      <c r="F61" s="290">
        <v>30000</v>
      </c>
    </row>
    <row r="62" spans="1:6" x14ac:dyDescent="0.25">
      <c r="A62" s="230">
        <v>45637</v>
      </c>
      <c r="B62" s="11" t="s">
        <v>3596</v>
      </c>
      <c r="C62" s="112" t="s">
        <v>3529</v>
      </c>
      <c r="D62" s="17" t="s">
        <v>3597</v>
      </c>
      <c r="E62" s="282"/>
      <c r="F62" s="290">
        <v>350000</v>
      </c>
    </row>
    <row r="63" spans="1:6" x14ac:dyDescent="0.25">
      <c r="A63" s="230">
        <v>45637</v>
      </c>
      <c r="B63" s="11" t="s">
        <v>3596</v>
      </c>
      <c r="C63" s="112" t="s">
        <v>3529</v>
      </c>
      <c r="D63" s="17" t="s">
        <v>3598</v>
      </c>
      <c r="E63" s="282"/>
      <c r="F63" s="290">
        <v>38500</v>
      </c>
    </row>
    <row r="64" spans="1:6" x14ac:dyDescent="0.25">
      <c r="A64" s="230">
        <v>45637</v>
      </c>
      <c r="B64" s="11" t="s">
        <v>3596</v>
      </c>
      <c r="C64" s="112" t="s">
        <v>3529</v>
      </c>
      <c r="D64" s="17" t="s">
        <v>1492</v>
      </c>
      <c r="E64" s="282"/>
      <c r="F64" s="290">
        <v>2900</v>
      </c>
    </row>
    <row r="65" spans="1:6" x14ac:dyDescent="0.25">
      <c r="A65" s="230">
        <v>45637</v>
      </c>
      <c r="B65" s="11" t="s">
        <v>3599</v>
      </c>
      <c r="C65" s="112" t="s">
        <v>3529</v>
      </c>
      <c r="D65" s="17" t="s">
        <v>3600</v>
      </c>
      <c r="E65" s="282"/>
      <c r="F65" s="290">
        <v>6100000</v>
      </c>
    </row>
    <row r="66" spans="1:6" x14ac:dyDescent="0.25">
      <c r="A66" s="230">
        <v>45637</v>
      </c>
      <c r="B66" s="11" t="s">
        <v>3599</v>
      </c>
      <c r="C66" s="112" t="s">
        <v>3529</v>
      </c>
      <c r="D66" s="17" t="s">
        <v>3601</v>
      </c>
      <c r="E66" s="282"/>
      <c r="F66" s="290">
        <v>671000</v>
      </c>
    </row>
    <row r="67" spans="1:6" x14ac:dyDescent="0.25">
      <c r="A67" s="230">
        <v>45637</v>
      </c>
      <c r="B67" s="11" t="s">
        <v>3599</v>
      </c>
      <c r="C67" s="112" t="s">
        <v>3529</v>
      </c>
      <c r="D67" s="17" t="s">
        <v>3602</v>
      </c>
      <c r="E67" s="282"/>
      <c r="F67" s="290">
        <v>2900</v>
      </c>
    </row>
    <row r="68" spans="1:6" x14ac:dyDescent="0.25">
      <c r="A68" s="230">
        <v>45637</v>
      </c>
      <c r="B68" s="11" t="s">
        <v>3603</v>
      </c>
      <c r="C68" s="112" t="s">
        <v>3529</v>
      </c>
      <c r="D68" s="17" t="s">
        <v>3604</v>
      </c>
      <c r="E68" s="282"/>
      <c r="F68" s="290">
        <v>10233000</v>
      </c>
    </row>
    <row r="69" spans="1:6" x14ac:dyDescent="0.25">
      <c r="A69" s="230">
        <v>45637</v>
      </c>
      <c r="B69" s="11" t="s">
        <v>3603</v>
      </c>
      <c r="C69" s="112" t="s">
        <v>3529</v>
      </c>
      <c r="D69" s="17" t="s">
        <v>3605</v>
      </c>
      <c r="E69" s="282"/>
      <c r="F69" s="290">
        <v>23637309</v>
      </c>
    </row>
    <row r="70" spans="1:6" x14ac:dyDescent="0.25">
      <c r="A70" s="230">
        <v>45637</v>
      </c>
      <c r="B70" s="11" t="s">
        <v>3603</v>
      </c>
      <c r="C70" s="112" t="s">
        <v>3529</v>
      </c>
      <c r="D70" s="17" t="s">
        <v>3606</v>
      </c>
      <c r="E70" s="282"/>
      <c r="F70" s="290">
        <v>5372075</v>
      </c>
    </row>
    <row r="71" spans="1:6" x14ac:dyDescent="0.25">
      <c r="A71" s="230">
        <v>45638</v>
      </c>
      <c r="B71" s="11" t="s">
        <v>3607</v>
      </c>
      <c r="C71" s="112" t="s">
        <v>3529</v>
      </c>
      <c r="D71" s="28" t="s">
        <v>3608</v>
      </c>
      <c r="E71" s="282"/>
      <c r="F71" s="290">
        <v>942500000</v>
      </c>
    </row>
    <row r="72" spans="1:6" x14ac:dyDescent="0.25">
      <c r="A72" s="230">
        <v>45638</v>
      </c>
      <c r="B72" s="11" t="s">
        <v>3607</v>
      </c>
      <c r="C72" s="112" t="s">
        <v>3529</v>
      </c>
      <c r="D72" s="28" t="s">
        <v>3609</v>
      </c>
      <c r="E72" s="282"/>
      <c r="F72" s="290">
        <v>103675000</v>
      </c>
    </row>
    <row r="73" spans="1:6" x14ac:dyDescent="0.25">
      <c r="A73" s="230">
        <v>45638</v>
      </c>
      <c r="B73" s="11" t="s">
        <v>3607</v>
      </c>
      <c r="C73" s="112" t="s">
        <v>3529</v>
      </c>
      <c r="D73" s="28" t="s">
        <v>3595</v>
      </c>
      <c r="E73" s="282"/>
      <c r="F73" s="290">
        <v>30000</v>
      </c>
    </row>
    <row r="74" spans="1:6" x14ac:dyDescent="0.25">
      <c r="A74" s="230">
        <v>45407</v>
      </c>
      <c r="B74" s="11" t="s">
        <v>3610</v>
      </c>
      <c r="C74" s="112" t="s">
        <v>3529</v>
      </c>
      <c r="D74" s="17" t="s">
        <v>3611</v>
      </c>
      <c r="E74" s="282">
        <v>4040400</v>
      </c>
      <c r="F74" s="290"/>
    </row>
    <row r="75" spans="1:6" x14ac:dyDescent="0.25">
      <c r="A75" s="230">
        <v>45504</v>
      </c>
      <c r="B75" s="11" t="s">
        <v>3612</v>
      </c>
      <c r="C75" s="112" t="s">
        <v>3529</v>
      </c>
      <c r="D75" s="17" t="s">
        <v>3611</v>
      </c>
      <c r="E75" s="282">
        <v>1000000000</v>
      </c>
      <c r="F75" s="290"/>
    </row>
    <row r="76" spans="1:6" x14ac:dyDescent="0.25">
      <c r="A76" s="230">
        <v>45511</v>
      </c>
      <c r="B76" s="11" t="s">
        <v>3613</v>
      </c>
      <c r="C76" s="112" t="s">
        <v>3529</v>
      </c>
      <c r="D76" s="17" t="s">
        <v>3614</v>
      </c>
      <c r="E76" s="282"/>
      <c r="F76" s="290">
        <v>28500000</v>
      </c>
    </row>
    <row r="77" spans="1:6" x14ac:dyDescent="0.25">
      <c r="A77" s="230">
        <v>45511</v>
      </c>
      <c r="B77" s="11" t="s">
        <v>3613</v>
      </c>
      <c r="C77" s="112" t="s">
        <v>3529</v>
      </c>
      <c r="D77" s="17" t="s">
        <v>3615</v>
      </c>
      <c r="E77" s="282"/>
      <c r="F77" s="290">
        <v>3135000</v>
      </c>
    </row>
    <row r="78" spans="1:6" x14ac:dyDescent="0.25">
      <c r="A78" s="230">
        <v>45511</v>
      </c>
      <c r="B78" s="11" t="s">
        <v>3613</v>
      </c>
      <c r="C78" s="112" t="s">
        <v>3529</v>
      </c>
      <c r="D78" s="17" t="s">
        <v>3616</v>
      </c>
      <c r="E78" s="282"/>
      <c r="F78" s="290">
        <v>2900</v>
      </c>
    </row>
    <row r="79" spans="1:6" x14ac:dyDescent="0.25">
      <c r="A79" s="230">
        <v>45511</v>
      </c>
      <c r="B79" s="11" t="s">
        <v>3617</v>
      </c>
      <c r="C79" s="112" t="s">
        <v>3529</v>
      </c>
      <c r="D79" s="17" t="s">
        <v>3618</v>
      </c>
      <c r="E79" s="282"/>
      <c r="F79" s="290">
        <v>142500000</v>
      </c>
    </row>
    <row r="80" spans="1:6" x14ac:dyDescent="0.25">
      <c r="A80" s="230">
        <v>45511</v>
      </c>
      <c r="B80" s="11" t="s">
        <v>3617</v>
      </c>
      <c r="C80" s="112" t="s">
        <v>3529</v>
      </c>
      <c r="D80" s="17" t="s">
        <v>3619</v>
      </c>
      <c r="E80" s="282"/>
      <c r="F80" s="290">
        <v>103675000</v>
      </c>
    </row>
    <row r="81" spans="1:6" x14ac:dyDescent="0.25">
      <c r="A81" s="230">
        <v>45511</v>
      </c>
      <c r="B81" s="11" t="s">
        <v>3617</v>
      </c>
      <c r="C81" s="112" t="s">
        <v>3529</v>
      </c>
      <c r="D81" s="17" t="s">
        <v>3620</v>
      </c>
      <c r="E81" s="282"/>
      <c r="F81" s="290">
        <v>2900</v>
      </c>
    </row>
    <row r="82" spans="1:6" x14ac:dyDescent="0.25">
      <c r="A82" s="230">
        <v>45518</v>
      </c>
      <c r="B82" s="11" t="s">
        <v>3621</v>
      </c>
      <c r="C82" s="112" t="s">
        <v>3529</v>
      </c>
      <c r="D82" s="28" t="s">
        <v>3622</v>
      </c>
      <c r="E82" s="282"/>
      <c r="F82" s="290">
        <v>200000000</v>
      </c>
    </row>
    <row r="83" spans="1:6" x14ac:dyDescent="0.25">
      <c r="A83" s="230">
        <v>45518</v>
      </c>
      <c r="B83" s="11" t="s">
        <v>3621</v>
      </c>
      <c r="C83" s="112" t="s">
        <v>3529</v>
      </c>
      <c r="D83" s="28" t="s">
        <v>3623</v>
      </c>
      <c r="E83" s="282"/>
      <c r="F83" s="290">
        <v>2900</v>
      </c>
    </row>
    <row r="84" spans="1:6" x14ac:dyDescent="0.25">
      <c r="A84" s="230">
        <v>45530</v>
      </c>
      <c r="B84" s="11" t="s">
        <v>3624</v>
      </c>
      <c r="C84" s="112" t="s">
        <v>3529</v>
      </c>
      <c r="D84" s="28" t="s">
        <v>3625</v>
      </c>
      <c r="E84" s="282">
        <v>200000000</v>
      </c>
      <c r="F84" s="290"/>
    </row>
    <row r="85" spans="1:6" x14ac:dyDescent="0.25">
      <c r="A85" s="230">
        <v>45537</v>
      </c>
      <c r="B85" s="11" t="s">
        <v>873</v>
      </c>
      <c r="C85" s="112" t="s">
        <v>3529</v>
      </c>
      <c r="D85" s="17" t="s">
        <v>3626</v>
      </c>
      <c r="E85" s="282"/>
      <c r="F85" s="290">
        <v>475000</v>
      </c>
    </row>
    <row r="86" spans="1:6" x14ac:dyDescent="0.25">
      <c r="A86" s="230">
        <v>45537</v>
      </c>
      <c r="B86" s="11" t="s">
        <v>3627</v>
      </c>
      <c r="C86" s="112" t="s">
        <v>3529</v>
      </c>
      <c r="D86" s="28" t="s">
        <v>481</v>
      </c>
      <c r="E86" s="282"/>
      <c r="F86" s="290">
        <v>36000</v>
      </c>
    </row>
    <row r="87" spans="1:6" x14ac:dyDescent="0.25">
      <c r="A87" s="230">
        <v>45537</v>
      </c>
      <c r="B87" s="11" t="s">
        <v>3627</v>
      </c>
      <c r="C87" s="112" t="s">
        <v>3529</v>
      </c>
      <c r="D87" s="17" t="s">
        <v>2155</v>
      </c>
      <c r="E87" s="282"/>
      <c r="F87" s="290">
        <v>20000</v>
      </c>
    </row>
    <row r="88" spans="1:6" x14ac:dyDescent="0.25">
      <c r="A88" s="230">
        <v>45537</v>
      </c>
      <c r="B88" s="11" t="s">
        <v>3627</v>
      </c>
      <c r="C88" s="112" t="s">
        <v>3529</v>
      </c>
      <c r="D88" s="17" t="s">
        <v>2186</v>
      </c>
      <c r="E88" s="282"/>
      <c r="F88" s="290">
        <v>73900</v>
      </c>
    </row>
    <row r="89" spans="1:6" x14ac:dyDescent="0.25">
      <c r="A89" s="230">
        <v>45554</v>
      </c>
      <c r="B89" s="11" t="s">
        <v>3628</v>
      </c>
      <c r="C89" s="112" t="s">
        <v>3529</v>
      </c>
      <c r="D89" s="28" t="s">
        <v>3629</v>
      </c>
      <c r="E89" s="282"/>
      <c r="F89" s="290">
        <v>60000000</v>
      </c>
    </row>
    <row r="90" spans="1:6" x14ac:dyDescent="0.25">
      <c r="A90" s="230">
        <v>45554</v>
      </c>
      <c r="B90" s="11" t="s">
        <v>3628</v>
      </c>
      <c r="C90" s="112" t="s">
        <v>3529</v>
      </c>
      <c r="D90" s="17" t="s">
        <v>3630</v>
      </c>
      <c r="E90" s="282"/>
      <c r="F90" s="290">
        <v>2900</v>
      </c>
    </row>
    <row r="91" spans="1:6" x14ac:dyDescent="0.25">
      <c r="A91" s="230">
        <v>45560</v>
      </c>
      <c r="B91" s="11" t="s">
        <v>3631</v>
      </c>
      <c r="C91" s="112" t="s">
        <v>3529</v>
      </c>
      <c r="D91" s="17" t="s">
        <v>3632</v>
      </c>
      <c r="E91" s="282"/>
      <c r="F91" s="290">
        <v>100000000</v>
      </c>
    </row>
    <row r="92" spans="1:6" x14ac:dyDescent="0.25">
      <c r="A92" s="230">
        <v>45560</v>
      </c>
      <c r="B92" s="11" t="s">
        <v>3631</v>
      </c>
      <c r="C92" s="112" t="s">
        <v>3529</v>
      </c>
      <c r="D92" s="17" t="s">
        <v>3633</v>
      </c>
      <c r="E92" s="282"/>
      <c r="F92" s="290">
        <v>2900</v>
      </c>
    </row>
    <row r="93" spans="1:6" x14ac:dyDescent="0.25">
      <c r="A93" s="230">
        <v>45567</v>
      </c>
      <c r="B93" s="11" t="s">
        <v>3634</v>
      </c>
      <c r="C93" s="112" t="s">
        <v>3529</v>
      </c>
      <c r="D93" s="17" t="s">
        <v>3635</v>
      </c>
      <c r="E93" s="282"/>
      <c r="F93" s="290">
        <v>28150900</v>
      </c>
    </row>
    <row r="94" spans="1:6" x14ac:dyDescent="0.25">
      <c r="A94" s="230">
        <v>45567</v>
      </c>
      <c r="B94" s="11" t="s">
        <v>3634</v>
      </c>
      <c r="C94" s="112" t="s">
        <v>3529</v>
      </c>
      <c r="D94" s="17" t="s">
        <v>3636</v>
      </c>
      <c r="E94" s="282"/>
      <c r="F94" s="290">
        <v>123864384</v>
      </c>
    </row>
    <row r="95" spans="1:6" x14ac:dyDescent="0.25">
      <c r="A95" s="230">
        <v>45567</v>
      </c>
      <c r="B95" s="11" t="s">
        <v>3637</v>
      </c>
      <c r="C95" s="112" t="s">
        <v>3529</v>
      </c>
      <c r="D95" s="17" t="s">
        <v>3638</v>
      </c>
      <c r="E95" s="282"/>
      <c r="F95" s="290">
        <v>100000000</v>
      </c>
    </row>
    <row r="96" spans="1:6" x14ac:dyDescent="0.25">
      <c r="A96" s="230">
        <v>45567</v>
      </c>
      <c r="B96" s="11" t="s">
        <v>3637</v>
      </c>
      <c r="C96" s="112" t="s">
        <v>3529</v>
      </c>
      <c r="D96" s="17" t="s">
        <v>3639</v>
      </c>
      <c r="E96" s="282"/>
      <c r="F96" s="290">
        <v>2900</v>
      </c>
    </row>
    <row r="97" spans="1:6" x14ac:dyDescent="0.25">
      <c r="A97" s="230">
        <v>45568</v>
      </c>
      <c r="B97" s="11" t="s">
        <v>3640</v>
      </c>
      <c r="C97" s="112" t="s">
        <v>3529</v>
      </c>
      <c r="D97" s="17" t="s">
        <v>3611</v>
      </c>
      <c r="E97" s="282">
        <v>2836359600</v>
      </c>
      <c r="F97" s="290"/>
    </row>
    <row r="98" spans="1:6" x14ac:dyDescent="0.25">
      <c r="A98" s="230">
        <v>45568</v>
      </c>
      <c r="B98" s="11" t="s">
        <v>3640</v>
      </c>
      <c r="C98" s="112" t="s">
        <v>3529</v>
      </c>
      <c r="D98" s="17" t="s">
        <v>3641</v>
      </c>
      <c r="E98" s="282">
        <v>-72800000</v>
      </c>
      <c r="F98" s="290"/>
    </row>
    <row r="99" spans="1:6" x14ac:dyDescent="0.25">
      <c r="A99" s="230">
        <v>45574</v>
      </c>
      <c r="B99" s="11" t="s">
        <v>101</v>
      </c>
      <c r="C99" s="112" t="s">
        <v>3529</v>
      </c>
      <c r="D99" s="17" t="s">
        <v>3642</v>
      </c>
      <c r="E99" s="282"/>
      <c r="F99" s="290">
        <v>1061750</v>
      </c>
    </row>
    <row r="100" spans="1:6" x14ac:dyDescent="0.25">
      <c r="A100" s="230">
        <v>45574</v>
      </c>
      <c r="B100" s="11" t="s">
        <v>3643</v>
      </c>
      <c r="C100" s="112" t="s">
        <v>3529</v>
      </c>
      <c r="D100" s="17" t="s">
        <v>3644</v>
      </c>
      <c r="E100" s="282"/>
      <c r="F100" s="290">
        <v>400000000</v>
      </c>
    </row>
    <row r="101" spans="1:6" x14ac:dyDescent="0.25">
      <c r="A101" s="230">
        <v>45574</v>
      </c>
      <c r="B101" s="11" t="s">
        <v>3643</v>
      </c>
      <c r="C101" s="112" t="s">
        <v>3529</v>
      </c>
      <c r="D101" s="17" t="s">
        <v>105</v>
      </c>
      <c r="E101" s="282"/>
      <c r="F101" s="290">
        <v>2900</v>
      </c>
    </row>
    <row r="102" spans="1:6" x14ac:dyDescent="0.25">
      <c r="A102" s="230">
        <v>45576</v>
      </c>
      <c r="B102" s="11" t="s">
        <v>881</v>
      </c>
      <c r="C102" s="112" t="s">
        <v>3529</v>
      </c>
      <c r="D102" s="17" t="s">
        <v>3645</v>
      </c>
      <c r="E102" s="282"/>
      <c r="F102" s="290">
        <v>1345500</v>
      </c>
    </row>
    <row r="103" spans="1:6" x14ac:dyDescent="0.25">
      <c r="A103" s="230">
        <v>45576</v>
      </c>
      <c r="B103" s="11" t="s">
        <v>881</v>
      </c>
      <c r="C103" s="112" t="s">
        <v>3529</v>
      </c>
      <c r="D103" s="17" t="s">
        <v>3646</v>
      </c>
      <c r="E103" s="282"/>
      <c r="F103" s="290">
        <v>628500</v>
      </c>
    </row>
    <row r="104" spans="1:6" x14ac:dyDescent="0.25">
      <c r="A104" s="230">
        <v>45576</v>
      </c>
      <c r="B104" s="11" t="s">
        <v>881</v>
      </c>
      <c r="C104" s="112" t="s">
        <v>3529</v>
      </c>
      <c r="D104" s="17" t="s">
        <v>3647</v>
      </c>
      <c r="E104" s="282"/>
      <c r="F104" s="290">
        <v>25000</v>
      </c>
    </row>
    <row r="105" spans="1:6" x14ac:dyDescent="0.25">
      <c r="A105" s="230">
        <v>45576</v>
      </c>
      <c r="B105" s="11" t="s">
        <v>3648</v>
      </c>
      <c r="C105" s="112" t="s">
        <v>3529</v>
      </c>
      <c r="D105" s="17" t="s">
        <v>3649</v>
      </c>
      <c r="E105" s="282"/>
      <c r="F105" s="289">
        <v>969500</v>
      </c>
    </row>
    <row r="106" spans="1:6" x14ac:dyDescent="0.25">
      <c r="A106" s="230">
        <v>45581</v>
      </c>
      <c r="B106" s="11" t="s">
        <v>3650</v>
      </c>
      <c r="C106" s="112" t="s">
        <v>3529</v>
      </c>
      <c r="D106" s="17" t="s">
        <v>3651</v>
      </c>
      <c r="E106" s="282"/>
      <c r="F106" s="289">
        <v>165000000</v>
      </c>
    </row>
    <row r="107" spans="1:6" x14ac:dyDescent="0.25">
      <c r="A107" s="230">
        <v>45581</v>
      </c>
      <c r="B107" s="11" t="s">
        <v>3650</v>
      </c>
      <c r="C107" s="112" t="s">
        <v>3529</v>
      </c>
      <c r="D107" s="17" t="s">
        <v>3652</v>
      </c>
      <c r="E107" s="282"/>
      <c r="F107" s="289">
        <v>18150000</v>
      </c>
    </row>
    <row r="108" spans="1:6" x14ac:dyDescent="0.25">
      <c r="A108" s="230">
        <v>45581</v>
      </c>
      <c r="B108" s="11" t="s">
        <v>3650</v>
      </c>
      <c r="C108" s="112" t="s">
        <v>3529</v>
      </c>
      <c r="D108" s="17" t="s">
        <v>105</v>
      </c>
      <c r="E108" s="282"/>
      <c r="F108" s="289">
        <v>2900</v>
      </c>
    </row>
    <row r="109" spans="1:6" x14ac:dyDescent="0.25">
      <c r="A109" s="230">
        <v>45583</v>
      </c>
      <c r="B109" s="11" t="s">
        <v>886</v>
      </c>
      <c r="C109" s="112" t="s">
        <v>3529</v>
      </c>
      <c r="D109" s="17" t="s">
        <v>1436</v>
      </c>
      <c r="E109" s="282"/>
      <c r="F109" s="289">
        <v>509500</v>
      </c>
    </row>
    <row r="110" spans="1:6" x14ac:dyDescent="0.25">
      <c r="A110" s="230">
        <v>45583</v>
      </c>
      <c r="B110" s="11" t="s">
        <v>886</v>
      </c>
      <c r="C110" s="112" t="s">
        <v>3529</v>
      </c>
      <c r="D110" s="17" t="s">
        <v>1437</v>
      </c>
      <c r="E110" s="282"/>
      <c r="F110" s="289">
        <v>310000</v>
      </c>
    </row>
    <row r="111" spans="1:6" x14ac:dyDescent="0.25">
      <c r="A111" s="230">
        <v>45583</v>
      </c>
      <c r="B111" s="11" t="s">
        <v>3294</v>
      </c>
      <c r="C111" s="112" t="s">
        <v>3529</v>
      </c>
      <c r="D111" s="17" t="s">
        <v>3653</v>
      </c>
      <c r="E111" s="282"/>
      <c r="F111" s="289">
        <v>450000</v>
      </c>
    </row>
    <row r="112" spans="1:6" x14ac:dyDescent="0.25">
      <c r="A112" s="230">
        <v>45583</v>
      </c>
      <c r="B112" s="11" t="s">
        <v>3294</v>
      </c>
      <c r="C112" s="112" t="s">
        <v>3529</v>
      </c>
      <c r="D112" s="17" t="s">
        <v>3654</v>
      </c>
      <c r="E112" s="282"/>
      <c r="F112" s="289">
        <v>50000</v>
      </c>
    </row>
    <row r="113" spans="1:6" x14ac:dyDescent="0.25">
      <c r="A113" s="230">
        <v>45590</v>
      </c>
      <c r="B113" s="11" t="s">
        <v>110</v>
      </c>
      <c r="C113" s="112" t="s">
        <v>3529</v>
      </c>
      <c r="D113" s="17" t="s">
        <v>3655</v>
      </c>
      <c r="E113" s="282"/>
      <c r="F113" s="289">
        <v>90000</v>
      </c>
    </row>
    <row r="114" spans="1:6" x14ac:dyDescent="0.25">
      <c r="A114" s="230">
        <v>45590</v>
      </c>
      <c r="B114" s="11" t="s">
        <v>110</v>
      </c>
      <c r="C114" s="112" t="s">
        <v>3529</v>
      </c>
      <c r="D114" s="17" t="s">
        <v>1436</v>
      </c>
      <c r="E114" s="282"/>
      <c r="F114" s="289">
        <v>864500</v>
      </c>
    </row>
    <row r="115" spans="1:6" x14ac:dyDescent="0.25">
      <c r="A115" s="230">
        <v>45590</v>
      </c>
      <c r="B115" s="11" t="s">
        <v>110</v>
      </c>
      <c r="C115" s="112" t="s">
        <v>3529</v>
      </c>
      <c r="D115" s="17" t="s">
        <v>1437</v>
      </c>
      <c r="E115" s="282"/>
      <c r="F115" s="289">
        <v>69000</v>
      </c>
    </row>
    <row r="116" spans="1:6" x14ac:dyDescent="0.25">
      <c r="A116" s="230">
        <v>45590</v>
      </c>
      <c r="B116" s="11" t="s">
        <v>3656</v>
      </c>
      <c r="C116" s="112" t="s">
        <v>3529</v>
      </c>
      <c r="D116" s="17" t="s">
        <v>3657</v>
      </c>
      <c r="E116" s="282"/>
      <c r="F116" s="290">
        <v>132500</v>
      </c>
    </row>
    <row r="117" spans="1:6" x14ac:dyDescent="0.25">
      <c r="A117" s="230">
        <v>45590</v>
      </c>
      <c r="B117" s="11" t="s">
        <v>3656</v>
      </c>
      <c r="C117" s="112" t="s">
        <v>3529</v>
      </c>
      <c r="D117" s="17" t="s">
        <v>3658</v>
      </c>
      <c r="E117" s="282"/>
      <c r="F117" s="290">
        <v>121500</v>
      </c>
    </row>
    <row r="118" spans="1:6" x14ac:dyDescent="0.25">
      <c r="A118" s="230">
        <v>45590</v>
      </c>
      <c r="B118" s="11" t="s">
        <v>3656</v>
      </c>
      <c r="C118" s="112" t="s">
        <v>3529</v>
      </c>
      <c r="D118" s="17" t="s">
        <v>3659</v>
      </c>
      <c r="E118" s="282"/>
      <c r="F118" s="290">
        <v>626000</v>
      </c>
    </row>
    <row r="119" spans="1:6" x14ac:dyDescent="0.25">
      <c r="A119" s="230">
        <v>45590</v>
      </c>
      <c r="B119" s="11" t="s">
        <v>3656</v>
      </c>
      <c r="C119" s="112" t="s">
        <v>3529</v>
      </c>
      <c r="D119" s="17" t="s">
        <v>3660</v>
      </c>
      <c r="E119" s="282"/>
      <c r="F119" s="290">
        <v>5800</v>
      </c>
    </row>
    <row r="120" spans="1:6" x14ac:dyDescent="0.25">
      <c r="A120" s="230">
        <v>45590</v>
      </c>
      <c r="B120" s="11" t="s">
        <v>3661</v>
      </c>
      <c r="C120" s="112" t="s">
        <v>3529</v>
      </c>
      <c r="D120" s="17" t="s">
        <v>3662</v>
      </c>
      <c r="E120" s="282"/>
      <c r="F120" s="290">
        <v>59235000</v>
      </c>
    </row>
    <row r="121" spans="1:6" x14ac:dyDescent="0.25">
      <c r="A121" s="230">
        <v>45590</v>
      </c>
      <c r="B121" s="11" t="s">
        <v>3661</v>
      </c>
      <c r="C121" s="112" t="s">
        <v>3529</v>
      </c>
      <c r="D121" s="17" t="s">
        <v>3663</v>
      </c>
      <c r="E121" s="282"/>
      <c r="F121" s="290">
        <v>136832402</v>
      </c>
    </row>
    <row r="122" spans="1:6" x14ac:dyDescent="0.25">
      <c r="A122" s="230">
        <v>45590</v>
      </c>
      <c r="B122" s="11" t="s">
        <v>3661</v>
      </c>
      <c r="C122" s="112" t="s">
        <v>3529</v>
      </c>
      <c r="D122" s="17" t="s">
        <v>3664</v>
      </c>
      <c r="E122" s="282"/>
      <c r="F122" s="290">
        <v>31098225</v>
      </c>
    </row>
    <row r="123" spans="1:6" x14ac:dyDescent="0.25">
      <c r="A123" s="230">
        <v>45595</v>
      </c>
      <c r="B123" s="11" t="s">
        <v>3665</v>
      </c>
      <c r="C123" s="112" t="s">
        <v>3529</v>
      </c>
      <c r="D123" s="17" t="s">
        <v>3666</v>
      </c>
      <c r="E123" s="282"/>
      <c r="F123" s="290">
        <v>58000000</v>
      </c>
    </row>
    <row r="124" spans="1:6" x14ac:dyDescent="0.25">
      <c r="A124" s="230">
        <v>45595</v>
      </c>
      <c r="B124" s="11" t="s">
        <v>3665</v>
      </c>
      <c r="C124" s="112" t="s">
        <v>3529</v>
      </c>
      <c r="D124" s="17" t="s">
        <v>3667</v>
      </c>
      <c r="E124" s="282"/>
      <c r="F124" s="290">
        <v>6380000</v>
      </c>
    </row>
    <row r="125" spans="1:6" x14ac:dyDescent="0.25">
      <c r="A125" s="230">
        <v>45595</v>
      </c>
      <c r="B125" s="11" t="s">
        <v>3665</v>
      </c>
      <c r="C125" s="112" t="s">
        <v>3529</v>
      </c>
      <c r="D125" s="17" t="s">
        <v>3668</v>
      </c>
      <c r="E125" s="282"/>
      <c r="F125" s="290">
        <v>-1160000</v>
      </c>
    </row>
    <row r="126" spans="1:6" x14ac:dyDescent="0.25">
      <c r="A126" s="230">
        <v>45595</v>
      </c>
      <c r="B126" s="11" t="s">
        <v>3665</v>
      </c>
      <c r="C126" s="112" t="s">
        <v>3529</v>
      </c>
      <c r="D126" s="17" t="s">
        <v>105</v>
      </c>
      <c r="E126" s="282"/>
      <c r="F126" s="290">
        <v>2900</v>
      </c>
    </row>
    <row r="127" spans="1:6" x14ac:dyDescent="0.25">
      <c r="A127" s="230">
        <v>45597</v>
      </c>
      <c r="B127" s="11" t="s">
        <v>3669</v>
      </c>
      <c r="C127" s="112" t="s">
        <v>3529</v>
      </c>
      <c r="D127" s="17" t="s">
        <v>1436</v>
      </c>
      <c r="E127" s="282"/>
      <c r="F127" s="289">
        <v>2062200</v>
      </c>
    </row>
    <row r="128" spans="1:6" x14ac:dyDescent="0.25">
      <c r="A128" s="230">
        <v>45597</v>
      </c>
      <c r="B128" s="11" t="s">
        <v>3669</v>
      </c>
      <c r="C128" s="112" t="s">
        <v>3529</v>
      </c>
      <c r="D128" s="17" t="s">
        <v>1437</v>
      </c>
      <c r="E128" s="282"/>
      <c r="F128" s="289">
        <v>172000</v>
      </c>
    </row>
    <row r="129" spans="1:6" x14ac:dyDescent="0.25">
      <c r="A129" s="230">
        <v>45603</v>
      </c>
      <c r="B129" s="11" t="s">
        <v>3670</v>
      </c>
      <c r="C129" s="112" t="s">
        <v>3529</v>
      </c>
      <c r="D129" s="17" t="s">
        <v>3671</v>
      </c>
      <c r="E129" s="282"/>
      <c r="F129" s="290">
        <v>28500000</v>
      </c>
    </row>
    <row r="130" spans="1:6" x14ac:dyDescent="0.25">
      <c r="A130" s="230">
        <v>45603</v>
      </c>
      <c r="B130" s="11" t="s">
        <v>3670</v>
      </c>
      <c r="C130" s="112" t="s">
        <v>3529</v>
      </c>
      <c r="D130" s="17" t="s">
        <v>3672</v>
      </c>
      <c r="E130" s="282"/>
      <c r="F130" s="290">
        <v>3135000</v>
      </c>
    </row>
    <row r="131" spans="1:6" x14ac:dyDescent="0.25">
      <c r="A131" s="230">
        <v>45603</v>
      </c>
      <c r="B131" s="11" t="s">
        <v>3670</v>
      </c>
      <c r="C131" s="112" t="s">
        <v>3529</v>
      </c>
      <c r="D131" s="17" t="s">
        <v>3673</v>
      </c>
      <c r="E131" s="282"/>
      <c r="F131" s="290">
        <v>2900</v>
      </c>
    </row>
    <row r="132" spans="1:6" x14ac:dyDescent="0.25">
      <c r="A132" s="230">
        <v>45604</v>
      </c>
      <c r="B132" s="11" t="s">
        <v>3674</v>
      </c>
      <c r="C132" s="326" t="s">
        <v>3529</v>
      </c>
      <c r="D132" s="26" t="s">
        <v>3675</v>
      </c>
      <c r="E132" s="334"/>
      <c r="F132" s="289">
        <v>200000000</v>
      </c>
    </row>
    <row r="133" spans="1:6" x14ac:dyDescent="0.25">
      <c r="A133" s="230">
        <v>45604</v>
      </c>
      <c r="B133" s="11" t="s">
        <v>3674</v>
      </c>
      <c r="C133" s="326" t="s">
        <v>3529</v>
      </c>
      <c r="D133" s="26" t="s">
        <v>3676</v>
      </c>
      <c r="E133" s="334"/>
      <c r="F133" s="289">
        <v>2900</v>
      </c>
    </row>
    <row r="134" spans="1:6" x14ac:dyDescent="0.25">
      <c r="A134" s="230">
        <v>45609</v>
      </c>
      <c r="B134" s="11" t="s">
        <v>3677</v>
      </c>
      <c r="C134" s="112" t="s">
        <v>3529</v>
      </c>
      <c r="D134" s="17" t="s">
        <v>3675</v>
      </c>
      <c r="E134" s="334"/>
      <c r="F134" s="289">
        <v>200000000</v>
      </c>
    </row>
    <row r="135" spans="1:6" x14ac:dyDescent="0.25">
      <c r="A135" s="230">
        <v>45609</v>
      </c>
      <c r="B135" s="11" t="s">
        <v>3677</v>
      </c>
      <c r="C135" s="112" t="s">
        <v>3529</v>
      </c>
      <c r="D135" s="17" t="s">
        <v>3676</v>
      </c>
      <c r="E135" s="334"/>
      <c r="F135" s="289">
        <v>2900</v>
      </c>
    </row>
    <row r="136" spans="1:6" x14ac:dyDescent="0.25">
      <c r="A136" s="230">
        <v>45611</v>
      </c>
      <c r="B136" s="11" t="s">
        <v>3678</v>
      </c>
      <c r="C136" s="112" t="s">
        <v>3529</v>
      </c>
      <c r="D136" s="17" t="s">
        <v>1425</v>
      </c>
      <c r="E136" s="334"/>
      <c r="F136" s="289">
        <v>168000</v>
      </c>
    </row>
    <row r="137" spans="1:6" x14ac:dyDescent="0.25">
      <c r="A137" s="230">
        <v>45611</v>
      </c>
      <c r="B137" s="11" t="s">
        <v>3678</v>
      </c>
      <c r="C137" s="112" t="s">
        <v>3529</v>
      </c>
      <c r="D137" s="17" t="s">
        <v>1426</v>
      </c>
      <c r="E137" s="334"/>
      <c r="F137" s="289">
        <v>400000</v>
      </c>
    </row>
    <row r="138" spans="1:6" x14ac:dyDescent="0.25">
      <c r="A138" s="230">
        <v>45611</v>
      </c>
      <c r="B138" s="11" t="s">
        <v>3678</v>
      </c>
      <c r="C138" s="112" t="s">
        <v>3529</v>
      </c>
      <c r="D138" s="17" t="s">
        <v>3679</v>
      </c>
      <c r="E138" s="334"/>
      <c r="F138" s="289">
        <v>215000</v>
      </c>
    </row>
    <row r="139" spans="1:6" x14ac:dyDescent="0.25">
      <c r="A139" s="230">
        <v>45611</v>
      </c>
      <c r="B139" s="11" t="s">
        <v>908</v>
      </c>
      <c r="C139" s="326" t="s">
        <v>3529</v>
      </c>
      <c r="D139" s="26" t="s">
        <v>1436</v>
      </c>
      <c r="E139" s="334"/>
      <c r="F139" s="289">
        <v>316700</v>
      </c>
    </row>
    <row r="140" spans="1:6" x14ac:dyDescent="0.25">
      <c r="A140" s="230">
        <v>45611</v>
      </c>
      <c r="B140" s="11" t="s">
        <v>3680</v>
      </c>
      <c r="C140" s="112" t="s">
        <v>3529</v>
      </c>
      <c r="D140" s="26" t="s">
        <v>3681</v>
      </c>
      <c r="E140" s="334"/>
      <c r="F140" s="289">
        <v>300000</v>
      </c>
    </row>
    <row r="141" spans="1:6" x14ac:dyDescent="0.25">
      <c r="A141" s="230">
        <v>45616</v>
      </c>
      <c r="B141" s="11" t="s">
        <v>3682</v>
      </c>
      <c r="C141" s="112" t="s">
        <v>3529</v>
      </c>
      <c r="D141" s="17" t="s">
        <v>3675</v>
      </c>
      <c r="E141" s="334"/>
      <c r="F141" s="289">
        <v>200000000</v>
      </c>
    </row>
    <row r="142" spans="1:6" x14ac:dyDescent="0.25">
      <c r="A142" s="230">
        <v>45616</v>
      </c>
      <c r="B142" s="11" t="s">
        <v>3682</v>
      </c>
      <c r="C142" s="112" t="s">
        <v>3529</v>
      </c>
      <c r="D142" s="17" t="s">
        <v>3676</v>
      </c>
      <c r="E142" s="334"/>
      <c r="F142" s="289">
        <v>2900</v>
      </c>
    </row>
    <row r="143" spans="1:6" x14ac:dyDescent="0.25">
      <c r="A143" s="230">
        <v>45625</v>
      </c>
      <c r="B143" s="11" t="s">
        <v>3683</v>
      </c>
      <c r="C143" s="112" t="s">
        <v>3529</v>
      </c>
      <c r="D143" s="17" t="s">
        <v>3684</v>
      </c>
      <c r="E143" s="282"/>
      <c r="F143" s="289">
        <v>449459459.45945901</v>
      </c>
    </row>
    <row r="144" spans="1:6" x14ac:dyDescent="0.25">
      <c r="A144" s="230">
        <v>45625</v>
      </c>
      <c r="B144" s="11" t="s">
        <v>3683</v>
      </c>
      <c r="C144" s="112" t="s">
        <v>3529</v>
      </c>
      <c r="D144" s="17" t="s">
        <v>3685</v>
      </c>
      <c r="E144" s="282"/>
      <c r="F144" s="289">
        <v>49440540.540540494</v>
      </c>
    </row>
    <row r="145" spans="1:6" x14ac:dyDescent="0.25">
      <c r="A145" s="230">
        <v>45625</v>
      </c>
      <c r="B145" s="11" t="s">
        <v>3683</v>
      </c>
      <c r="C145" s="112" t="s">
        <v>3529</v>
      </c>
      <c r="D145" s="17" t="s">
        <v>3676</v>
      </c>
      <c r="E145" s="282"/>
      <c r="F145" s="289">
        <v>2900</v>
      </c>
    </row>
    <row r="146" spans="1:6" x14ac:dyDescent="0.25">
      <c r="A146" s="230">
        <v>45625</v>
      </c>
      <c r="B146" s="11" t="s">
        <v>3686</v>
      </c>
      <c r="C146" s="112" t="s">
        <v>3529</v>
      </c>
      <c r="D146" s="17" t="s">
        <v>3687</v>
      </c>
      <c r="E146" s="282"/>
      <c r="F146" s="289">
        <v>16000000</v>
      </c>
    </row>
    <row r="147" spans="1:6" x14ac:dyDescent="0.25">
      <c r="A147" s="230">
        <v>45625</v>
      </c>
      <c r="B147" s="11" t="s">
        <v>3686</v>
      </c>
      <c r="C147" s="112" t="s">
        <v>3529</v>
      </c>
      <c r="D147" s="17" t="s">
        <v>3688</v>
      </c>
      <c r="E147" s="282"/>
      <c r="F147" s="289">
        <v>2900</v>
      </c>
    </row>
    <row r="148" spans="1:6" x14ac:dyDescent="0.25">
      <c r="A148" s="230">
        <v>45625</v>
      </c>
      <c r="B148" s="11" t="s">
        <v>931</v>
      </c>
      <c r="C148" s="112" t="s">
        <v>3529</v>
      </c>
      <c r="D148" s="17" t="s">
        <v>3689</v>
      </c>
      <c r="E148" s="282"/>
      <c r="F148" s="289">
        <v>60000</v>
      </c>
    </row>
    <row r="149" spans="1:6" x14ac:dyDescent="0.25">
      <c r="A149" s="230">
        <v>45625</v>
      </c>
      <c r="B149" s="11" t="s">
        <v>931</v>
      </c>
      <c r="C149" s="112" t="s">
        <v>3529</v>
      </c>
      <c r="D149" s="17" t="s">
        <v>3690</v>
      </c>
      <c r="E149" s="282"/>
      <c r="F149" s="289">
        <v>846800</v>
      </c>
    </row>
    <row r="150" spans="1:6" x14ac:dyDescent="0.25">
      <c r="A150" s="230">
        <v>45631</v>
      </c>
      <c r="B150" s="11" t="s">
        <v>3691</v>
      </c>
      <c r="C150" s="112" t="s">
        <v>3529</v>
      </c>
      <c r="D150" s="26" t="s">
        <v>3692</v>
      </c>
      <c r="E150" s="282"/>
      <c r="F150" s="289">
        <v>34072750</v>
      </c>
    </row>
    <row r="151" spans="1:6" x14ac:dyDescent="0.25">
      <c r="A151" s="230">
        <v>45632</v>
      </c>
      <c r="B151" s="11" t="s">
        <v>3693</v>
      </c>
      <c r="C151" s="112" t="s">
        <v>3529</v>
      </c>
      <c r="D151" s="17" t="s">
        <v>405</v>
      </c>
      <c r="E151" s="282"/>
      <c r="F151" s="289">
        <v>594038</v>
      </c>
    </row>
    <row r="152" spans="1:6" x14ac:dyDescent="0.25">
      <c r="A152" s="230">
        <v>45632</v>
      </c>
      <c r="B152" s="11" t="s">
        <v>3693</v>
      </c>
      <c r="C152" s="112" t="s">
        <v>3529</v>
      </c>
      <c r="D152" s="17" t="s">
        <v>404</v>
      </c>
      <c r="E152" s="282"/>
      <c r="F152" s="289">
        <v>380500</v>
      </c>
    </row>
    <row r="153" spans="1:6" x14ac:dyDescent="0.25">
      <c r="A153" s="230">
        <v>45632</v>
      </c>
      <c r="B153" s="11" t="s">
        <v>3693</v>
      </c>
      <c r="C153" s="112" t="s">
        <v>3529</v>
      </c>
      <c r="D153" s="17" t="s">
        <v>3694</v>
      </c>
      <c r="E153" s="282"/>
      <c r="F153" s="289">
        <v>2000000</v>
      </c>
    </row>
    <row r="154" spans="1:6" x14ac:dyDescent="0.25">
      <c r="A154" s="230">
        <v>45632</v>
      </c>
      <c r="B154" s="11" t="s">
        <v>3693</v>
      </c>
      <c r="C154" s="112" t="s">
        <v>3529</v>
      </c>
      <c r="D154" s="17" t="s">
        <v>3695</v>
      </c>
      <c r="E154" s="282"/>
      <c r="F154" s="289">
        <v>2562203</v>
      </c>
    </row>
    <row r="155" spans="1:6" x14ac:dyDescent="0.25">
      <c r="A155" s="230">
        <v>45632</v>
      </c>
      <c r="B155" s="11" t="s">
        <v>1472</v>
      </c>
      <c r="C155" s="112" t="s">
        <v>3529</v>
      </c>
      <c r="D155" s="17" t="s">
        <v>1473</v>
      </c>
      <c r="E155" s="282"/>
      <c r="F155" s="289">
        <v>45000</v>
      </c>
    </row>
    <row r="156" spans="1:6" x14ac:dyDescent="0.25">
      <c r="A156" s="230">
        <v>45632</v>
      </c>
      <c r="B156" s="11" t="s">
        <v>1472</v>
      </c>
      <c r="C156" s="327" t="s">
        <v>3529</v>
      </c>
      <c r="D156" s="17" t="s">
        <v>1898</v>
      </c>
      <c r="E156" s="282"/>
      <c r="F156" s="289">
        <v>290000</v>
      </c>
    </row>
    <row r="157" spans="1:6" x14ac:dyDescent="0.25">
      <c r="A157" s="230">
        <v>45632</v>
      </c>
      <c r="B157" s="11" t="s">
        <v>1472</v>
      </c>
      <c r="C157" s="327" t="s">
        <v>3529</v>
      </c>
      <c r="D157" s="17" t="s">
        <v>3696</v>
      </c>
      <c r="E157" s="282"/>
      <c r="F157" s="289">
        <v>26000</v>
      </c>
    </row>
    <row r="158" spans="1:6" x14ac:dyDescent="0.25">
      <c r="A158" s="230">
        <v>45632</v>
      </c>
      <c r="B158" s="11" t="s">
        <v>1472</v>
      </c>
      <c r="C158" s="327" t="s">
        <v>3529</v>
      </c>
      <c r="D158" s="17" t="s">
        <v>3697</v>
      </c>
      <c r="E158" s="282"/>
      <c r="F158" s="289">
        <v>30000</v>
      </c>
    </row>
    <row r="159" spans="1:6" x14ac:dyDescent="0.25">
      <c r="A159" s="230">
        <v>45644</v>
      </c>
      <c r="B159" s="11" t="s">
        <v>592</v>
      </c>
      <c r="C159" s="112" t="s">
        <v>3529</v>
      </c>
      <c r="D159" s="17" t="s">
        <v>3698</v>
      </c>
      <c r="E159" s="282"/>
      <c r="F159" s="289">
        <v>1000000</v>
      </c>
    </row>
    <row r="160" spans="1:6" x14ac:dyDescent="0.25">
      <c r="A160" s="230">
        <v>45644</v>
      </c>
      <c r="B160" s="11" t="s">
        <v>592</v>
      </c>
      <c r="C160" s="112" t="s">
        <v>3529</v>
      </c>
      <c r="D160" s="17" t="s">
        <v>3699</v>
      </c>
      <c r="E160" s="282"/>
      <c r="F160" s="289">
        <v>110000</v>
      </c>
    </row>
    <row r="161" spans="1:6" x14ac:dyDescent="0.25">
      <c r="A161" s="230">
        <v>45644</v>
      </c>
      <c r="B161" s="11" t="s">
        <v>592</v>
      </c>
      <c r="C161" s="112" t="s">
        <v>3529</v>
      </c>
      <c r="D161" s="17" t="s">
        <v>3700</v>
      </c>
      <c r="E161" s="282"/>
      <c r="F161" s="289">
        <v>-20000</v>
      </c>
    </row>
    <row r="162" spans="1:6" x14ac:dyDescent="0.25">
      <c r="A162" s="230">
        <v>45644</v>
      </c>
      <c r="B162" s="11" t="s">
        <v>592</v>
      </c>
      <c r="C162" s="112" t="s">
        <v>3529</v>
      </c>
      <c r="D162" s="17" t="s">
        <v>3701</v>
      </c>
      <c r="E162" s="282"/>
      <c r="F162" s="289">
        <v>2500</v>
      </c>
    </row>
    <row r="163" spans="1:6" x14ac:dyDescent="0.25">
      <c r="A163" s="230">
        <v>45645</v>
      </c>
      <c r="B163" s="11" t="s">
        <v>3702</v>
      </c>
      <c r="C163" s="112" t="s">
        <v>3529</v>
      </c>
      <c r="D163" s="17" t="s">
        <v>3703</v>
      </c>
      <c r="E163" s="282"/>
      <c r="F163" s="289">
        <v>45200000</v>
      </c>
    </row>
    <row r="164" spans="1:6" x14ac:dyDescent="0.25">
      <c r="A164" s="230">
        <v>45645</v>
      </c>
      <c r="B164" s="11" t="s">
        <v>3702</v>
      </c>
      <c r="C164" s="112" t="s">
        <v>3529</v>
      </c>
      <c r="D164" s="17" t="s">
        <v>3704</v>
      </c>
      <c r="E164" s="282"/>
      <c r="F164" s="289">
        <v>4972000</v>
      </c>
    </row>
    <row r="165" spans="1:6" x14ac:dyDescent="0.25">
      <c r="A165" s="230">
        <v>45645</v>
      </c>
      <c r="B165" s="11" t="s">
        <v>3702</v>
      </c>
      <c r="C165" s="112" t="s">
        <v>3529</v>
      </c>
      <c r="D165" s="17" t="s">
        <v>3705</v>
      </c>
      <c r="E165" s="282"/>
      <c r="F165" s="289">
        <v>-904000</v>
      </c>
    </row>
    <row r="166" spans="1:6" x14ac:dyDescent="0.25">
      <c r="A166" s="230">
        <v>45645</v>
      </c>
      <c r="B166" s="11" t="s">
        <v>3702</v>
      </c>
      <c r="C166" s="112" t="s">
        <v>3529</v>
      </c>
      <c r="D166" s="17" t="s">
        <v>3541</v>
      </c>
      <c r="E166" s="282"/>
      <c r="F166" s="289">
        <v>2900</v>
      </c>
    </row>
    <row r="167" spans="1:6" x14ac:dyDescent="0.25">
      <c r="A167" s="230">
        <v>45645</v>
      </c>
      <c r="B167" s="11" t="s">
        <v>3706</v>
      </c>
      <c r="C167" s="112" t="s">
        <v>3529</v>
      </c>
      <c r="D167" s="17" t="s">
        <v>3707</v>
      </c>
      <c r="E167" s="282"/>
      <c r="F167" s="289">
        <v>250000000</v>
      </c>
    </row>
    <row r="168" spans="1:6" x14ac:dyDescent="0.25">
      <c r="A168" s="230">
        <v>45645</v>
      </c>
      <c r="B168" s="11" t="s">
        <v>3706</v>
      </c>
      <c r="C168" s="112" t="s">
        <v>3529</v>
      </c>
      <c r="D168" s="17" t="s">
        <v>3708</v>
      </c>
      <c r="E168" s="282"/>
      <c r="F168" s="289">
        <v>2900</v>
      </c>
    </row>
    <row r="169" spans="1:6" x14ac:dyDescent="0.25">
      <c r="A169" s="230">
        <v>45645</v>
      </c>
      <c r="B169" s="11" t="s">
        <v>1481</v>
      </c>
      <c r="C169" s="112" t="s">
        <v>3529</v>
      </c>
      <c r="D169" s="17" t="s">
        <v>3709</v>
      </c>
      <c r="E169" s="282"/>
      <c r="F169" s="289">
        <v>58468550</v>
      </c>
    </row>
    <row r="170" spans="1:6" x14ac:dyDescent="0.25">
      <c r="A170" s="230">
        <v>45646</v>
      </c>
      <c r="B170" s="11" t="s">
        <v>3710</v>
      </c>
      <c r="C170" s="112" t="s">
        <v>3529</v>
      </c>
      <c r="D170" s="17" t="s">
        <v>3711</v>
      </c>
      <c r="E170" s="282"/>
      <c r="F170" s="289">
        <v>62500</v>
      </c>
    </row>
    <row r="171" spans="1:6" x14ac:dyDescent="0.25">
      <c r="A171" s="230">
        <v>45646</v>
      </c>
      <c r="B171" s="11" t="s">
        <v>3710</v>
      </c>
      <c r="C171" s="112" t="s">
        <v>3529</v>
      </c>
      <c r="D171" s="17" t="s">
        <v>3712</v>
      </c>
      <c r="E171" s="282"/>
      <c r="F171" s="289">
        <v>200000</v>
      </c>
    </row>
    <row r="172" spans="1:6" x14ac:dyDescent="0.25">
      <c r="A172" s="230">
        <v>45646</v>
      </c>
      <c r="B172" s="11" t="s">
        <v>3710</v>
      </c>
      <c r="C172" s="112" t="s">
        <v>3529</v>
      </c>
      <c r="D172" s="17" t="s">
        <v>3713</v>
      </c>
      <c r="E172" s="282"/>
      <c r="F172" s="289">
        <v>16000</v>
      </c>
    </row>
    <row r="173" spans="1:6" x14ac:dyDescent="0.25">
      <c r="A173" s="230">
        <v>45646</v>
      </c>
      <c r="B173" s="11" t="s">
        <v>3710</v>
      </c>
      <c r="C173" s="112" t="s">
        <v>3529</v>
      </c>
      <c r="D173" s="17" t="s">
        <v>3714</v>
      </c>
      <c r="E173" s="282"/>
      <c r="F173" s="289">
        <v>100000</v>
      </c>
    </row>
    <row r="174" spans="1:6" x14ac:dyDescent="0.25">
      <c r="A174" s="230">
        <v>45646</v>
      </c>
      <c r="B174" s="11" t="s">
        <v>3710</v>
      </c>
      <c r="C174" s="112" t="s">
        <v>3529</v>
      </c>
      <c r="D174" s="17" t="s">
        <v>3715</v>
      </c>
      <c r="E174" s="282"/>
      <c r="F174" s="289">
        <v>570000</v>
      </c>
    </row>
    <row r="175" spans="1:6" x14ac:dyDescent="0.25">
      <c r="A175" s="230">
        <v>45646</v>
      </c>
      <c r="B175" s="11" t="s">
        <v>3710</v>
      </c>
      <c r="C175" s="112" t="s">
        <v>3529</v>
      </c>
      <c r="D175" s="17" t="s">
        <v>3716</v>
      </c>
      <c r="E175" s="282"/>
      <c r="F175" s="289">
        <v>960000</v>
      </c>
    </row>
    <row r="176" spans="1:6" x14ac:dyDescent="0.25">
      <c r="A176" s="230">
        <v>45646</v>
      </c>
      <c r="B176" s="11" t="s">
        <v>3710</v>
      </c>
      <c r="C176" s="112" t="s">
        <v>3529</v>
      </c>
      <c r="D176" s="17" t="s">
        <v>3717</v>
      </c>
      <c r="E176" s="282"/>
      <c r="F176" s="289">
        <v>200000</v>
      </c>
    </row>
    <row r="177" spans="1:6" x14ac:dyDescent="0.25">
      <c r="A177" s="230">
        <v>45646</v>
      </c>
      <c r="B177" s="11" t="s">
        <v>3718</v>
      </c>
      <c r="C177" s="112" t="s">
        <v>3529</v>
      </c>
      <c r="D177" s="17" t="s">
        <v>3719</v>
      </c>
      <c r="E177" s="282"/>
      <c r="F177" s="289">
        <v>120164</v>
      </c>
    </row>
    <row r="178" spans="1:6" x14ac:dyDescent="0.25">
      <c r="A178" s="230">
        <v>45646</v>
      </c>
      <c r="B178" s="11" t="s">
        <v>3718</v>
      </c>
      <c r="C178" s="112" t="s">
        <v>3529</v>
      </c>
      <c r="D178" s="17" t="s">
        <v>3720</v>
      </c>
      <c r="E178" s="282"/>
      <c r="F178" s="289">
        <v>115000</v>
      </c>
    </row>
    <row r="179" spans="1:6" x14ac:dyDescent="0.25">
      <c r="A179" s="230">
        <v>45646</v>
      </c>
      <c r="B179" s="11" t="s">
        <v>3718</v>
      </c>
      <c r="C179" s="112" t="s">
        <v>3529</v>
      </c>
      <c r="D179" s="17" t="s">
        <v>930</v>
      </c>
      <c r="E179" s="282"/>
      <c r="F179" s="289">
        <v>2900</v>
      </c>
    </row>
    <row r="180" spans="1:6" x14ac:dyDescent="0.25">
      <c r="A180" s="230">
        <v>45646</v>
      </c>
      <c r="B180" s="11" t="s">
        <v>3721</v>
      </c>
      <c r="C180" s="112" t="s">
        <v>3529</v>
      </c>
      <c r="D180" s="26" t="s">
        <v>3722</v>
      </c>
      <c r="E180" s="282"/>
      <c r="F180" s="289">
        <v>20400000</v>
      </c>
    </row>
    <row r="181" spans="1:6" x14ac:dyDescent="0.25">
      <c r="A181" s="230">
        <v>45646</v>
      </c>
      <c r="B181" s="11" t="s">
        <v>3721</v>
      </c>
      <c r="C181" s="112" t="s">
        <v>3529</v>
      </c>
      <c r="D181" s="26" t="s">
        <v>3723</v>
      </c>
      <c r="E181" s="282"/>
      <c r="F181" s="289">
        <v>2244000</v>
      </c>
    </row>
    <row r="182" spans="1:6" x14ac:dyDescent="0.25">
      <c r="A182" s="230">
        <v>45646</v>
      </c>
      <c r="B182" s="11" t="s">
        <v>3721</v>
      </c>
      <c r="C182" s="112" t="s">
        <v>3529</v>
      </c>
      <c r="D182" s="26" t="s">
        <v>3724</v>
      </c>
      <c r="E182" s="282"/>
      <c r="F182" s="289">
        <v>2900</v>
      </c>
    </row>
    <row r="183" spans="1:6" x14ac:dyDescent="0.25">
      <c r="A183" s="230">
        <v>45646</v>
      </c>
      <c r="B183" s="11" t="s">
        <v>3725</v>
      </c>
      <c r="C183" s="112" t="s">
        <v>3529</v>
      </c>
      <c r="D183" s="17" t="s">
        <v>3726</v>
      </c>
      <c r="E183" s="282"/>
      <c r="F183" s="289">
        <v>45000</v>
      </c>
    </row>
    <row r="184" spans="1:6" x14ac:dyDescent="0.25">
      <c r="A184" s="230">
        <v>45646</v>
      </c>
      <c r="B184" s="11" t="s">
        <v>3725</v>
      </c>
      <c r="C184" s="112" t="s">
        <v>3529</v>
      </c>
      <c r="D184" s="17" t="s">
        <v>3727</v>
      </c>
      <c r="E184" s="282"/>
      <c r="F184" s="289">
        <v>2900</v>
      </c>
    </row>
    <row r="185" spans="1:6" x14ac:dyDescent="0.25">
      <c r="A185" s="230">
        <v>45646</v>
      </c>
      <c r="B185" s="11" t="s">
        <v>3728</v>
      </c>
      <c r="C185" s="112" t="s">
        <v>3529</v>
      </c>
      <c r="D185" s="26" t="s">
        <v>3729</v>
      </c>
      <c r="E185" s="282"/>
      <c r="F185" s="289">
        <v>25417228</v>
      </c>
    </row>
    <row r="186" spans="1:6" x14ac:dyDescent="0.25">
      <c r="A186" s="230">
        <v>45646</v>
      </c>
      <c r="B186" s="11" t="s">
        <v>3728</v>
      </c>
      <c r="C186" s="112" t="s">
        <v>3529</v>
      </c>
      <c r="D186" s="26" t="s">
        <v>3730</v>
      </c>
      <c r="E186" s="282"/>
      <c r="F186" s="289">
        <v>2795895</v>
      </c>
    </row>
    <row r="187" spans="1:6" x14ac:dyDescent="0.25">
      <c r="A187" s="230">
        <v>45646</v>
      </c>
      <c r="B187" s="11" t="s">
        <v>3728</v>
      </c>
      <c r="C187" s="112" t="s">
        <v>3529</v>
      </c>
      <c r="D187" s="26" t="s">
        <v>1411</v>
      </c>
      <c r="E187" s="282"/>
      <c r="F187" s="289">
        <v>2900</v>
      </c>
    </row>
    <row r="188" spans="1:6" x14ac:dyDescent="0.25">
      <c r="A188" s="230">
        <v>45646</v>
      </c>
      <c r="B188" s="11" t="s">
        <v>3731</v>
      </c>
      <c r="C188" s="112" t="s">
        <v>3529</v>
      </c>
      <c r="D188" s="17" t="s">
        <v>3732</v>
      </c>
      <c r="E188" s="282"/>
      <c r="F188" s="289">
        <v>39650000</v>
      </c>
    </row>
    <row r="189" spans="1:6" x14ac:dyDescent="0.25">
      <c r="A189" s="230">
        <v>45646</v>
      </c>
      <c r="B189" s="11" t="s">
        <v>3731</v>
      </c>
      <c r="C189" s="112" t="s">
        <v>3529</v>
      </c>
      <c r="D189" s="17" t="s">
        <v>3733</v>
      </c>
      <c r="E189" s="282"/>
      <c r="F189" s="289">
        <v>725000</v>
      </c>
    </row>
    <row r="190" spans="1:6" x14ac:dyDescent="0.25">
      <c r="A190" s="230">
        <v>45646</v>
      </c>
      <c r="B190" s="11" t="s">
        <v>3731</v>
      </c>
      <c r="C190" s="112" t="s">
        <v>3529</v>
      </c>
      <c r="D190" s="17" t="s">
        <v>3734</v>
      </c>
      <c r="E190" s="282"/>
      <c r="F190" s="289">
        <v>175000</v>
      </c>
    </row>
    <row r="191" spans="1:6" x14ac:dyDescent="0.25">
      <c r="A191" s="230">
        <v>45646</v>
      </c>
      <c r="B191" s="11" t="s">
        <v>3731</v>
      </c>
      <c r="C191" s="112" t="s">
        <v>3529</v>
      </c>
      <c r="D191" s="17" t="s">
        <v>3735</v>
      </c>
      <c r="E191" s="282"/>
      <c r="F191" s="289">
        <v>2900</v>
      </c>
    </row>
    <row r="192" spans="1:6" x14ac:dyDescent="0.25">
      <c r="A192" s="230">
        <v>45646</v>
      </c>
      <c r="B192" s="11" t="s">
        <v>3736</v>
      </c>
      <c r="C192" s="112" t="s">
        <v>3529</v>
      </c>
      <c r="D192" s="26" t="s">
        <v>3737</v>
      </c>
      <c r="E192" s="282"/>
      <c r="F192" s="289">
        <v>7000000</v>
      </c>
    </row>
    <row r="193" spans="1:6" x14ac:dyDescent="0.25">
      <c r="A193" s="230">
        <v>45646</v>
      </c>
      <c r="B193" s="11" t="s">
        <v>3736</v>
      </c>
      <c r="C193" s="112" t="s">
        <v>3529</v>
      </c>
      <c r="D193" s="26" t="s">
        <v>3738</v>
      </c>
      <c r="E193" s="282"/>
      <c r="F193" s="289">
        <v>2900</v>
      </c>
    </row>
    <row r="194" spans="1:6" x14ac:dyDescent="0.25">
      <c r="A194" s="230">
        <v>45646</v>
      </c>
      <c r="B194" s="11" t="s">
        <v>3739</v>
      </c>
      <c r="C194" s="112" t="s">
        <v>3529</v>
      </c>
      <c r="D194" s="17" t="s">
        <v>1425</v>
      </c>
      <c r="E194" s="282"/>
      <c r="F194" s="289">
        <v>185000</v>
      </c>
    </row>
    <row r="195" spans="1:6" x14ac:dyDescent="0.25">
      <c r="A195" s="230">
        <v>45646</v>
      </c>
      <c r="B195" s="11" t="s">
        <v>3739</v>
      </c>
      <c r="C195" s="112" t="s">
        <v>3529</v>
      </c>
      <c r="D195" s="17" t="s">
        <v>1426</v>
      </c>
      <c r="E195" s="282"/>
      <c r="F195" s="289">
        <v>200000</v>
      </c>
    </row>
    <row r="196" spans="1:6" x14ac:dyDescent="0.25">
      <c r="A196" s="230">
        <v>45646</v>
      </c>
      <c r="B196" s="11" t="s">
        <v>3739</v>
      </c>
      <c r="C196" s="112" t="s">
        <v>3529</v>
      </c>
      <c r="D196" s="17" t="s">
        <v>3740</v>
      </c>
      <c r="E196" s="282"/>
      <c r="F196" s="289">
        <v>50000</v>
      </c>
    </row>
    <row r="197" spans="1:6" x14ac:dyDescent="0.25">
      <c r="A197" s="230">
        <v>45646</v>
      </c>
      <c r="B197" s="11" t="s">
        <v>3739</v>
      </c>
      <c r="C197" s="112" t="s">
        <v>3529</v>
      </c>
      <c r="D197" s="17" t="s">
        <v>3741</v>
      </c>
      <c r="E197" s="282"/>
      <c r="F197" s="289">
        <v>900000</v>
      </c>
    </row>
    <row r="198" spans="1:6" x14ac:dyDescent="0.25">
      <c r="A198" s="230">
        <v>45646</v>
      </c>
      <c r="B198" s="11" t="s">
        <v>3742</v>
      </c>
      <c r="C198" s="112" t="s">
        <v>3529</v>
      </c>
      <c r="D198" s="26" t="s">
        <v>3743</v>
      </c>
      <c r="E198" s="282"/>
      <c r="F198" s="289">
        <v>2000000</v>
      </c>
    </row>
    <row r="199" spans="1:6" x14ac:dyDescent="0.25">
      <c r="A199" s="230">
        <v>45646</v>
      </c>
      <c r="B199" s="11" t="s">
        <v>3744</v>
      </c>
      <c r="C199" s="112" t="s">
        <v>3529</v>
      </c>
      <c r="D199" s="26" t="s">
        <v>3745</v>
      </c>
      <c r="E199" s="282">
        <v>175000</v>
      </c>
      <c r="F199" s="289"/>
    </row>
    <row r="200" spans="1:6" x14ac:dyDescent="0.25">
      <c r="A200" s="230">
        <v>45650</v>
      </c>
      <c r="B200" s="11" t="s">
        <v>3746</v>
      </c>
      <c r="C200" s="112" t="s">
        <v>3529</v>
      </c>
      <c r="D200" s="26" t="s">
        <v>3747</v>
      </c>
      <c r="E200" s="282">
        <v>2000000000</v>
      </c>
      <c r="F200" s="289"/>
    </row>
    <row r="201" spans="1:6" x14ac:dyDescent="0.25">
      <c r="A201" s="230">
        <v>45653</v>
      </c>
      <c r="B201" s="11" t="s">
        <v>3748</v>
      </c>
      <c r="C201" s="112" t="s">
        <v>3529</v>
      </c>
      <c r="D201" s="17" t="s">
        <v>3749</v>
      </c>
      <c r="E201" s="282"/>
      <c r="F201" s="289">
        <v>20700000</v>
      </c>
    </row>
    <row r="202" spans="1:6" x14ac:dyDescent="0.25">
      <c r="A202" s="230">
        <v>45653</v>
      </c>
      <c r="B202" s="11" t="s">
        <v>3748</v>
      </c>
      <c r="C202" s="112" t="s">
        <v>3529</v>
      </c>
      <c r="D202" s="17" t="s">
        <v>3750</v>
      </c>
      <c r="E202" s="282"/>
      <c r="F202" s="289">
        <v>2277000</v>
      </c>
    </row>
    <row r="203" spans="1:6" x14ac:dyDescent="0.25">
      <c r="A203" s="230">
        <v>45653</v>
      </c>
      <c r="B203" s="11" t="s">
        <v>3748</v>
      </c>
      <c r="C203" s="112" t="s">
        <v>3529</v>
      </c>
      <c r="D203" s="17" t="s">
        <v>3751</v>
      </c>
      <c r="E203" s="282"/>
      <c r="F203" s="289">
        <v>-414000</v>
      </c>
    </row>
    <row r="204" spans="1:6" x14ac:dyDescent="0.25">
      <c r="A204" s="230">
        <v>45653</v>
      </c>
      <c r="B204" s="11" t="s">
        <v>3748</v>
      </c>
      <c r="C204" s="112" t="s">
        <v>3529</v>
      </c>
      <c r="D204" s="17" t="s">
        <v>937</v>
      </c>
      <c r="E204" s="282"/>
      <c r="F204" s="289">
        <v>2900</v>
      </c>
    </row>
    <row r="205" spans="1:6" x14ac:dyDescent="0.25">
      <c r="A205" s="230">
        <v>45653</v>
      </c>
      <c r="B205" s="11" t="s">
        <v>3752</v>
      </c>
      <c r="C205" s="112" t="s">
        <v>3529</v>
      </c>
      <c r="D205" s="17" t="s">
        <v>3753</v>
      </c>
      <c r="E205" s="282"/>
      <c r="F205" s="289">
        <v>18750000</v>
      </c>
    </row>
    <row r="206" spans="1:6" x14ac:dyDescent="0.25">
      <c r="A206" s="230">
        <v>45653</v>
      </c>
      <c r="B206" s="11" t="s">
        <v>3752</v>
      </c>
      <c r="C206" s="112" t="s">
        <v>3529</v>
      </c>
      <c r="D206" s="17" t="s">
        <v>3754</v>
      </c>
      <c r="E206" s="282"/>
      <c r="F206" s="289">
        <v>2062500</v>
      </c>
    </row>
    <row r="207" spans="1:6" x14ac:dyDescent="0.25">
      <c r="A207" s="230">
        <v>45653</v>
      </c>
      <c r="B207" s="11" t="s">
        <v>3752</v>
      </c>
      <c r="C207" s="112" t="s">
        <v>3529</v>
      </c>
      <c r="D207" s="17" t="s">
        <v>3755</v>
      </c>
      <c r="E207" s="282"/>
      <c r="F207" s="289">
        <v>-375000</v>
      </c>
    </row>
    <row r="208" spans="1:6" x14ac:dyDescent="0.25">
      <c r="A208" s="230">
        <v>45653</v>
      </c>
      <c r="B208" s="11" t="s">
        <v>3752</v>
      </c>
      <c r="C208" s="112" t="s">
        <v>3529</v>
      </c>
      <c r="D208" s="17" t="s">
        <v>1010</v>
      </c>
      <c r="E208" s="282"/>
      <c r="F208" s="289">
        <v>2900</v>
      </c>
    </row>
    <row r="209" spans="1:6" x14ac:dyDescent="0.25">
      <c r="A209" s="230">
        <v>45653</v>
      </c>
      <c r="B209" s="11" t="s">
        <v>3756</v>
      </c>
      <c r="C209" s="112" t="s">
        <v>3529</v>
      </c>
      <c r="D209" s="17" t="s">
        <v>3757</v>
      </c>
      <c r="E209" s="282"/>
      <c r="F209" s="289">
        <v>12164188</v>
      </c>
    </row>
    <row r="210" spans="1:6" x14ac:dyDescent="0.25">
      <c r="A210" s="230">
        <v>45653</v>
      </c>
      <c r="B210" s="11" t="s">
        <v>3756</v>
      </c>
      <c r="C210" s="112" t="s">
        <v>3529</v>
      </c>
      <c r="D210" s="17" t="s">
        <v>3537</v>
      </c>
      <c r="E210" s="282"/>
      <c r="F210" s="289">
        <v>2900</v>
      </c>
    </row>
    <row r="211" spans="1:6" x14ac:dyDescent="0.25">
      <c r="A211" s="230">
        <v>45653</v>
      </c>
      <c r="B211" s="11" t="s">
        <v>3758</v>
      </c>
      <c r="C211" s="112" t="s">
        <v>3529</v>
      </c>
      <c r="D211" s="17" t="s">
        <v>3759</v>
      </c>
      <c r="E211" s="282"/>
      <c r="F211" s="289">
        <v>226500</v>
      </c>
    </row>
    <row r="212" spans="1:6" x14ac:dyDescent="0.25">
      <c r="A212" s="230">
        <v>45653</v>
      </c>
      <c r="B212" s="11" t="s">
        <v>3758</v>
      </c>
      <c r="C212" s="112" t="s">
        <v>3529</v>
      </c>
      <c r="D212" s="17" t="s">
        <v>404</v>
      </c>
      <c r="E212" s="282"/>
      <c r="F212" s="289">
        <v>80500</v>
      </c>
    </row>
    <row r="213" spans="1:6" x14ac:dyDescent="0.25">
      <c r="A213" s="230">
        <v>45653</v>
      </c>
      <c r="B213" s="11" t="s">
        <v>3758</v>
      </c>
      <c r="C213" s="112" t="s">
        <v>3529</v>
      </c>
      <c r="D213" s="17" t="s">
        <v>3760</v>
      </c>
      <c r="E213" s="282"/>
      <c r="F213" s="289">
        <v>107000</v>
      </c>
    </row>
    <row r="214" spans="1:6" x14ac:dyDescent="0.25">
      <c r="A214" s="230">
        <v>45653</v>
      </c>
      <c r="B214" s="11" t="s">
        <v>947</v>
      </c>
      <c r="C214" s="112" t="s">
        <v>3529</v>
      </c>
      <c r="D214" s="17" t="s">
        <v>948</v>
      </c>
      <c r="E214" s="282"/>
      <c r="F214" s="289">
        <v>102500</v>
      </c>
    </row>
    <row r="215" spans="1:6" x14ac:dyDescent="0.25">
      <c r="A215" s="230">
        <v>45653</v>
      </c>
      <c r="B215" s="11" t="s">
        <v>3761</v>
      </c>
      <c r="C215" s="112" t="s">
        <v>3529</v>
      </c>
      <c r="D215" s="17" t="s">
        <v>3762</v>
      </c>
      <c r="E215" s="282"/>
      <c r="F215" s="289">
        <v>6750000</v>
      </c>
    </row>
    <row r="216" spans="1:6" x14ac:dyDescent="0.25">
      <c r="A216" s="230">
        <v>45653</v>
      </c>
      <c r="B216" s="11" t="s">
        <v>3761</v>
      </c>
      <c r="C216" s="112" t="s">
        <v>3529</v>
      </c>
      <c r="D216" s="17" t="s">
        <v>3763</v>
      </c>
      <c r="E216" s="282"/>
      <c r="F216" s="289">
        <v>1500000</v>
      </c>
    </row>
    <row r="217" spans="1:6" x14ac:dyDescent="0.25">
      <c r="A217" s="230">
        <v>45653</v>
      </c>
      <c r="B217" s="11" t="s">
        <v>3764</v>
      </c>
      <c r="C217" s="112" t="s">
        <v>3529</v>
      </c>
      <c r="D217" s="17" t="s">
        <v>3765</v>
      </c>
      <c r="E217" s="282"/>
      <c r="F217" s="289">
        <v>250000000</v>
      </c>
    </row>
    <row r="218" spans="1:6" x14ac:dyDescent="0.25">
      <c r="A218" s="230">
        <v>45653</v>
      </c>
      <c r="B218" s="11" t="s">
        <v>3764</v>
      </c>
      <c r="C218" s="112" t="s">
        <v>3529</v>
      </c>
      <c r="D218" s="17" t="s">
        <v>3676</v>
      </c>
      <c r="E218" s="282"/>
      <c r="F218" s="289">
        <v>2900</v>
      </c>
    </row>
    <row r="219" spans="1:6" x14ac:dyDescent="0.25">
      <c r="A219" s="230">
        <v>45656</v>
      </c>
      <c r="B219" s="11" t="s">
        <v>601</v>
      </c>
      <c r="C219" s="112" t="s">
        <v>3529</v>
      </c>
      <c r="D219" s="17" t="s">
        <v>3766</v>
      </c>
      <c r="E219" s="282"/>
      <c r="F219" s="289">
        <v>1500000</v>
      </c>
    </row>
    <row r="220" spans="1:6" x14ac:dyDescent="0.25">
      <c r="A220" s="230">
        <v>45656</v>
      </c>
      <c r="B220" s="11" t="s">
        <v>601</v>
      </c>
      <c r="C220" s="112" t="s">
        <v>3529</v>
      </c>
      <c r="D220" s="17" t="s">
        <v>3767</v>
      </c>
      <c r="E220" s="282"/>
      <c r="F220" s="289">
        <v>2500</v>
      </c>
    </row>
    <row r="221" spans="1:6" x14ac:dyDescent="0.25">
      <c r="A221" s="230">
        <v>45656</v>
      </c>
      <c r="B221" s="11" t="s">
        <v>601</v>
      </c>
      <c r="C221" s="112" t="s">
        <v>3529</v>
      </c>
      <c r="D221" s="17" t="s">
        <v>3768</v>
      </c>
      <c r="E221" s="282"/>
      <c r="F221" s="289">
        <v>650000</v>
      </c>
    </row>
    <row r="222" spans="1:6" x14ac:dyDescent="0.25">
      <c r="A222" s="230">
        <v>45656</v>
      </c>
      <c r="B222" s="11" t="s">
        <v>601</v>
      </c>
      <c r="C222" s="112" t="s">
        <v>3529</v>
      </c>
      <c r="D222" s="17" t="s">
        <v>3769</v>
      </c>
      <c r="E222" s="282"/>
      <c r="F222" s="289">
        <v>2500</v>
      </c>
    </row>
    <row r="223" spans="1:6" x14ac:dyDescent="0.25">
      <c r="A223" s="230">
        <v>45656</v>
      </c>
      <c r="B223" s="11" t="s">
        <v>601</v>
      </c>
      <c r="C223" s="112" t="s">
        <v>3529</v>
      </c>
      <c r="D223" s="17" t="s">
        <v>3770</v>
      </c>
      <c r="E223" s="282"/>
      <c r="F223" s="289">
        <v>340000</v>
      </c>
    </row>
    <row r="224" spans="1:6" x14ac:dyDescent="0.25">
      <c r="A224" s="230">
        <v>45656</v>
      </c>
      <c r="B224" s="11" t="s">
        <v>601</v>
      </c>
      <c r="C224" s="112" t="s">
        <v>3529</v>
      </c>
      <c r="D224" s="17" t="s">
        <v>3771</v>
      </c>
      <c r="E224" s="282"/>
      <c r="F224" s="289">
        <v>70000</v>
      </c>
    </row>
    <row r="225" spans="1:6" x14ac:dyDescent="0.25">
      <c r="A225" s="230">
        <v>45656</v>
      </c>
      <c r="B225" s="11" t="s">
        <v>601</v>
      </c>
      <c r="C225" s="112" t="s">
        <v>3529</v>
      </c>
      <c r="D225" s="17" t="s">
        <v>3772</v>
      </c>
      <c r="E225" s="282"/>
      <c r="F225" s="289">
        <v>300000</v>
      </c>
    </row>
    <row r="226" spans="1:6" x14ac:dyDescent="0.25">
      <c r="A226" s="230">
        <v>45656</v>
      </c>
      <c r="B226" s="11" t="s">
        <v>601</v>
      </c>
      <c r="C226" s="112" t="s">
        <v>3529</v>
      </c>
      <c r="D226" s="17" t="s">
        <v>3773</v>
      </c>
      <c r="E226" s="282"/>
      <c r="F226" s="289">
        <v>158921</v>
      </c>
    </row>
    <row r="227" spans="1:6" x14ac:dyDescent="0.25">
      <c r="A227" s="230">
        <v>45656</v>
      </c>
      <c r="B227" s="11" t="s">
        <v>601</v>
      </c>
      <c r="C227" s="112" t="s">
        <v>3529</v>
      </c>
      <c r="D227" s="17" t="s">
        <v>1035</v>
      </c>
      <c r="E227" s="282"/>
      <c r="F227" s="289">
        <v>50500</v>
      </c>
    </row>
    <row r="228" spans="1:6" x14ac:dyDescent="0.25">
      <c r="A228" s="230">
        <v>45526</v>
      </c>
      <c r="B228" s="11" t="s">
        <v>3774</v>
      </c>
      <c r="C228" s="112" t="s">
        <v>3529</v>
      </c>
      <c r="D228" s="17" t="s">
        <v>3775</v>
      </c>
      <c r="E228" s="293"/>
      <c r="F228" s="290">
        <v>200000000</v>
      </c>
    </row>
    <row r="229" spans="1:6" x14ac:dyDescent="0.25">
      <c r="A229" s="230">
        <v>45526</v>
      </c>
      <c r="B229" s="11" t="s">
        <v>3774</v>
      </c>
      <c r="C229" s="112" t="s">
        <v>3529</v>
      </c>
      <c r="D229" s="17" t="s">
        <v>3776</v>
      </c>
      <c r="E229" s="293"/>
      <c r="F229" s="290">
        <v>2900</v>
      </c>
    </row>
    <row r="230" spans="1:6" x14ac:dyDescent="0.25">
      <c r="A230" s="230">
        <v>45526</v>
      </c>
      <c r="B230" s="11" t="s">
        <v>3777</v>
      </c>
      <c r="C230" s="112" t="s">
        <v>3529</v>
      </c>
      <c r="D230" s="17" t="s">
        <v>3778</v>
      </c>
      <c r="E230" s="293"/>
      <c r="F230" s="290">
        <v>26980000</v>
      </c>
    </row>
    <row r="231" spans="1:6" x14ac:dyDescent="0.25">
      <c r="A231" s="230">
        <v>45526</v>
      </c>
      <c r="B231" s="11" t="s">
        <v>3777</v>
      </c>
      <c r="C231" s="112" t="s">
        <v>3529</v>
      </c>
      <c r="D231" s="17" t="s">
        <v>3779</v>
      </c>
      <c r="E231" s="293"/>
      <c r="F231" s="290">
        <v>2967800</v>
      </c>
    </row>
    <row r="232" spans="1:6" x14ac:dyDescent="0.25">
      <c r="A232" s="230">
        <v>45526</v>
      </c>
      <c r="B232" s="11" t="s">
        <v>3777</v>
      </c>
      <c r="C232" s="112" t="s">
        <v>3529</v>
      </c>
      <c r="D232" s="17" t="s">
        <v>3780</v>
      </c>
      <c r="E232" s="293"/>
      <c r="F232" s="290">
        <v>2900</v>
      </c>
    </row>
    <row r="233" spans="1:6" x14ac:dyDescent="0.25">
      <c r="A233" s="230">
        <v>45531</v>
      </c>
      <c r="B233" s="11" t="s">
        <v>179</v>
      </c>
      <c r="C233" s="112" t="s">
        <v>3529</v>
      </c>
      <c r="D233" s="17" t="s">
        <v>3781</v>
      </c>
      <c r="E233" s="282"/>
      <c r="F233" s="290">
        <v>12050000</v>
      </c>
    </row>
    <row r="234" spans="1:6" x14ac:dyDescent="0.25">
      <c r="A234" s="230">
        <v>45537</v>
      </c>
      <c r="B234" s="11" t="s">
        <v>3782</v>
      </c>
      <c r="C234" s="112" t="s">
        <v>3529</v>
      </c>
      <c r="D234" s="17" t="s">
        <v>3775</v>
      </c>
      <c r="E234" s="282"/>
      <c r="F234" s="290">
        <v>200000000</v>
      </c>
    </row>
    <row r="235" spans="1:6" x14ac:dyDescent="0.25">
      <c r="A235" s="230">
        <v>45537</v>
      </c>
      <c r="B235" s="11" t="s">
        <v>3782</v>
      </c>
      <c r="C235" s="112" t="s">
        <v>3529</v>
      </c>
      <c r="D235" s="17" t="s">
        <v>3623</v>
      </c>
      <c r="E235" s="282"/>
      <c r="F235" s="290">
        <v>2900</v>
      </c>
    </row>
    <row r="236" spans="1:6" x14ac:dyDescent="0.25">
      <c r="A236" s="230">
        <v>45540</v>
      </c>
      <c r="B236" s="11" t="s">
        <v>3783</v>
      </c>
      <c r="C236" s="112" t="s">
        <v>3529</v>
      </c>
      <c r="D236" s="17" t="s">
        <v>3775</v>
      </c>
      <c r="E236" s="282"/>
      <c r="F236" s="290">
        <v>200000000</v>
      </c>
    </row>
    <row r="237" spans="1:6" x14ac:dyDescent="0.25">
      <c r="A237" s="230">
        <v>45540</v>
      </c>
      <c r="B237" s="11" t="s">
        <v>3783</v>
      </c>
      <c r="C237" s="112" t="s">
        <v>3529</v>
      </c>
      <c r="D237" s="17" t="s">
        <v>3623</v>
      </c>
      <c r="E237" s="282"/>
      <c r="F237" s="290">
        <v>2900</v>
      </c>
    </row>
    <row r="238" spans="1:6" x14ac:dyDescent="0.25">
      <c r="A238" s="230">
        <v>45546</v>
      </c>
      <c r="B238" s="11" t="s">
        <v>3784</v>
      </c>
      <c r="C238" s="112" t="s">
        <v>3529</v>
      </c>
      <c r="D238" s="28" t="s">
        <v>3785</v>
      </c>
      <c r="E238" s="282"/>
      <c r="F238" s="290">
        <v>72600000</v>
      </c>
    </row>
    <row r="239" spans="1:6" x14ac:dyDescent="0.25">
      <c r="A239" s="230">
        <v>45546</v>
      </c>
      <c r="B239" s="11" t="s">
        <v>3784</v>
      </c>
      <c r="C239" s="112" t="s">
        <v>3529</v>
      </c>
      <c r="D239" s="17" t="s">
        <v>3630</v>
      </c>
      <c r="E239" s="282"/>
      <c r="F239" s="290">
        <v>2900</v>
      </c>
    </row>
    <row r="240" spans="1:6" x14ac:dyDescent="0.25">
      <c r="A240" s="230">
        <v>45555</v>
      </c>
      <c r="B240" s="11" t="s">
        <v>614</v>
      </c>
      <c r="C240" s="112" t="s">
        <v>3529</v>
      </c>
      <c r="D240" s="17" t="s">
        <v>3786</v>
      </c>
      <c r="E240" s="282"/>
      <c r="F240" s="290">
        <v>1236000</v>
      </c>
    </row>
    <row r="241" spans="1:6" x14ac:dyDescent="0.25">
      <c r="A241" s="230">
        <v>45555</v>
      </c>
      <c r="B241" s="11" t="s">
        <v>614</v>
      </c>
      <c r="C241" s="112" t="s">
        <v>3529</v>
      </c>
      <c r="D241" s="17" t="s">
        <v>3787</v>
      </c>
      <c r="E241" s="282"/>
      <c r="F241" s="290">
        <v>110000</v>
      </c>
    </row>
    <row r="242" spans="1:6" x14ac:dyDescent="0.25">
      <c r="A242" s="232">
        <v>45768</v>
      </c>
      <c r="B242" s="9" t="s">
        <v>199</v>
      </c>
      <c r="C242" s="113" t="s">
        <v>3788</v>
      </c>
      <c r="D242" s="12" t="s">
        <v>3789</v>
      </c>
      <c r="E242" s="333"/>
      <c r="F242" s="301">
        <f>465273+165000</f>
        <v>630273</v>
      </c>
    </row>
    <row r="243" spans="1:6" x14ac:dyDescent="0.25">
      <c r="A243" s="232">
        <v>45768</v>
      </c>
      <c r="B243" s="9" t="s">
        <v>199</v>
      </c>
      <c r="C243" s="113" t="s">
        <v>3788</v>
      </c>
      <c r="D243" s="12" t="s">
        <v>3790</v>
      </c>
      <c r="E243" s="333"/>
      <c r="F243" s="301">
        <v>69330</v>
      </c>
    </row>
    <row r="244" spans="1:6" x14ac:dyDescent="0.25">
      <c r="A244" s="232">
        <v>45768</v>
      </c>
      <c r="B244" s="9" t="s">
        <v>199</v>
      </c>
      <c r="C244" s="113" t="s">
        <v>3788</v>
      </c>
      <c r="D244" s="12" t="s">
        <v>3791</v>
      </c>
      <c r="E244" s="294"/>
      <c r="F244" s="301">
        <v>-12605</v>
      </c>
    </row>
    <row r="245" spans="1:6" x14ac:dyDescent="0.25">
      <c r="A245" s="232">
        <v>45768</v>
      </c>
      <c r="B245" s="9" t="s">
        <v>199</v>
      </c>
      <c r="C245" s="113" t="s">
        <v>3788</v>
      </c>
      <c r="D245" s="12" t="s">
        <v>3792</v>
      </c>
      <c r="E245" s="294"/>
      <c r="F245" s="301">
        <v>4853000</v>
      </c>
    </row>
    <row r="246" spans="1:6" x14ac:dyDescent="0.25">
      <c r="A246" s="232">
        <v>45768</v>
      </c>
      <c r="B246" s="9" t="s">
        <v>199</v>
      </c>
      <c r="C246" s="113" t="s">
        <v>3788</v>
      </c>
      <c r="D246" s="12" t="s">
        <v>3793</v>
      </c>
      <c r="E246" s="294"/>
      <c r="F246" s="301">
        <v>11210196</v>
      </c>
    </row>
    <row r="247" spans="1:6" x14ac:dyDescent="0.25">
      <c r="A247" s="232">
        <v>45768</v>
      </c>
      <c r="B247" s="9" t="s">
        <v>199</v>
      </c>
      <c r="C247" s="113" t="s">
        <v>3788</v>
      </c>
      <c r="D247" s="12" t="s">
        <v>3794</v>
      </c>
      <c r="E247" s="294"/>
      <c r="F247" s="301">
        <v>2547725</v>
      </c>
    </row>
    <row r="248" spans="1:6" x14ac:dyDescent="0.25">
      <c r="A248" s="232">
        <v>45768</v>
      </c>
      <c r="B248" s="9" t="s">
        <v>199</v>
      </c>
      <c r="C248" s="113" t="s">
        <v>3788</v>
      </c>
      <c r="D248" s="12" t="s">
        <v>210</v>
      </c>
      <c r="E248" s="294"/>
      <c r="F248" s="301">
        <v>2500</v>
      </c>
    </row>
    <row r="249" spans="1:6" x14ac:dyDescent="0.25">
      <c r="A249" s="232">
        <v>45688</v>
      </c>
      <c r="B249" s="9" t="s">
        <v>3795</v>
      </c>
      <c r="C249" s="142" t="s">
        <v>3529</v>
      </c>
      <c r="D249" s="12" t="s">
        <v>3796</v>
      </c>
      <c r="E249" s="282">
        <v>-5000</v>
      </c>
      <c r="F249" s="290"/>
    </row>
    <row r="250" spans="1:6" x14ac:dyDescent="0.25">
      <c r="A250" s="232">
        <v>45688</v>
      </c>
      <c r="B250" s="9" t="s">
        <v>3795</v>
      </c>
      <c r="C250" s="142" t="s">
        <v>3529</v>
      </c>
      <c r="D250" s="12" t="s">
        <v>3797</v>
      </c>
      <c r="E250" s="282"/>
      <c r="F250" s="290">
        <v>7125950</v>
      </c>
    </row>
    <row r="251" spans="1:6" x14ac:dyDescent="0.25">
      <c r="A251" s="232">
        <v>45688</v>
      </c>
      <c r="B251" s="9" t="s">
        <v>3795</v>
      </c>
      <c r="C251" s="142" t="s">
        <v>3529</v>
      </c>
      <c r="D251" s="12" t="s">
        <v>3798</v>
      </c>
      <c r="E251" s="282"/>
      <c r="F251" s="290">
        <v>783854</v>
      </c>
    </row>
    <row r="252" spans="1:6" x14ac:dyDescent="0.25">
      <c r="A252" s="232">
        <v>45688</v>
      </c>
      <c r="B252" s="9" t="s">
        <v>3795</v>
      </c>
      <c r="C252" s="142" t="s">
        <v>3529</v>
      </c>
      <c r="D252" s="12" t="s">
        <v>3799</v>
      </c>
      <c r="E252" s="282"/>
      <c r="F252" s="335">
        <v>-142519</v>
      </c>
    </row>
    <row r="253" spans="1:6" x14ac:dyDescent="0.25">
      <c r="A253" s="232">
        <v>45688</v>
      </c>
      <c r="B253" s="9" t="s">
        <v>3795</v>
      </c>
      <c r="C253" s="142" t="s">
        <v>3529</v>
      </c>
      <c r="D253" s="12" t="s">
        <v>3800</v>
      </c>
      <c r="E253" s="282"/>
      <c r="F253" s="290">
        <v>43194800</v>
      </c>
    </row>
    <row r="254" spans="1:6" x14ac:dyDescent="0.25">
      <c r="A254" s="232">
        <v>45688</v>
      </c>
      <c r="B254" s="9" t="s">
        <v>3795</v>
      </c>
      <c r="C254" s="142" t="s">
        <v>3529</v>
      </c>
      <c r="D254" s="12" t="s">
        <v>3801</v>
      </c>
      <c r="E254" s="282"/>
      <c r="F254" s="290">
        <v>475142</v>
      </c>
    </row>
    <row r="255" spans="1:6" x14ac:dyDescent="0.25">
      <c r="A255" s="232">
        <v>45688</v>
      </c>
      <c r="B255" s="9" t="s">
        <v>3795</v>
      </c>
      <c r="C255" s="142" t="s">
        <v>3529</v>
      </c>
      <c r="D255" s="12" t="s">
        <v>3802</v>
      </c>
      <c r="E255" s="282"/>
      <c r="F255" s="335">
        <v>-863896</v>
      </c>
    </row>
    <row r="256" spans="1:6" x14ac:dyDescent="0.25">
      <c r="A256" s="232">
        <v>45688</v>
      </c>
      <c r="B256" s="9" t="s">
        <v>3795</v>
      </c>
      <c r="C256" s="142" t="s">
        <v>3529</v>
      </c>
      <c r="D256" s="12" t="s">
        <v>3803</v>
      </c>
      <c r="E256" s="282"/>
      <c r="F256" s="290">
        <v>2352500</v>
      </c>
    </row>
    <row r="257" spans="1:6" x14ac:dyDescent="0.25">
      <c r="A257" s="232">
        <v>45688</v>
      </c>
      <c r="B257" s="9" t="s">
        <v>3795</v>
      </c>
      <c r="C257" s="142" t="s">
        <v>3529</v>
      </c>
      <c r="D257" s="12" t="s">
        <v>3804</v>
      </c>
      <c r="E257" s="282"/>
      <c r="F257" s="290">
        <v>258775</v>
      </c>
    </row>
    <row r="258" spans="1:6" x14ac:dyDescent="0.25">
      <c r="A258" s="232">
        <v>45693</v>
      </c>
      <c r="B258" s="9" t="s">
        <v>3805</v>
      </c>
      <c r="C258" s="112" t="s">
        <v>3529</v>
      </c>
      <c r="D258" s="30" t="s">
        <v>3806</v>
      </c>
      <c r="E258" s="282"/>
      <c r="F258" s="290">
        <v>2250000</v>
      </c>
    </row>
    <row r="259" spans="1:6" x14ac:dyDescent="0.25">
      <c r="A259" s="232">
        <v>45693</v>
      </c>
      <c r="B259" s="9" t="s">
        <v>3805</v>
      </c>
      <c r="C259" s="112" t="s">
        <v>3529</v>
      </c>
      <c r="D259" s="30" t="s">
        <v>3807</v>
      </c>
      <c r="E259" s="282"/>
      <c r="F259" s="290">
        <v>247500</v>
      </c>
    </row>
    <row r="260" spans="1:6" x14ac:dyDescent="0.25">
      <c r="A260" s="232">
        <v>45693</v>
      </c>
      <c r="B260" s="9" t="s">
        <v>3805</v>
      </c>
      <c r="C260" s="112" t="s">
        <v>3529</v>
      </c>
      <c r="D260" s="30" t="s">
        <v>105</v>
      </c>
      <c r="E260" s="282"/>
      <c r="F260" s="290">
        <v>2900</v>
      </c>
    </row>
    <row r="261" spans="1:6" x14ac:dyDescent="0.25">
      <c r="A261" s="232">
        <v>45693</v>
      </c>
      <c r="B261" s="9" t="s">
        <v>3808</v>
      </c>
      <c r="C261" s="112" t="s">
        <v>3529</v>
      </c>
      <c r="D261" s="30" t="s">
        <v>3809</v>
      </c>
      <c r="E261" s="282"/>
      <c r="F261" s="290">
        <v>165000000</v>
      </c>
    </row>
    <row r="262" spans="1:6" x14ac:dyDescent="0.25">
      <c r="A262" s="232">
        <v>45693</v>
      </c>
      <c r="B262" s="9" t="s">
        <v>3808</v>
      </c>
      <c r="C262" s="112" t="s">
        <v>3529</v>
      </c>
      <c r="D262" s="30" t="s">
        <v>3810</v>
      </c>
      <c r="E262" s="282"/>
      <c r="F262" s="290">
        <v>18150000</v>
      </c>
    </row>
    <row r="263" spans="1:6" x14ac:dyDescent="0.25">
      <c r="A263" s="232">
        <v>45693</v>
      </c>
      <c r="B263" s="9" t="s">
        <v>3808</v>
      </c>
      <c r="C263" s="112" t="s">
        <v>3529</v>
      </c>
      <c r="D263" s="30" t="s">
        <v>105</v>
      </c>
      <c r="E263" s="282"/>
      <c r="F263" s="290">
        <v>2900</v>
      </c>
    </row>
    <row r="264" spans="1:6" x14ac:dyDescent="0.25">
      <c r="A264" s="230">
        <v>45660</v>
      </c>
      <c r="B264" s="11" t="s">
        <v>217</v>
      </c>
      <c r="C264" s="113" t="s">
        <v>3529</v>
      </c>
      <c r="D264" s="12" t="s">
        <v>3811</v>
      </c>
      <c r="E264" s="293"/>
      <c r="F264" s="285">
        <v>20000</v>
      </c>
    </row>
    <row r="265" spans="1:6" x14ac:dyDescent="0.25">
      <c r="A265" s="230">
        <v>45660</v>
      </c>
      <c r="B265" s="11" t="s">
        <v>3812</v>
      </c>
      <c r="C265" s="113" t="s">
        <v>3529</v>
      </c>
      <c r="D265" s="12" t="s">
        <v>3813</v>
      </c>
      <c r="E265" s="293"/>
      <c r="F265" s="285">
        <v>3000000</v>
      </c>
    </row>
    <row r="266" spans="1:6" x14ac:dyDescent="0.25">
      <c r="A266" s="230">
        <v>45660</v>
      </c>
      <c r="B266" s="11" t="s">
        <v>3812</v>
      </c>
      <c r="C266" s="113" t="s">
        <v>3529</v>
      </c>
      <c r="D266" s="12" t="s">
        <v>3814</v>
      </c>
      <c r="E266" s="293"/>
      <c r="F266" s="285">
        <v>330000</v>
      </c>
    </row>
    <row r="267" spans="1:6" x14ac:dyDescent="0.25">
      <c r="A267" s="230">
        <v>45660</v>
      </c>
      <c r="B267" s="11" t="s">
        <v>3812</v>
      </c>
      <c r="C267" s="113" t="s">
        <v>3529</v>
      </c>
      <c r="D267" s="12" t="s">
        <v>3815</v>
      </c>
      <c r="E267" s="293"/>
      <c r="F267" s="285">
        <v>-60000</v>
      </c>
    </row>
    <row r="268" spans="1:6" x14ac:dyDescent="0.25">
      <c r="A268" s="230">
        <v>45660</v>
      </c>
      <c r="B268" s="11" t="s">
        <v>3812</v>
      </c>
      <c r="C268" s="113" t="s">
        <v>3529</v>
      </c>
      <c r="D268" s="12" t="s">
        <v>3816</v>
      </c>
      <c r="E268" s="293"/>
      <c r="F268" s="285">
        <v>30342000</v>
      </c>
    </row>
    <row r="269" spans="1:6" x14ac:dyDescent="0.25">
      <c r="A269" s="230">
        <v>45660</v>
      </c>
      <c r="B269" s="11" t="s">
        <v>3812</v>
      </c>
      <c r="C269" s="113" t="s">
        <v>3529</v>
      </c>
      <c r="D269" s="12" t="s">
        <v>3817</v>
      </c>
      <c r="E269" s="293"/>
      <c r="F269" s="285">
        <v>333762</v>
      </c>
    </row>
    <row r="270" spans="1:6" x14ac:dyDescent="0.25">
      <c r="A270" s="230">
        <v>45660</v>
      </c>
      <c r="B270" s="11" t="s">
        <v>3812</v>
      </c>
      <c r="C270" s="113" t="s">
        <v>3529</v>
      </c>
      <c r="D270" s="12" t="s">
        <v>3818</v>
      </c>
      <c r="E270" s="293"/>
      <c r="F270" s="285">
        <v>-606840</v>
      </c>
    </row>
    <row r="271" spans="1:6" x14ac:dyDescent="0.25">
      <c r="A271" s="230">
        <v>45660</v>
      </c>
      <c r="B271" s="11" t="s">
        <v>3812</v>
      </c>
      <c r="C271" s="113" t="s">
        <v>3529</v>
      </c>
      <c r="D271" s="12" t="s">
        <v>3819</v>
      </c>
      <c r="E271" s="293"/>
      <c r="F271" s="285">
        <v>3449591</v>
      </c>
    </row>
    <row r="272" spans="1:6" x14ac:dyDescent="0.25">
      <c r="A272" s="230">
        <v>45660</v>
      </c>
      <c r="B272" s="11" t="s">
        <v>3812</v>
      </c>
      <c r="C272" s="113" t="s">
        <v>3529</v>
      </c>
      <c r="D272" s="12" t="s">
        <v>3820</v>
      </c>
      <c r="E272" s="293"/>
      <c r="F272" s="285">
        <v>158080</v>
      </c>
    </row>
    <row r="273" spans="1:6" x14ac:dyDescent="0.25">
      <c r="A273" s="230">
        <v>45660</v>
      </c>
      <c r="B273" s="11" t="s">
        <v>3812</v>
      </c>
      <c r="C273" s="113" t="s">
        <v>3529</v>
      </c>
      <c r="D273" s="12" t="s">
        <v>3821</v>
      </c>
      <c r="E273" s="293"/>
      <c r="F273" s="285">
        <v>-68992</v>
      </c>
    </row>
    <row r="274" spans="1:6" x14ac:dyDescent="0.25">
      <c r="A274" s="230">
        <v>45660</v>
      </c>
      <c r="B274" s="11" t="s">
        <v>3822</v>
      </c>
      <c r="C274" s="112" t="s">
        <v>3529</v>
      </c>
      <c r="D274" s="12" t="s">
        <v>3823</v>
      </c>
      <c r="E274" s="282"/>
      <c r="F274" s="290">
        <v>14769231</v>
      </c>
    </row>
    <row r="275" spans="1:6" x14ac:dyDescent="0.25">
      <c r="A275" s="230">
        <v>45660</v>
      </c>
      <c r="B275" s="11" t="s">
        <v>3822</v>
      </c>
      <c r="C275" s="112" t="s">
        <v>3529</v>
      </c>
      <c r="D275" s="12" t="s">
        <v>3824</v>
      </c>
      <c r="E275" s="282"/>
      <c r="F275" s="290">
        <v>-369231</v>
      </c>
    </row>
    <row r="276" spans="1:6" x14ac:dyDescent="0.25">
      <c r="A276" s="230">
        <v>45660</v>
      </c>
      <c r="B276" s="11" t="s">
        <v>3822</v>
      </c>
      <c r="C276" s="112" t="s">
        <v>3529</v>
      </c>
      <c r="D276" s="12" t="s">
        <v>3825</v>
      </c>
      <c r="E276" s="282"/>
      <c r="F276" s="290">
        <v>2900</v>
      </c>
    </row>
    <row r="277" spans="1:6" x14ac:dyDescent="0.25">
      <c r="A277" s="230">
        <v>45660</v>
      </c>
      <c r="B277" s="11" t="s">
        <v>3826</v>
      </c>
      <c r="C277" s="112" t="s">
        <v>3529</v>
      </c>
      <c r="D277" s="12" t="s">
        <v>3827</v>
      </c>
      <c r="E277" s="282"/>
      <c r="F277" s="290">
        <v>860000</v>
      </c>
    </row>
    <row r="278" spans="1:6" x14ac:dyDescent="0.25">
      <c r="A278" s="230">
        <v>45660</v>
      </c>
      <c r="B278" s="11" t="s">
        <v>3826</v>
      </c>
      <c r="C278" s="112" t="s">
        <v>3529</v>
      </c>
      <c r="D278" s="12" t="s">
        <v>3828</v>
      </c>
      <c r="E278" s="282"/>
      <c r="F278" s="290">
        <v>2900</v>
      </c>
    </row>
    <row r="279" spans="1:6" x14ac:dyDescent="0.25">
      <c r="A279" s="230">
        <v>45665</v>
      </c>
      <c r="B279" s="11" t="s">
        <v>643</v>
      </c>
      <c r="C279" s="113" t="s">
        <v>3529</v>
      </c>
      <c r="D279" s="12" t="s">
        <v>3829</v>
      </c>
      <c r="E279" s="282"/>
      <c r="F279" s="285">
        <v>3500000</v>
      </c>
    </row>
    <row r="280" spans="1:6" x14ac:dyDescent="0.25">
      <c r="A280" s="230">
        <v>45665</v>
      </c>
      <c r="B280" s="11" t="s">
        <v>643</v>
      </c>
      <c r="C280" s="113" t="s">
        <v>3529</v>
      </c>
      <c r="D280" s="12" t="s">
        <v>3830</v>
      </c>
      <c r="E280" s="282"/>
      <c r="F280" s="285">
        <v>2500</v>
      </c>
    </row>
    <row r="281" spans="1:6" x14ac:dyDescent="0.25">
      <c r="A281" s="230">
        <v>45665</v>
      </c>
      <c r="B281" s="11" t="s">
        <v>643</v>
      </c>
      <c r="C281" s="113" t="s">
        <v>3529</v>
      </c>
      <c r="D281" s="12" t="s">
        <v>3831</v>
      </c>
      <c r="E281" s="282"/>
      <c r="F281" s="285">
        <v>3000000</v>
      </c>
    </row>
    <row r="282" spans="1:6" x14ac:dyDescent="0.25">
      <c r="A282" s="230">
        <v>45665</v>
      </c>
      <c r="B282" s="11" t="s">
        <v>643</v>
      </c>
      <c r="C282" s="113" t="s">
        <v>3529</v>
      </c>
      <c r="D282" s="12" t="s">
        <v>3832</v>
      </c>
      <c r="E282" s="282"/>
      <c r="F282" s="285">
        <v>6500</v>
      </c>
    </row>
    <row r="283" spans="1:6" x14ac:dyDescent="0.25">
      <c r="A283" s="230">
        <v>45665</v>
      </c>
      <c r="B283" s="11" t="s">
        <v>643</v>
      </c>
      <c r="C283" s="113" t="s">
        <v>3529</v>
      </c>
      <c r="D283" s="12" t="s">
        <v>3833</v>
      </c>
      <c r="E283" s="282"/>
      <c r="F283" s="285">
        <v>5000000</v>
      </c>
    </row>
    <row r="284" spans="1:6" x14ac:dyDescent="0.25">
      <c r="A284" s="230">
        <v>45665</v>
      </c>
      <c r="B284" s="11" t="s">
        <v>643</v>
      </c>
      <c r="C284" s="113" t="s">
        <v>3529</v>
      </c>
      <c r="D284" s="12" t="s">
        <v>3834</v>
      </c>
      <c r="E284" s="282"/>
      <c r="F284" s="285">
        <v>2500</v>
      </c>
    </row>
    <row r="285" spans="1:6" x14ac:dyDescent="0.25">
      <c r="A285" s="230">
        <v>45665</v>
      </c>
      <c r="B285" s="11" t="s">
        <v>643</v>
      </c>
      <c r="C285" s="113" t="s">
        <v>3529</v>
      </c>
      <c r="D285" s="12" t="s">
        <v>3835</v>
      </c>
      <c r="E285" s="282"/>
      <c r="F285" s="285">
        <v>17000000</v>
      </c>
    </row>
    <row r="286" spans="1:6" x14ac:dyDescent="0.25">
      <c r="A286" s="230">
        <v>45665</v>
      </c>
      <c r="B286" s="11" t="s">
        <v>643</v>
      </c>
      <c r="C286" s="113" t="s">
        <v>3529</v>
      </c>
      <c r="D286" s="12" t="s">
        <v>3836</v>
      </c>
      <c r="E286" s="282"/>
      <c r="F286" s="285">
        <v>1870000</v>
      </c>
    </row>
    <row r="287" spans="1:6" x14ac:dyDescent="0.25">
      <c r="A287" s="230">
        <v>45665</v>
      </c>
      <c r="B287" s="11" t="s">
        <v>643</v>
      </c>
      <c r="C287" s="113" t="s">
        <v>3529</v>
      </c>
      <c r="D287" s="12" t="s">
        <v>3837</v>
      </c>
      <c r="E287" s="282"/>
      <c r="F287" s="285">
        <v>-340000</v>
      </c>
    </row>
    <row r="288" spans="1:6" x14ac:dyDescent="0.25">
      <c r="A288" s="230">
        <v>45665</v>
      </c>
      <c r="B288" s="11" t="s">
        <v>643</v>
      </c>
      <c r="C288" s="113" t="s">
        <v>3529</v>
      </c>
      <c r="D288" s="12" t="s">
        <v>3838</v>
      </c>
      <c r="E288" s="282"/>
      <c r="F288" s="285">
        <v>2500</v>
      </c>
    </row>
    <row r="289" spans="1:6" x14ac:dyDescent="0.25">
      <c r="A289" s="230">
        <v>45665</v>
      </c>
      <c r="B289" s="11" t="s">
        <v>643</v>
      </c>
      <c r="C289" s="113" t="s">
        <v>3529</v>
      </c>
      <c r="D289" s="12" t="s">
        <v>3839</v>
      </c>
      <c r="E289" s="282"/>
      <c r="F289" s="285">
        <v>560000</v>
      </c>
    </row>
    <row r="290" spans="1:6" x14ac:dyDescent="0.25">
      <c r="A290" s="230">
        <v>45666</v>
      </c>
      <c r="B290" s="11" t="s">
        <v>3840</v>
      </c>
      <c r="C290" s="112" t="s">
        <v>3529</v>
      </c>
      <c r="D290" s="12" t="s">
        <v>3841</v>
      </c>
      <c r="E290" s="282"/>
      <c r="F290" s="290">
        <v>4354200</v>
      </c>
    </row>
    <row r="291" spans="1:6" x14ac:dyDescent="0.25">
      <c r="A291" s="230">
        <v>45666</v>
      </c>
      <c r="B291" s="11" t="s">
        <v>3840</v>
      </c>
      <c r="C291" s="112" t="s">
        <v>3529</v>
      </c>
      <c r="D291" s="12" t="s">
        <v>3842</v>
      </c>
      <c r="E291" s="282"/>
      <c r="F291" s="290">
        <v>478962</v>
      </c>
    </row>
    <row r="292" spans="1:6" x14ac:dyDescent="0.25">
      <c r="A292" s="230">
        <v>45666</v>
      </c>
      <c r="B292" s="11" t="s">
        <v>3840</v>
      </c>
      <c r="C292" s="112" t="s">
        <v>3529</v>
      </c>
      <c r="D292" s="12" t="s">
        <v>3843</v>
      </c>
      <c r="E292" s="282"/>
      <c r="F292" s="290">
        <v>2900</v>
      </c>
    </row>
    <row r="293" spans="1:6" x14ac:dyDescent="0.25">
      <c r="A293" s="230">
        <v>45666</v>
      </c>
      <c r="B293" s="11" t="s">
        <v>3844</v>
      </c>
      <c r="C293" s="113" t="s">
        <v>3529</v>
      </c>
      <c r="D293" s="12" t="s">
        <v>3845</v>
      </c>
      <c r="E293" s="282"/>
      <c r="F293" s="285">
        <v>2050000</v>
      </c>
    </row>
    <row r="294" spans="1:6" x14ac:dyDescent="0.25">
      <c r="A294" s="230">
        <v>45666</v>
      </c>
      <c r="B294" s="11" t="s">
        <v>3844</v>
      </c>
      <c r="C294" s="113" t="s">
        <v>3529</v>
      </c>
      <c r="D294" s="12" t="s">
        <v>3846</v>
      </c>
      <c r="E294" s="282"/>
      <c r="F294" s="285">
        <v>225500</v>
      </c>
    </row>
    <row r="295" spans="1:6" x14ac:dyDescent="0.25">
      <c r="A295" s="230">
        <v>45666</v>
      </c>
      <c r="B295" s="11" t="s">
        <v>3847</v>
      </c>
      <c r="C295" s="112" t="s">
        <v>3529</v>
      </c>
      <c r="D295" s="12" t="s">
        <v>3848</v>
      </c>
      <c r="E295" s="282"/>
      <c r="F295" s="290">
        <v>2461538</v>
      </c>
    </row>
    <row r="296" spans="1:6" x14ac:dyDescent="0.25">
      <c r="A296" s="230">
        <v>45666</v>
      </c>
      <c r="B296" s="11" t="s">
        <v>3847</v>
      </c>
      <c r="C296" s="112" t="s">
        <v>3529</v>
      </c>
      <c r="D296" s="12" t="s">
        <v>3849</v>
      </c>
      <c r="E296" s="282"/>
      <c r="F296" s="290">
        <v>-61538</v>
      </c>
    </row>
    <row r="297" spans="1:6" x14ac:dyDescent="0.25">
      <c r="A297" s="230">
        <v>45666</v>
      </c>
      <c r="B297" s="11" t="s">
        <v>3847</v>
      </c>
      <c r="C297" s="112" t="s">
        <v>3529</v>
      </c>
      <c r="D297" s="12" t="s">
        <v>3850</v>
      </c>
      <c r="E297" s="282"/>
      <c r="F297" s="290">
        <v>2900</v>
      </c>
    </row>
    <row r="298" spans="1:6" x14ac:dyDescent="0.25">
      <c r="A298" s="230">
        <v>45666</v>
      </c>
      <c r="B298" s="11" t="s">
        <v>3851</v>
      </c>
      <c r="C298" s="112" t="s">
        <v>3529</v>
      </c>
      <c r="D298" s="12" t="s">
        <v>3852</v>
      </c>
      <c r="E298" s="282"/>
      <c r="F298" s="290">
        <v>500000</v>
      </c>
    </row>
    <row r="299" spans="1:6" x14ac:dyDescent="0.25">
      <c r="A299" s="230">
        <v>45666</v>
      </c>
      <c r="B299" s="11" t="s">
        <v>3851</v>
      </c>
      <c r="C299" s="112" t="s">
        <v>3529</v>
      </c>
      <c r="D299" s="12" t="s">
        <v>3585</v>
      </c>
      <c r="E299" s="282"/>
      <c r="F299" s="290">
        <v>2900</v>
      </c>
    </row>
    <row r="300" spans="1:6" x14ac:dyDescent="0.25">
      <c r="A300" s="230">
        <v>45666</v>
      </c>
      <c r="B300" s="11" t="s">
        <v>3853</v>
      </c>
      <c r="C300" s="112" t="s">
        <v>3529</v>
      </c>
      <c r="D300" s="17" t="s">
        <v>3854</v>
      </c>
      <c r="E300" s="282"/>
      <c r="F300" s="290">
        <v>34072750</v>
      </c>
    </row>
    <row r="301" spans="1:6" x14ac:dyDescent="0.25">
      <c r="A301" s="230">
        <v>45667</v>
      </c>
      <c r="B301" s="11" t="s">
        <v>3855</v>
      </c>
      <c r="C301" s="112" t="s">
        <v>3529</v>
      </c>
      <c r="D301" s="17" t="s">
        <v>3856</v>
      </c>
      <c r="E301" s="282"/>
      <c r="F301" s="290">
        <v>2270000</v>
      </c>
    </row>
    <row r="302" spans="1:6" x14ac:dyDescent="0.25">
      <c r="A302" s="230">
        <v>45667</v>
      </c>
      <c r="B302" s="11" t="s">
        <v>3855</v>
      </c>
      <c r="C302" s="112" t="s">
        <v>3529</v>
      </c>
      <c r="D302" s="17" t="s">
        <v>3857</v>
      </c>
      <c r="E302" s="282"/>
      <c r="F302" s="290">
        <v>2900</v>
      </c>
    </row>
    <row r="303" spans="1:6" x14ac:dyDescent="0.25">
      <c r="A303" s="230">
        <v>45667</v>
      </c>
      <c r="B303" s="11" t="s">
        <v>230</v>
      </c>
      <c r="C303" s="113" t="s">
        <v>3529</v>
      </c>
      <c r="D303" s="12" t="s">
        <v>3858</v>
      </c>
      <c r="E303" s="282"/>
      <c r="F303" s="285">
        <v>40000</v>
      </c>
    </row>
    <row r="304" spans="1:6" x14ac:dyDescent="0.25">
      <c r="A304" s="230">
        <v>45667</v>
      </c>
      <c r="B304" s="11" t="s">
        <v>230</v>
      </c>
      <c r="C304" s="113" t="s">
        <v>3529</v>
      </c>
      <c r="D304" s="12" t="s">
        <v>3859</v>
      </c>
      <c r="E304" s="282"/>
      <c r="F304" s="285">
        <v>418700</v>
      </c>
    </row>
    <row r="305" spans="1:6" x14ac:dyDescent="0.25">
      <c r="A305" s="230">
        <v>45667</v>
      </c>
      <c r="B305" s="11" t="s">
        <v>3860</v>
      </c>
      <c r="C305" s="112" t="s">
        <v>3529</v>
      </c>
      <c r="D305" s="17" t="s">
        <v>862</v>
      </c>
      <c r="E305" s="282"/>
      <c r="F305" s="290">
        <v>220500</v>
      </c>
    </row>
    <row r="306" spans="1:6" x14ac:dyDescent="0.25">
      <c r="A306" s="230">
        <v>45667</v>
      </c>
      <c r="B306" s="11" t="s">
        <v>3860</v>
      </c>
      <c r="C306" s="112" t="s">
        <v>3529</v>
      </c>
      <c r="D306" s="17" t="s">
        <v>863</v>
      </c>
      <c r="E306" s="282"/>
      <c r="F306" s="290">
        <v>146000</v>
      </c>
    </row>
    <row r="307" spans="1:6" x14ac:dyDescent="0.25">
      <c r="A307" s="230">
        <v>45667</v>
      </c>
      <c r="B307" s="11" t="s">
        <v>3860</v>
      </c>
      <c r="C307" s="112" t="s">
        <v>3529</v>
      </c>
      <c r="D307" s="17" t="s">
        <v>3861</v>
      </c>
      <c r="E307" s="282"/>
      <c r="F307" s="290">
        <v>569500</v>
      </c>
    </row>
    <row r="308" spans="1:6" x14ac:dyDescent="0.25">
      <c r="A308" s="230">
        <v>45667</v>
      </c>
      <c r="B308" s="11" t="s">
        <v>1564</v>
      </c>
      <c r="C308" s="113" t="s">
        <v>3529</v>
      </c>
      <c r="D308" s="12" t="s">
        <v>3862</v>
      </c>
      <c r="E308" s="282"/>
      <c r="F308" s="285">
        <v>550000</v>
      </c>
    </row>
    <row r="309" spans="1:6" x14ac:dyDescent="0.25">
      <c r="A309" s="230">
        <v>45672</v>
      </c>
      <c r="B309" s="11" t="s">
        <v>3863</v>
      </c>
      <c r="C309" s="112" t="s">
        <v>3529</v>
      </c>
      <c r="D309" s="17" t="s">
        <v>3864</v>
      </c>
      <c r="E309" s="282"/>
      <c r="F309" s="289">
        <v>75660000</v>
      </c>
    </row>
    <row r="310" spans="1:6" x14ac:dyDescent="0.25">
      <c r="A310" s="230">
        <v>45672</v>
      </c>
      <c r="B310" s="11" t="s">
        <v>3863</v>
      </c>
      <c r="C310" s="112" t="s">
        <v>3529</v>
      </c>
      <c r="D310" s="17" t="s">
        <v>3865</v>
      </c>
      <c r="E310" s="282"/>
      <c r="F310" s="289">
        <v>8322600</v>
      </c>
    </row>
    <row r="311" spans="1:6" x14ac:dyDescent="0.25">
      <c r="A311" s="230">
        <v>45672</v>
      </c>
      <c r="B311" s="11" t="s">
        <v>3863</v>
      </c>
      <c r="C311" s="112" t="s">
        <v>3529</v>
      </c>
      <c r="D311" s="12" t="s">
        <v>3866</v>
      </c>
      <c r="E311" s="282"/>
      <c r="F311" s="285">
        <v>2900</v>
      </c>
    </row>
    <row r="312" spans="1:6" x14ac:dyDescent="0.25">
      <c r="A312" s="230">
        <v>45674</v>
      </c>
      <c r="B312" s="11" t="s">
        <v>3867</v>
      </c>
      <c r="C312" s="112" t="s">
        <v>3529</v>
      </c>
      <c r="D312" s="17" t="s">
        <v>3868</v>
      </c>
      <c r="E312" s="282"/>
      <c r="F312" s="298">
        <v>19000000</v>
      </c>
    </row>
    <row r="313" spans="1:6" x14ac:dyDescent="0.25">
      <c r="A313" s="230">
        <v>45674</v>
      </c>
      <c r="B313" s="11" t="s">
        <v>3867</v>
      </c>
      <c r="C313" s="112" t="s">
        <v>3529</v>
      </c>
      <c r="D313" s="17" t="s">
        <v>3869</v>
      </c>
      <c r="E313" s="282"/>
      <c r="F313" s="298">
        <v>2090000</v>
      </c>
    </row>
    <row r="314" spans="1:6" x14ac:dyDescent="0.25">
      <c r="A314" s="230">
        <v>45674</v>
      </c>
      <c r="B314" s="11" t="s">
        <v>3867</v>
      </c>
      <c r="C314" s="112" t="s">
        <v>3529</v>
      </c>
      <c r="D314" s="17" t="s">
        <v>3870</v>
      </c>
      <c r="E314" s="282"/>
      <c r="F314" s="298">
        <v>-380000</v>
      </c>
    </row>
    <row r="315" spans="1:6" x14ac:dyDescent="0.25">
      <c r="A315" s="230">
        <v>45674</v>
      </c>
      <c r="B315" s="11" t="s">
        <v>3867</v>
      </c>
      <c r="C315" s="112" t="s">
        <v>3529</v>
      </c>
      <c r="D315" s="17" t="s">
        <v>105</v>
      </c>
      <c r="E315" s="282"/>
      <c r="F315" s="298">
        <v>2900</v>
      </c>
    </row>
    <row r="316" spans="1:6" x14ac:dyDescent="0.25">
      <c r="A316" s="230">
        <v>45680</v>
      </c>
      <c r="B316" s="11" t="s">
        <v>3871</v>
      </c>
      <c r="C316" s="112" t="s">
        <v>3529</v>
      </c>
      <c r="D316" s="17" t="s">
        <v>3872</v>
      </c>
      <c r="E316" s="282"/>
      <c r="F316" s="290">
        <v>4500000</v>
      </c>
    </row>
    <row r="317" spans="1:6" x14ac:dyDescent="0.25">
      <c r="A317" s="230">
        <v>45680</v>
      </c>
      <c r="B317" s="11" t="s">
        <v>3871</v>
      </c>
      <c r="C317" s="112" t="s">
        <v>3529</v>
      </c>
      <c r="D317" s="17" t="s">
        <v>3873</v>
      </c>
      <c r="E317" s="282"/>
      <c r="F317" s="290">
        <v>495000</v>
      </c>
    </row>
    <row r="318" spans="1:6" x14ac:dyDescent="0.25">
      <c r="A318" s="230">
        <v>45680</v>
      </c>
      <c r="B318" s="11" t="s">
        <v>3871</v>
      </c>
      <c r="C318" s="112" t="s">
        <v>3529</v>
      </c>
      <c r="D318" s="17" t="s">
        <v>3874</v>
      </c>
      <c r="E318" s="282"/>
      <c r="F318" s="290">
        <v>2900</v>
      </c>
    </row>
    <row r="319" spans="1:6" x14ac:dyDescent="0.25">
      <c r="A319" s="230">
        <v>45680</v>
      </c>
      <c r="B319" s="11" t="s">
        <v>3875</v>
      </c>
      <c r="C319" s="112" t="s">
        <v>3529</v>
      </c>
      <c r="D319" s="17" t="s">
        <v>3876</v>
      </c>
      <c r="E319" s="282"/>
      <c r="F319" s="290">
        <v>65300000</v>
      </c>
    </row>
    <row r="320" spans="1:6" x14ac:dyDescent="0.25">
      <c r="A320" s="230">
        <v>45680</v>
      </c>
      <c r="B320" s="11" t="s">
        <v>3875</v>
      </c>
      <c r="C320" s="112" t="s">
        <v>3529</v>
      </c>
      <c r="D320" s="17" t="s">
        <v>3877</v>
      </c>
      <c r="E320" s="282"/>
      <c r="F320" s="290">
        <v>7183000</v>
      </c>
    </row>
    <row r="321" spans="1:6" x14ac:dyDescent="0.25">
      <c r="A321" s="230">
        <v>45680</v>
      </c>
      <c r="B321" s="11" t="s">
        <v>3875</v>
      </c>
      <c r="C321" s="112" t="s">
        <v>3529</v>
      </c>
      <c r="D321" s="17" t="s">
        <v>3878</v>
      </c>
      <c r="E321" s="282"/>
      <c r="F321" s="290">
        <v>-1306000</v>
      </c>
    </row>
    <row r="322" spans="1:6" x14ac:dyDescent="0.25">
      <c r="A322" s="230">
        <v>45680</v>
      </c>
      <c r="B322" s="11" t="s">
        <v>3875</v>
      </c>
      <c r="C322" s="112" t="s">
        <v>3529</v>
      </c>
      <c r="D322" s="17" t="s">
        <v>937</v>
      </c>
      <c r="E322" s="282"/>
      <c r="F322" s="290">
        <v>2900</v>
      </c>
    </row>
    <row r="323" spans="1:6" x14ac:dyDescent="0.25">
      <c r="A323" s="230">
        <v>45680</v>
      </c>
      <c r="B323" s="11" t="s">
        <v>3879</v>
      </c>
      <c r="C323" s="112" t="s">
        <v>3529</v>
      </c>
      <c r="D323" s="17" t="s">
        <v>1425</v>
      </c>
      <c r="E323" s="282"/>
      <c r="F323" s="290">
        <v>97000</v>
      </c>
    </row>
    <row r="324" spans="1:6" x14ac:dyDescent="0.25">
      <c r="A324" s="230">
        <v>45680</v>
      </c>
      <c r="B324" s="11" t="s">
        <v>3879</v>
      </c>
      <c r="C324" s="112" t="s">
        <v>3529</v>
      </c>
      <c r="D324" s="17" t="s">
        <v>1426</v>
      </c>
      <c r="E324" s="282"/>
      <c r="F324" s="290">
        <v>200000</v>
      </c>
    </row>
    <row r="325" spans="1:6" x14ac:dyDescent="0.25">
      <c r="A325" s="230">
        <v>45680</v>
      </c>
      <c r="B325" s="11" t="s">
        <v>3879</v>
      </c>
      <c r="C325" s="112" t="s">
        <v>3529</v>
      </c>
      <c r="D325" s="17" t="s">
        <v>3880</v>
      </c>
      <c r="E325" s="282"/>
      <c r="F325" s="290">
        <v>575000</v>
      </c>
    </row>
    <row r="326" spans="1:6" x14ac:dyDescent="0.25">
      <c r="A326" s="230">
        <v>45680</v>
      </c>
      <c r="B326" s="11" t="s">
        <v>3879</v>
      </c>
      <c r="C326" s="112" t="s">
        <v>3529</v>
      </c>
      <c r="D326" s="17" t="s">
        <v>3881</v>
      </c>
      <c r="E326" s="282"/>
      <c r="F326" s="290">
        <v>5000000</v>
      </c>
    </row>
    <row r="327" spans="1:6" x14ac:dyDescent="0.25">
      <c r="A327" s="230">
        <v>45680</v>
      </c>
      <c r="B327" s="11" t="s">
        <v>3879</v>
      </c>
      <c r="C327" s="112" t="s">
        <v>3529</v>
      </c>
      <c r="D327" s="17" t="s">
        <v>3882</v>
      </c>
      <c r="E327" s="282"/>
      <c r="F327" s="290">
        <v>346500</v>
      </c>
    </row>
    <row r="328" spans="1:6" x14ac:dyDescent="0.25">
      <c r="A328" s="230">
        <v>45681</v>
      </c>
      <c r="B328" s="11" t="s">
        <v>3883</v>
      </c>
      <c r="C328" s="112" t="s">
        <v>3529</v>
      </c>
      <c r="D328" s="17" t="s">
        <v>3884</v>
      </c>
      <c r="E328" s="282"/>
      <c r="F328" s="289">
        <v>6500000</v>
      </c>
    </row>
    <row r="329" spans="1:6" x14ac:dyDescent="0.25">
      <c r="A329" s="230">
        <v>45681</v>
      </c>
      <c r="B329" s="11" t="s">
        <v>686</v>
      </c>
      <c r="C329" s="112" t="s">
        <v>3529</v>
      </c>
      <c r="D329" s="17" t="s">
        <v>3885</v>
      </c>
      <c r="E329" s="282"/>
      <c r="F329" s="290">
        <v>416250</v>
      </c>
    </row>
    <row r="330" spans="1:6" x14ac:dyDescent="0.25">
      <c r="A330" s="230">
        <v>45681</v>
      </c>
      <c r="B330" s="11" t="s">
        <v>686</v>
      </c>
      <c r="C330" s="112" t="s">
        <v>3529</v>
      </c>
      <c r="D330" s="17" t="s">
        <v>3886</v>
      </c>
      <c r="E330" s="282"/>
      <c r="F330" s="290">
        <v>2500</v>
      </c>
    </row>
    <row r="331" spans="1:6" x14ac:dyDescent="0.25">
      <c r="A331" s="230">
        <v>45692</v>
      </c>
      <c r="B331" s="11" t="s">
        <v>3887</v>
      </c>
      <c r="C331" s="112" t="s">
        <v>3529</v>
      </c>
      <c r="D331" s="180" t="s">
        <v>3888</v>
      </c>
      <c r="E331" s="282">
        <v>300000000</v>
      </c>
      <c r="F331" s="296"/>
    </row>
    <row r="332" spans="1:6" x14ac:dyDescent="0.25">
      <c r="A332" s="230">
        <v>45693</v>
      </c>
      <c r="B332" s="11" t="s">
        <v>3889</v>
      </c>
      <c r="C332" s="112" t="s">
        <v>3529</v>
      </c>
      <c r="D332" s="17" t="s">
        <v>3890</v>
      </c>
      <c r="E332" s="282"/>
      <c r="F332" s="289">
        <v>7100000</v>
      </c>
    </row>
    <row r="333" spans="1:6" x14ac:dyDescent="0.25">
      <c r="A333" s="230">
        <v>45693</v>
      </c>
      <c r="B333" s="11" t="s">
        <v>3891</v>
      </c>
      <c r="C333" s="112" t="s">
        <v>3529</v>
      </c>
      <c r="D333" s="17" t="s">
        <v>3892</v>
      </c>
      <c r="E333" s="282"/>
      <c r="F333" s="289">
        <v>75660000</v>
      </c>
    </row>
    <row r="334" spans="1:6" x14ac:dyDescent="0.25">
      <c r="A334" s="230">
        <v>45693</v>
      </c>
      <c r="B334" s="11" t="s">
        <v>3891</v>
      </c>
      <c r="C334" s="112" t="s">
        <v>3529</v>
      </c>
      <c r="D334" s="17" t="s">
        <v>3893</v>
      </c>
      <c r="E334" s="282"/>
      <c r="F334" s="289">
        <v>8322600</v>
      </c>
    </row>
    <row r="335" spans="1:6" x14ac:dyDescent="0.25">
      <c r="A335" s="230">
        <v>45693</v>
      </c>
      <c r="B335" s="11" t="s">
        <v>3891</v>
      </c>
      <c r="C335" s="112" t="s">
        <v>3529</v>
      </c>
      <c r="D335" s="17" t="s">
        <v>105</v>
      </c>
      <c r="E335" s="282"/>
      <c r="F335" s="289">
        <v>2900</v>
      </c>
    </row>
    <row r="336" spans="1:6" x14ac:dyDescent="0.25">
      <c r="A336" s="230">
        <v>45693</v>
      </c>
      <c r="B336" s="11" t="s">
        <v>3894</v>
      </c>
      <c r="C336" s="112" t="s">
        <v>3529</v>
      </c>
      <c r="D336" s="28" t="s">
        <v>3895</v>
      </c>
      <c r="E336" s="282"/>
      <c r="F336" s="290">
        <v>220000000</v>
      </c>
    </row>
    <row r="337" spans="1:6" x14ac:dyDescent="0.25">
      <c r="A337" s="230">
        <v>45693</v>
      </c>
      <c r="B337" s="11" t="s">
        <v>3894</v>
      </c>
      <c r="C337" s="112" t="s">
        <v>3529</v>
      </c>
      <c r="D337" s="28" t="s">
        <v>3896</v>
      </c>
      <c r="E337" s="282"/>
      <c r="F337" s="290">
        <v>24200000</v>
      </c>
    </row>
    <row r="338" spans="1:6" x14ac:dyDescent="0.25">
      <c r="A338" s="230">
        <v>45693</v>
      </c>
      <c r="B338" s="11" t="s">
        <v>3894</v>
      </c>
      <c r="C338" s="112" t="s">
        <v>3529</v>
      </c>
      <c r="D338" s="28" t="s">
        <v>105</v>
      </c>
      <c r="E338" s="282"/>
      <c r="F338" s="290">
        <v>2900</v>
      </c>
    </row>
    <row r="339" spans="1:6" x14ac:dyDescent="0.25">
      <c r="A339" s="230">
        <v>45700</v>
      </c>
      <c r="B339" s="11" t="s">
        <v>1077</v>
      </c>
      <c r="C339" s="112" t="s">
        <v>3529</v>
      </c>
      <c r="D339" s="17" t="s">
        <v>3897</v>
      </c>
      <c r="E339" s="282"/>
      <c r="F339" s="290">
        <v>40000</v>
      </c>
    </row>
    <row r="340" spans="1:6" x14ac:dyDescent="0.25">
      <c r="A340" s="230">
        <v>45702</v>
      </c>
      <c r="B340" s="11" t="s">
        <v>247</v>
      </c>
      <c r="C340" s="113" t="s">
        <v>3529</v>
      </c>
      <c r="D340" s="16" t="s">
        <v>3898</v>
      </c>
      <c r="E340" s="282"/>
      <c r="F340" s="290">
        <v>60000</v>
      </c>
    </row>
    <row r="341" spans="1:6" x14ac:dyDescent="0.25">
      <c r="A341" s="230">
        <v>45702</v>
      </c>
      <c r="B341" s="11" t="s">
        <v>247</v>
      </c>
      <c r="C341" s="113" t="s">
        <v>3529</v>
      </c>
      <c r="D341" s="16" t="s">
        <v>3899</v>
      </c>
      <c r="E341" s="282"/>
      <c r="F341" s="290">
        <v>175000</v>
      </c>
    </row>
    <row r="342" spans="1:6" x14ac:dyDescent="0.25">
      <c r="A342" s="230">
        <v>45702</v>
      </c>
      <c r="B342" s="11" t="s">
        <v>3900</v>
      </c>
      <c r="C342" s="113" t="s">
        <v>3529</v>
      </c>
      <c r="D342" s="16" t="s">
        <v>1473</v>
      </c>
      <c r="E342" s="282"/>
      <c r="F342" s="290">
        <v>26500</v>
      </c>
    </row>
    <row r="343" spans="1:6" x14ac:dyDescent="0.25">
      <c r="A343" s="230">
        <v>45702</v>
      </c>
      <c r="B343" s="11" t="s">
        <v>3900</v>
      </c>
      <c r="C343" s="113" t="s">
        <v>3529</v>
      </c>
      <c r="D343" s="16" t="s">
        <v>1898</v>
      </c>
      <c r="E343" s="282"/>
      <c r="F343" s="290">
        <v>300000</v>
      </c>
    </row>
    <row r="344" spans="1:6" x14ac:dyDescent="0.25">
      <c r="A344" s="230">
        <v>45702</v>
      </c>
      <c r="B344" s="11" t="s">
        <v>250</v>
      </c>
      <c r="C344" s="112" t="s">
        <v>3529</v>
      </c>
      <c r="D344" s="28" t="s">
        <v>3901</v>
      </c>
      <c r="E344" s="282"/>
      <c r="F344" s="290">
        <v>117000</v>
      </c>
    </row>
    <row r="345" spans="1:6" x14ac:dyDescent="0.25">
      <c r="A345" s="230">
        <v>45702</v>
      </c>
      <c r="B345" s="11" t="s">
        <v>3902</v>
      </c>
      <c r="C345" s="112" t="s">
        <v>3529</v>
      </c>
      <c r="D345" s="16" t="s">
        <v>3903</v>
      </c>
      <c r="E345" s="282"/>
      <c r="F345" s="290">
        <v>51000</v>
      </c>
    </row>
    <row r="346" spans="1:6" x14ac:dyDescent="0.25">
      <c r="A346" s="230">
        <v>45702</v>
      </c>
      <c r="B346" s="11" t="s">
        <v>3902</v>
      </c>
      <c r="C346" s="112" t="s">
        <v>3529</v>
      </c>
      <c r="D346" s="16" t="s">
        <v>3904</v>
      </c>
      <c r="E346" s="282"/>
      <c r="F346" s="290">
        <v>45000</v>
      </c>
    </row>
    <row r="347" spans="1:6" x14ac:dyDescent="0.25">
      <c r="A347" s="230">
        <v>45702</v>
      </c>
      <c r="B347" s="11" t="s">
        <v>3902</v>
      </c>
      <c r="C347" s="112" t="s">
        <v>3529</v>
      </c>
      <c r="D347" s="16" t="s">
        <v>3905</v>
      </c>
      <c r="E347" s="282"/>
      <c r="F347" s="290">
        <v>655400</v>
      </c>
    </row>
    <row r="348" spans="1:6" x14ac:dyDescent="0.25">
      <c r="A348" s="230">
        <v>45708</v>
      </c>
      <c r="B348" s="11" t="s">
        <v>3906</v>
      </c>
      <c r="C348" s="112" t="s">
        <v>3529</v>
      </c>
      <c r="D348" s="17" t="s">
        <v>3907</v>
      </c>
      <c r="E348" s="282"/>
      <c r="F348" s="290">
        <v>37830000</v>
      </c>
    </row>
    <row r="349" spans="1:6" x14ac:dyDescent="0.25">
      <c r="A349" s="230">
        <v>45708</v>
      </c>
      <c r="B349" s="11" t="s">
        <v>3906</v>
      </c>
      <c r="C349" s="112" t="s">
        <v>3529</v>
      </c>
      <c r="D349" s="17" t="s">
        <v>3908</v>
      </c>
      <c r="E349" s="282"/>
      <c r="F349" s="290">
        <v>4161300</v>
      </c>
    </row>
    <row r="350" spans="1:6" x14ac:dyDescent="0.25">
      <c r="A350" s="230">
        <v>45708</v>
      </c>
      <c r="B350" s="11" t="s">
        <v>3906</v>
      </c>
      <c r="C350" s="112" t="s">
        <v>3529</v>
      </c>
      <c r="D350" s="17" t="s">
        <v>105</v>
      </c>
      <c r="E350" s="282"/>
      <c r="F350" s="290">
        <v>2900</v>
      </c>
    </row>
    <row r="351" spans="1:6" x14ac:dyDescent="0.25">
      <c r="A351" s="230">
        <v>45709</v>
      </c>
      <c r="B351" s="11" t="s">
        <v>1717</v>
      </c>
      <c r="C351" s="113" t="s">
        <v>3529</v>
      </c>
      <c r="D351" s="12" t="s">
        <v>1718</v>
      </c>
      <c r="E351" s="282"/>
      <c r="F351" s="285">
        <v>199500</v>
      </c>
    </row>
    <row r="352" spans="1:6" x14ac:dyDescent="0.25">
      <c r="A352" s="230">
        <v>45709</v>
      </c>
      <c r="B352" s="11" t="s">
        <v>1717</v>
      </c>
      <c r="C352" s="113" t="s">
        <v>3529</v>
      </c>
      <c r="D352" s="12" t="s">
        <v>1719</v>
      </c>
      <c r="E352" s="282"/>
      <c r="F352" s="285">
        <v>26500</v>
      </c>
    </row>
    <row r="353" spans="1:6" x14ac:dyDescent="0.25">
      <c r="A353" s="230">
        <v>45709</v>
      </c>
      <c r="B353" s="11" t="s">
        <v>3909</v>
      </c>
      <c r="C353" s="113" t="s">
        <v>3529</v>
      </c>
      <c r="D353" s="12" t="s">
        <v>3910</v>
      </c>
      <c r="E353" s="282">
        <v>20000000</v>
      </c>
      <c r="F353" s="290"/>
    </row>
    <row r="354" spans="1:6" x14ac:dyDescent="0.25">
      <c r="A354" s="230">
        <v>45709</v>
      </c>
      <c r="B354" s="11" t="s">
        <v>3909</v>
      </c>
      <c r="C354" s="113" t="s">
        <v>3529</v>
      </c>
      <c r="D354" s="12" t="s">
        <v>1043</v>
      </c>
      <c r="E354" s="282"/>
      <c r="F354" s="290">
        <v>265000</v>
      </c>
    </row>
    <row r="355" spans="1:6" x14ac:dyDescent="0.25">
      <c r="A355" s="230">
        <v>45709</v>
      </c>
      <c r="B355" s="11" t="s">
        <v>3909</v>
      </c>
      <c r="C355" s="113" t="s">
        <v>3529</v>
      </c>
      <c r="D355" s="12" t="s">
        <v>1044</v>
      </c>
      <c r="E355" s="282"/>
      <c r="F355" s="290">
        <v>1201750</v>
      </c>
    </row>
    <row r="356" spans="1:6" x14ac:dyDescent="0.25">
      <c r="A356" s="230">
        <v>45709</v>
      </c>
      <c r="B356" s="11" t="s">
        <v>3909</v>
      </c>
      <c r="C356" s="113" t="s">
        <v>3529</v>
      </c>
      <c r="D356" s="12" t="s">
        <v>1046</v>
      </c>
      <c r="E356" s="282"/>
      <c r="F356" s="285">
        <v>197500</v>
      </c>
    </row>
    <row r="357" spans="1:6" x14ac:dyDescent="0.25">
      <c r="A357" s="230">
        <v>45709</v>
      </c>
      <c r="B357" s="11" t="s">
        <v>3909</v>
      </c>
      <c r="C357" s="113" t="s">
        <v>3529</v>
      </c>
      <c r="D357" s="12" t="s">
        <v>3911</v>
      </c>
      <c r="E357" s="282"/>
      <c r="F357" s="285">
        <v>900000</v>
      </c>
    </row>
    <row r="358" spans="1:6" x14ac:dyDescent="0.25">
      <c r="A358" s="230">
        <v>45709</v>
      </c>
      <c r="B358" s="11" t="s">
        <v>3909</v>
      </c>
      <c r="C358" s="113" t="s">
        <v>3529</v>
      </c>
      <c r="D358" s="12" t="s">
        <v>3912</v>
      </c>
      <c r="E358" s="282"/>
      <c r="F358" s="290">
        <v>9522101</v>
      </c>
    </row>
    <row r="359" spans="1:6" x14ac:dyDescent="0.25">
      <c r="A359" s="230">
        <v>45709</v>
      </c>
      <c r="B359" s="11" t="s">
        <v>3909</v>
      </c>
      <c r="C359" s="113" t="s">
        <v>3529</v>
      </c>
      <c r="D359" s="29" t="s">
        <v>3913</v>
      </c>
      <c r="E359" s="282"/>
      <c r="F359" s="285">
        <v>1329186</v>
      </c>
    </row>
    <row r="360" spans="1:6" x14ac:dyDescent="0.25">
      <c r="A360" s="230">
        <v>45709</v>
      </c>
      <c r="B360" s="11" t="s">
        <v>3909</v>
      </c>
      <c r="C360" s="113" t="s">
        <v>3529</v>
      </c>
      <c r="D360" s="29" t="s">
        <v>3914</v>
      </c>
      <c r="E360" s="282"/>
      <c r="F360" s="285">
        <v>2766700</v>
      </c>
    </row>
    <row r="361" spans="1:6" x14ac:dyDescent="0.25">
      <c r="A361" s="230">
        <v>45709</v>
      </c>
      <c r="B361" s="11" t="s">
        <v>3909</v>
      </c>
      <c r="C361" s="113" t="s">
        <v>3529</v>
      </c>
      <c r="D361" s="29" t="s">
        <v>3915</v>
      </c>
      <c r="E361" s="282"/>
      <c r="F361" s="285">
        <v>204400</v>
      </c>
    </row>
    <row r="362" spans="1:6" x14ac:dyDescent="0.25">
      <c r="A362" s="230">
        <v>45709</v>
      </c>
      <c r="B362" s="11" t="s">
        <v>3909</v>
      </c>
      <c r="C362" s="113" t="s">
        <v>3529</v>
      </c>
      <c r="D362" s="29" t="s">
        <v>3916</v>
      </c>
      <c r="E362" s="282"/>
      <c r="F362" s="285">
        <v>3200</v>
      </c>
    </row>
    <row r="363" spans="1:6" x14ac:dyDescent="0.25">
      <c r="A363" s="230">
        <v>45709</v>
      </c>
      <c r="B363" s="11" t="s">
        <v>3909</v>
      </c>
      <c r="C363" s="113" t="s">
        <v>3529</v>
      </c>
      <c r="D363" s="29" t="s">
        <v>3917</v>
      </c>
      <c r="E363" s="282"/>
      <c r="F363" s="285">
        <v>198000</v>
      </c>
    </row>
    <row r="364" spans="1:6" x14ac:dyDescent="0.25">
      <c r="A364" s="230">
        <v>45709</v>
      </c>
      <c r="B364" s="11" t="s">
        <v>3909</v>
      </c>
      <c r="C364" s="113" t="s">
        <v>3529</v>
      </c>
      <c r="D364" s="12" t="s">
        <v>3918</v>
      </c>
      <c r="E364" s="282"/>
      <c r="F364" s="285">
        <v>2100000</v>
      </c>
    </row>
    <row r="365" spans="1:6" x14ac:dyDescent="0.25">
      <c r="A365" s="230">
        <v>45709</v>
      </c>
      <c r="B365" s="11" t="s">
        <v>3909</v>
      </c>
      <c r="C365" s="113" t="s">
        <v>3529</v>
      </c>
      <c r="D365" s="12" t="s">
        <v>3919</v>
      </c>
      <c r="E365" s="282"/>
      <c r="F365" s="285">
        <v>1944000</v>
      </c>
    </row>
    <row r="366" spans="1:6" x14ac:dyDescent="0.25">
      <c r="A366" s="230">
        <v>45709</v>
      </c>
      <c r="B366" s="11" t="s">
        <v>262</v>
      </c>
      <c r="C366" s="113" t="s">
        <v>3529</v>
      </c>
      <c r="D366" s="29" t="s">
        <v>3920</v>
      </c>
      <c r="E366" s="282"/>
      <c r="F366" s="285">
        <v>20000</v>
      </c>
    </row>
    <row r="367" spans="1:6" x14ac:dyDescent="0.25">
      <c r="A367" s="230">
        <v>45709</v>
      </c>
      <c r="B367" s="11" t="s">
        <v>3921</v>
      </c>
      <c r="C367" s="113" t="s">
        <v>3529</v>
      </c>
      <c r="D367" s="12" t="s">
        <v>1044</v>
      </c>
      <c r="E367" s="282"/>
      <c r="F367" s="285">
        <v>100000</v>
      </c>
    </row>
    <row r="368" spans="1:6" x14ac:dyDescent="0.25">
      <c r="A368" s="230">
        <v>45709</v>
      </c>
      <c r="B368" s="11" t="s">
        <v>3921</v>
      </c>
      <c r="C368" s="113" t="s">
        <v>3529</v>
      </c>
      <c r="D368" s="12" t="s">
        <v>1043</v>
      </c>
      <c r="E368" s="282"/>
      <c r="F368" s="285">
        <v>87000</v>
      </c>
    </row>
    <row r="369" spans="1:6" x14ac:dyDescent="0.25">
      <c r="A369" s="230">
        <v>45712</v>
      </c>
      <c r="B369" s="11" t="s">
        <v>1113</v>
      </c>
      <c r="C369" s="113" t="s">
        <v>3529</v>
      </c>
      <c r="D369" s="12" t="s">
        <v>1115</v>
      </c>
      <c r="E369" s="282"/>
      <c r="F369" s="290">
        <v>58000</v>
      </c>
    </row>
    <row r="370" spans="1:6" x14ac:dyDescent="0.25">
      <c r="A370" s="230">
        <v>45714</v>
      </c>
      <c r="B370" s="11" t="s">
        <v>3922</v>
      </c>
      <c r="C370" s="113" t="s">
        <v>3529</v>
      </c>
      <c r="D370" s="12" t="s">
        <v>3923</v>
      </c>
      <c r="E370" s="282"/>
      <c r="F370" s="290">
        <v>50000000</v>
      </c>
    </row>
    <row r="371" spans="1:6" x14ac:dyDescent="0.25">
      <c r="A371" s="230">
        <v>45714</v>
      </c>
      <c r="B371" s="11" t="s">
        <v>3922</v>
      </c>
      <c r="C371" s="113" t="s">
        <v>3529</v>
      </c>
      <c r="D371" s="12" t="s">
        <v>3924</v>
      </c>
      <c r="E371" s="282"/>
      <c r="F371" s="290">
        <v>60500000</v>
      </c>
    </row>
    <row r="372" spans="1:6" x14ac:dyDescent="0.25">
      <c r="A372" s="230">
        <v>45714</v>
      </c>
      <c r="B372" s="11" t="s">
        <v>3922</v>
      </c>
      <c r="C372" s="113" t="s">
        <v>3529</v>
      </c>
      <c r="D372" s="12" t="s">
        <v>105</v>
      </c>
      <c r="E372" s="282"/>
      <c r="F372" s="290">
        <v>2900</v>
      </c>
    </row>
    <row r="373" spans="1:6" x14ac:dyDescent="0.25">
      <c r="A373" s="230">
        <v>45716</v>
      </c>
      <c r="B373" s="11" t="s">
        <v>1132</v>
      </c>
      <c r="C373" s="328" t="s">
        <v>3529</v>
      </c>
      <c r="D373" s="39" t="s">
        <v>3925</v>
      </c>
      <c r="E373" s="282"/>
      <c r="F373" s="285">
        <v>66000</v>
      </c>
    </row>
    <row r="374" spans="1:6" x14ac:dyDescent="0.25">
      <c r="A374" s="230">
        <v>45716</v>
      </c>
      <c r="B374" s="11" t="s">
        <v>1132</v>
      </c>
      <c r="C374" s="328" t="s">
        <v>3529</v>
      </c>
      <c r="D374" s="39" t="s">
        <v>3926</v>
      </c>
      <c r="E374" s="282"/>
      <c r="F374" s="285">
        <v>44500</v>
      </c>
    </row>
    <row r="375" spans="1:6" x14ac:dyDescent="0.25">
      <c r="A375" s="230">
        <v>45716</v>
      </c>
      <c r="B375" s="11" t="s">
        <v>266</v>
      </c>
      <c r="C375" s="328" t="s">
        <v>3529</v>
      </c>
      <c r="D375" s="39" t="s">
        <v>3927</v>
      </c>
      <c r="E375" s="282"/>
      <c r="F375" s="285">
        <v>226750</v>
      </c>
    </row>
    <row r="376" spans="1:6" x14ac:dyDescent="0.25">
      <c r="A376" s="230">
        <v>45716</v>
      </c>
      <c r="B376" s="11" t="s">
        <v>3928</v>
      </c>
      <c r="C376" s="113" t="s">
        <v>3529</v>
      </c>
      <c r="D376" s="12" t="s">
        <v>3929</v>
      </c>
      <c r="E376" s="282"/>
      <c r="F376" s="285">
        <v>100000</v>
      </c>
    </row>
    <row r="377" spans="1:6" x14ac:dyDescent="0.25">
      <c r="A377" s="230">
        <v>45716</v>
      </c>
      <c r="B377" s="11" t="s">
        <v>3928</v>
      </c>
      <c r="C377" s="113" t="s">
        <v>3529</v>
      </c>
      <c r="D377" s="12" t="s">
        <v>3930</v>
      </c>
      <c r="E377" s="282"/>
      <c r="F377" s="285">
        <v>53500</v>
      </c>
    </row>
    <row r="378" spans="1:6" x14ac:dyDescent="0.25">
      <c r="A378" s="230">
        <v>45716</v>
      </c>
      <c r="B378" s="11" t="s">
        <v>3928</v>
      </c>
      <c r="C378" s="113" t="s">
        <v>3529</v>
      </c>
      <c r="D378" s="12" t="s">
        <v>2763</v>
      </c>
      <c r="E378" s="282"/>
      <c r="F378" s="285">
        <v>45000</v>
      </c>
    </row>
    <row r="379" spans="1:6" x14ac:dyDescent="0.25">
      <c r="A379" s="230">
        <v>45716</v>
      </c>
      <c r="B379" s="11" t="s">
        <v>3928</v>
      </c>
      <c r="C379" s="113" t="s">
        <v>3529</v>
      </c>
      <c r="D379" s="12" t="s">
        <v>3931</v>
      </c>
      <c r="E379" s="282"/>
      <c r="F379" s="285">
        <v>1263000</v>
      </c>
    </row>
    <row r="380" spans="1:6" x14ac:dyDescent="0.25">
      <c r="A380" s="230">
        <v>45716</v>
      </c>
      <c r="B380" s="11" t="s">
        <v>3928</v>
      </c>
      <c r="C380" s="113" t="s">
        <v>3529</v>
      </c>
      <c r="D380" s="12" t="s">
        <v>3932</v>
      </c>
      <c r="E380" s="282"/>
      <c r="F380" s="285">
        <v>504600</v>
      </c>
    </row>
    <row r="381" spans="1:6" x14ac:dyDescent="0.25">
      <c r="A381" s="230">
        <v>45716</v>
      </c>
      <c r="B381" s="11" t="s">
        <v>3928</v>
      </c>
      <c r="C381" s="113" t="s">
        <v>3529</v>
      </c>
      <c r="D381" s="12" t="s">
        <v>105</v>
      </c>
      <c r="E381" s="282"/>
      <c r="F381" s="285">
        <v>2900</v>
      </c>
    </row>
    <row r="382" spans="1:6" x14ac:dyDescent="0.25">
      <c r="A382" s="230">
        <v>45716</v>
      </c>
      <c r="B382" s="11" t="s">
        <v>3933</v>
      </c>
      <c r="C382" s="113" t="s">
        <v>3529</v>
      </c>
      <c r="D382" s="17" t="s">
        <v>3934</v>
      </c>
      <c r="E382" s="282"/>
      <c r="F382" s="290">
        <v>115500</v>
      </c>
    </row>
    <row r="383" spans="1:6" x14ac:dyDescent="0.25">
      <c r="A383" s="230">
        <v>45716</v>
      </c>
      <c r="B383" s="11" t="s">
        <v>3933</v>
      </c>
      <c r="C383" s="113" t="s">
        <v>3529</v>
      </c>
      <c r="D383" s="12" t="s">
        <v>3929</v>
      </c>
      <c r="E383" s="291"/>
      <c r="F383" s="292">
        <v>170000</v>
      </c>
    </row>
    <row r="384" spans="1:6" x14ac:dyDescent="0.25">
      <c r="A384" s="230">
        <v>45716</v>
      </c>
      <c r="B384" s="11" t="s">
        <v>3933</v>
      </c>
      <c r="C384" s="113" t="s">
        <v>3529</v>
      </c>
      <c r="D384" s="17" t="s">
        <v>3935</v>
      </c>
      <c r="E384" s="282"/>
      <c r="F384" s="290">
        <v>380400</v>
      </c>
    </row>
    <row r="385" spans="1:6" x14ac:dyDescent="0.25">
      <c r="A385" s="230">
        <v>45716</v>
      </c>
      <c r="B385" s="11" t="s">
        <v>3933</v>
      </c>
      <c r="C385" s="113" t="s">
        <v>3529</v>
      </c>
      <c r="D385" s="17" t="s">
        <v>3936</v>
      </c>
      <c r="E385" s="282"/>
      <c r="F385" s="290">
        <v>2280900</v>
      </c>
    </row>
    <row r="386" spans="1:6" x14ac:dyDescent="0.25">
      <c r="A386" s="230">
        <v>45716</v>
      </c>
      <c r="B386" s="11" t="s">
        <v>3933</v>
      </c>
      <c r="C386" s="112" t="s">
        <v>3529</v>
      </c>
      <c r="D386" s="17" t="s">
        <v>3915</v>
      </c>
      <c r="E386" s="282"/>
      <c r="F386" s="290">
        <v>59000</v>
      </c>
    </row>
    <row r="387" spans="1:6" x14ac:dyDescent="0.25">
      <c r="A387" s="230">
        <v>45716</v>
      </c>
      <c r="B387" s="11" t="s">
        <v>3933</v>
      </c>
      <c r="C387" s="112" t="s">
        <v>3529</v>
      </c>
      <c r="D387" s="17" t="s">
        <v>3937</v>
      </c>
      <c r="E387" s="282"/>
      <c r="F387" s="290">
        <v>10000</v>
      </c>
    </row>
    <row r="388" spans="1:6" x14ac:dyDescent="0.25">
      <c r="A388" s="230">
        <v>45728</v>
      </c>
      <c r="B388" s="11" t="s">
        <v>3938</v>
      </c>
      <c r="C388" s="113" t="s">
        <v>3529</v>
      </c>
      <c r="D388" s="12" t="s">
        <v>3939</v>
      </c>
      <c r="E388" s="282"/>
      <c r="F388" s="285">
        <v>1750000</v>
      </c>
    </row>
    <row r="389" spans="1:6" x14ac:dyDescent="0.25">
      <c r="A389" s="230">
        <v>45728</v>
      </c>
      <c r="B389" s="11" t="s">
        <v>3938</v>
      </c>
      <c r="C389" s="113" t="s">
        <v>3529</v>
      </c>
      <c r="D389" s="12" t="s">
        <v>3940</v>
      </c>
      <c r="E389" s="282"/>
      <c r="F389" s="285">
        <v>192500</v>
      </c>
    </row>
    <row r="390" spans="1:6" x14ac:dyDescent="0.25">
      <c r="A390" s="230">
        <v>45728</v>
      </c>
      <c r="B390" s="11" t="s">
        <v>3938</v>
      </c>
      <c r="C390" s="113" t="s">
        <v>3529</v>
      </c>
      <c r="D390" s="12" t="s">
        <v>3941</v>
      </c>
      <c r="E390" s="282"/>
      <c r="F390" s="285">
        <v>-35000</v>
      </c>
    </row>
    <row r="391" spans="1:6" x14ac:dyDescent="0.25">
      <c r="A391" s="230">
        <v>45728</v>
      </c>
      <c r="B391" s="11" t="s">
        <v>3938</v>
      </c>
      <c r="C391" s="113" t="s">
        <v>3529</v>
      </c>
      <c r="D391" s="12" t="s">
        <v>3942</v>
      </c>
      <c r="E391" s="282"/>
      <c r="F391" s="285">
        <v>20500000</v>
      </c>
    </row>
    <row r="392" spans="1:6" x14ac:dyDescent="0.25">
      <c r="A392" s="230">
        <v>45728</v>
      </c>
      <c r="B392" s="11" t="s">
        <v>3938</v>
      </c>
      <c r="C392" s="113" t="s">
        <v>3529</v>
      </c>
      <c r="D392" s="12" t="s">
        <v>3943</v>
      </c>
      <c r="E392" s="282"/>
      <c r="F392" s="285">
        <v>225500</v>
      </c>
    </row>
    <row r="393" spans="1:6" x14ac:dyDescent="0.25">
      <c r="A393" s="230">
        <v>45728</v>
      </c>
      <c r="B393" s="11" t="s">
        <v>3938</v>
      </c>
      <c r="C393" s="113" t="s">
        <v>3529</v>
      </c>
      <c r="D393" s="12" t="s">
        <v>3944</v>
      </c>
      <c r="E393" s="282"/>
      <c r="F393" s="285">
        <v>-410000</v>
      </c>
    </row>
    <row r="394" spans="1:6" x14ac:dyDescent="0.25">
      <c r="A394" s="230">
        <v>45728</v>
      </c>
      <c r="B394" s="11" t="s">
        <v>3938</v>
      </c>
      <c r="C394" s="113" t="s">
        <v>3529</v>
      </c>
      <c r="D394" s="12" t="s">
        <v>3945</v>
      </c>
      <c r="E394" s="282"/>
      <c r="F394" s="285">
        <v>316752</v>
      </c>
    </row>
    <row r="395" spans="1:6" x14ac:dyDescent="0.25">
      <c r="A395" s="230">
        <v>45728</v>
      </c>
      <c r="B395" s="11" t="s">
        <v>3938</v>
      </c>
      <c r="C395" s="113" t="s">
        <v>3529</v>
      </c>
      <c r="D395" s="12" t="s">
        <v>3946</v>
      </c>
      <c r="E395" s="282"/>
      <c r="F395" s="285">
        <v>34843</v>
      </c>
    </row>
    <row r="396" spans="1:6" x14ac:dyDescent="0.25">
      <c r="A396" s="230">
        <v>45728</v>
      </c>
      <c r="B396" s="11" t="s">
        <v>3938</v>
      </c>
      <c r="C396" s="112" t="s">
        <v>3529</v>
      </c>
      <c r="D396" s="17" t="s">
        <v>3947</v>
      </c>
      <c r="E396" s="282"/>
      <c r="F396" s="289">
        <v>-6335</v>
      </c>
    </row>
    <row r="397" spans="1:6" x14ac:dyDescent="0.25">
      <c r="A397" s="230">
        <v>45728</v>
      </c>
      <c r="B397" s="11" t="s">
        <v>3938</v>
      </c>
      <c r="C397" s="112" t="s">
        <v>3529</v>
      </c>
      <c r="D397" s="17" t="s">
        <v>2192</v>
      </c>
      <c r="E397" s="282"/>
      <c r="F397" s="289">
        <v>2900</v>
      </c>
    </row>
    <row r="398" spans="1:6" x14ac:dyDescent="0.25">
      <c r="A398" s="230">
        <v>45728</v>
      </c>
      <c r="B398" s="11" t="s">
        <v>3948</v>
      </c>
      <c r="C398" s="113" t="s">
        <v>3529</v>
      </c>
      <c r="D398" s="12" t="s">
        <v>3949</v>
      </c>
      <c r="E398" s="282"/>
      <c r="F398" s="285">
        <v>101649500</v>
      </c>
    </row>
    <row r="399" spans="1:6" x14ac:dyDescent="0.25">
      <c r="A399" s="230">
        <v>45728</v>
      </c>
      <c r="B399" s="11" t="s">
        <v>3948</v>
      </c>
      <c r="C399" s="113" t="s">
        <v>3529</v>
      </c>
      <c r="D399" s="12" t="s">
        <v>3950</v>
      </c>
      <c r="E399" s="282"/>
      <c r="F399" s="285">
        <v>11181445</v>
      </c>
    </row>
    <row r="400" spans="1:6" x14ac:dyDescent="0.25">
      <c r="A400" s="230">
        <v>45728</v>
      </c>
      <c r="B400" s="11" t="s">
        <v>3948</v>
      </c>
      <c r="C400" s="113" t="s">
        <v>3529</v>
      </c>
      <c r="D400" s="12" t="s">
        <v>3951</v>
      </c>
      <c r="E400" s="282"/>
      <c r="F400" s="285">
        <v>-2032990</v>
      </c>
    </row>
    <row r="401" spans="1:6" x14ac:dyDescent="0.25">
      <c r="A401" s="230">
        <v>45728</v>
      </c>
      <c r="B401" s="11" t="s">
        <v>3948</v>
      </c>
      <c r="C401" s="113" t="s">
        <v>3529</v>
      </c>
      <c r="D401" s="12" t="s">
        <v>3952</v>
      </c>
      <c r="E401" s="282"/>
      <c r="F401" s="285">
        <v>2900</v>
      </c>
    </row>
    <row r="402" spans="1:6" x14ac:dyDescent="0.25">
      <c r="A402" s="230">
        <v>45730</v>
      </c>
      <c r="B402" s="11" t="s">
        <v>3953</v>
      </c>
      <c r="C402" s="113" t="s">
        <v>3529</v>
      </c>
      <c r="D402" s="12" t="s">
        <v>1953</v>
      </c>
      <c r="E402" s="282"/>
      <c r="F402" s="290">
        <v>53000</v>
      </c>
    </row>
    <row r="403" spans="1:6" x14ac:dyDescent="0.25">
      <c r="A403" s="230">
        <v>45730</v>
      </c>
      <c r="B403" s="11" t="s">
        <v>3953</v>
      </c>
      <c r="C403" s="113" t="s">
        <v>3529</v>
      </c>
      <c r="D403" s="12" t="s">
        <v>1953</v>
      </c>
      <c r="E403" s="282"/>
      <c r="F403" s="290">
        <v>58500</v>
      </c>
    </row>
    <row r="404" spans="1:6" x14ac:dyDescent="0.25">
      <c r="A404" s="230">
        <v>45730</v>
      </c>
      <c r="B404" s="11" t="s">
        <v>3953</v>
      </c>
      <c r="C404" s="113" t="s">
        <v>3529</v>
      </c>
      <c r="D404" s="12" t="s">
        <v>1952</v>
      </c>
      <c r="E404" s="282"/>
      <c r="F404" s="290">
        <v>70000</v>
      </c>
    </row>
    <row r="405" spans="1:6" x14ac:dyDescent="0.25">
      <c r="A405" s="230">
        <v>45730</v>
      </c>
      <c r="B405" s="11" t="s">
        <v>3953</v>
      </c>
      <c r="C405" s="113" t="s">
        <v>3529</v>
      </c>
      <c r="D405" s="12" t="s">
        <v>387</v>
      </c>
      <c r="E405" s="282"/>
      <c r="F405" s="290">
        <v>2900</v>
      </c>
    </row>
    <row r="406" spans="1:6" x14ac:dyDescent="0.25">
      <c r="A406" s="230">
        <v>45730</v>
      </c>
      <c r="B406" s="11" t="s">
        <v>2470</v>
      </c>
      <c r="C406" s="113" t="s">
        <v>3529</v>
      </c>
      <c r="D406" s="12" t="s">
        <v>3954</v>
      </c>
      <c r="E406" s="282"/>
      <c r="F406" s="285">
        <v>25494</v>
      </c>
    </row>
    <row r="407" spans="1:6" x14ac:dyDescent="0.25">
      <c r="A407" s="230">
        <v>45735</v>
      </c>
      <c r="B407" s="11" t="s">
        <v>3955</v>
      </c>
      <c r="C407" s="113" t="s">
        <v>3529</v>
      </c>
      <c r="D407" s="12" t="s">
        <v>3956</v>
      </c>
      <c r="E407" s="282"/>
      <c r="F407" s="285">
        <v>192500</v>
      </c>
    </row>
    <row r="408" spans="1:6" x14ac:dyDescent="0.25">
      <c r="A408" s="230">
        <v>45735</v>
      </c>
      <c r="B408" s="11" t="s">
        <v>3955</v>
      </c>
      <c r="C408" s="113" t="s">
        <v>3529</v>
      </c>
      <c r="D408" s="12" t="s">
        <v>3957</v>
      </c>
      <c r="E408" s="282"/>
      <c r="F408" s="285">
        <v>-35000</v>
      </c>
    </row>
    <row r="409" spans="1:6" x14ac:dyDescent="0.25">
      <c r="A409" s="230">
        <v>45735</v>
      </c>
      <c r="B409" s="11" t="s">
        <v>3955</v>
      </c>
      <c r="C409" s="113" t="s">
        <v>3529</v>
      </c>
      <c r="D409" s="12" t="s">
        <v>3958</v>
      </c>
      <c r="E409" s="282"/>
      <c r="F409" s="285">
        <v>28800000</v>
      </c>
    </row>
    <row r="410" spans="1:6" x14ac:dyDescent="0.25">
      <c r="A410" s="230">
        <v>45735</v>
      </c>
      <c r="B410" s="11" t="s">
        <v>3955</v>
      </c>
      <c r="C410" s="113" t="s">
        <v>3529</v>
      </c>
      <c r="D410" s="12" t="s">
        <v>3959</v>
      </c>
      <c r="E410" s="282"/>
      <c r="F410" s="285">
        <v>316800</v>
      </c>
    </row>
    <row r="411" spans="1:6" x14ac:dyDescent="0.25">
      <c r="A411" s="230">
        <v>45735</v>
      </c>
      <c r="B411" s="11" t="s">
        <v>3955</v>
      </c>
      <c r="C411" s="113" t="s">
        <v>3529</v>
      </c>
      <c r="D411" s="12" t="s">
        <v>3960</v>
      </c>
      <c r="E411" s="282"/>
      <c r="F411" s="285">
        <v>-576000</v>
      </c>
    </row>
    <row r="412" spans="1:6" x14ac:dyDescent="0.25">
      <c r="A412" s="230">
        <v>45735</v>
      </c>
      <c r="B412" s="11" t="s">
        <v>3955</v>
      </c>
      <c r="C412" s="113" t="s">
        <v>3529</v>
      </c>
      <c r="D412" s="12" t="s">
        <v>3961</v>
      </c>
      <c r="E412" s="282"/>
      <c r="F412" s="285">
        <v>459578</v>
      </c>
    </row>
    <row r="413" spans="1:6" x14ac:dyDescent="0.25">
      <c r="A413" s="230">
        <v>45735</v>
      </c>
      <c r="B413" s="11" t="s">
        <v>3955</v>
      </c>
      <c r="C413" s="113" t="s">
        <v>3529</v>
      </c>
      <c r="D413" s="12" t="s">
        <v>3962</v>
      </c>
      <c r="E413" s="282"/>
      <c r="F413" s="285">
        <v>50554</v>
      </c>
    </row>
    <row r="414" spans="1:6" x14ac:dyDescent="0.25">
      <c r="A414" s="230">
        <v>45735</v>
      </c>
      <c r="B414" s="11" t="s">
        <v>3955</v>
      </c>
      <c r="C414" s="113" t="s">
        <v>3529</v>
      </c>
      <c r="D414" s="12" t="s">
        <v>3963</v>
      </c>
      <c r="E414" s="282"/>
      <c r="F414" s="285">
        <v>-9192</v>
      </c>
    </row>
    <row r="415" spans="1:6" x14ac:dyDescent="0.25">
      <c r="A415" s="230">
        <v>45735</v>
      </c>
      <c r="B415" s="11" t="s">
        <v>3955</v>
      </c>
      <c r="C415" s="113" t="s">
        <v>3529</v>
      </c>
      <c r="D415" s="12" t="s">
        <v>3964</v>
      </c>
      <c r="E415" s="282"/>
      <c r="F415" s="285">
        <v>1750000</v>
      </c>
    </row>
    <row r="416" spans="1:6" x14ac:dyDescent="0.25">
      <c r="A416" s="230">
        <v>45737</v>
      </c>
      <c r="B416" s="11" t="s">
        <v>3965</v>
      </c>
      <c r="C416" s="113" t="s">
        <v>3529</v>
      </c>
      <c r="D416" s="12" t="s">
        <v>1719</v>
      </c>
      <c r="E416" s="297"/>
      <c r="F416" s="285">
        <v>159000</v>
      </c>
    </row>
    <row r="417" spans="1:6" x14ac:dyDescent="0.25">
      <c r="A417" s="230">
        <v>45737</v>
      </c>
      <c r="B417" s="11" t="s">
        <v>3965</v>
      </c>
      <c r="C417" s="113" t="s">
        <v>3529</v>
      </c>
      <c r="D417" s="12" t="s">
        <v>3966</v>
      </c>
      <c r="E417" s="297"/>
      <c r="F417" s="285">
        <v>28000</v>
      </c>
    </row>
    <row r="418" spans="1:6" x14ac:dyDescent="0.25">
      <c r="A418" s="230">
        <v>45737</v>
      </c>
      <c r="B418" s="11" t="s">
        <v>3965</v>
      </c>
      <c r="C418" s="113" t="s">
        <v>3529</v>
      </c>
      <c r="D418" s="12" t="s">
        <v>3967</v>
      </c>
      <c r="E418" s="297"/>
      <c r="F418" s="285">
        <v>180000</v>
      </c>
    </row>
    <row r="419" spans="1:6" x14ac:dyDescent="0.25">
      <c r="A419" s="230">
        <v>45740</v>
      </c>
      <c r="B419" s="11" t="s">
        <v>3968</v>
      </c>
      <c r="C419" s="112" t="s">
        <v>3529</v>
      </c>
      <c r="D419" s="17" t="s">
        <v>3969</v>
      </c>
      <c r="E419" s="282"/>
      <c r="F419" s="289">
        <v>9500000</v>
      </c>
    </row>
    <row r="420" spans="1:6" x14ac:dyDescent="0.25">
      <c r="A420" s="230">
        <v>45740</v>
      </c>
      <c r="B420" s="11" t="s">
        <v>3968</v>
      </c>
      <c r="C420" s="112" t="s">
        <v>3529</v>
      </c>
      <c r="D420" s="17" t="s">
        <v>3970</v>
      </c>
      <c r="E420" s="282"/>
      <c r="F420" s="289">
        <v>2900</v>
      </c>
    </row>
    <row r="421" spans="1:6" x14ac:dyDescent="0.25">
      <c r="A421" s="230">
        <v>45742</v>
      </c>
      <c r="B421" s="11" t="s">
        <v>3971</v>
      </c>
      <c r="C421" s="326" t="s">
        <v>3529</v>
      </c>
      <c r="D421" s="17" t="s">
        <v>3972</v>
      </c>
      <c r="E421" s="282">
        <v>500000000</v>
      </c>
      <c r="F421" s="289"/>
    </row>
    <row r="422" spans="1:6" x14ac:dyDescent="0.25">
      <c r="A422" s="232">
        <v>45763</v>
      </c>
      <c r="B422" s="9" t="s">
        <v>306</v>
      </c>
      <c r="C422" s="144" t="s">
        <v>3529</v>
      </c>
      <c r="D422" s="42" t="s">
        <v>3973</v>
      </c>
      <c r="E422" s="291"/>
      <c r="F422" s="285">
        <v>8070000</v>
      </c>
    </row>
    <row r="423" spans="1:6" x14ac:dyDescent="0.25">
      <c r="A423" s="232">
        <v>45763</v>
      </c>
      <c r="B423" s="9" t="s">
        <v>306</v>
      </c>
      <c r="C423" s="144" t="s">
        <v>3529</v>
      </c>
      <c r="D423" s="42" t="s">
        <v>3974</v>
      </c>
      <c r="E423" s="291"/>
      <c r="F423" s="285">
        <v>887700</v>
      </c>
    </row>
    <row r="424" spans="1:6" x14ac:dyDescent="0.25">
      <c r="A424" s="232">
        <v>45763</v>
      </c>
      <c r="B424" s="9" t="s">
        <v>306</v>
      </c>
      <c r="C424" s="144" t="s">
        <v>3529</v>
      </c>
      <c r="D424" s="42" t="s">
        <v>3975</v>
      </c>
      <c r="E424" s="291"/>
      <c r="F424" s="285">
        <v>-161400</v>
      </c>
    </row>
    <row r="425" spans="1:6" x14ac:dyDescent="0.25">
      <c r="A425" s="232">
        <v>45763</v>
      </c>
      <c r="B425" s="9" t="s">
        <v>306</v>
      </c>
      <c r="C425" s="144" t="s">
        <v>3529</v>
      </c>
      <c r="D425" s="42" t="s">
        <v>3976</v>
      </c>
      <c r="E425" s="291"/>
      <c r="F425" s="285">
        <v>21600000</v>
      </c>
    </row>
    <row r="426" spans="1:6" x14ac:dyDescent="0.25">
      <c r="A426" s="232">
        <v>45763</v>
      </c>
      <c r="B426" s="9" t="s">
        <v>306</v>
      </c>
      <c r="C426" s="144" t="s">
        <v>3529</v>
      </c>
      <c r="D426" s="42" t="s">
        <v>3977</v>
      </c>
      <c r="E426" s="291"/>
      <c r="F426" s="285">
        <v>237600</v>
      </c>
    </row>
    <row r="427" spans="1:6" x14ac:dyDescent="0.25">
      <c r="A427" s="232">
        <v>45763</v>
      </c>
      <c r="B427" s="9" t="s">
        <v>306</v>
      </c>
      <c r="C427" s="144" t="s">
        <v>3529</v>
      </c>
      <c r="D427" s="42" t="s">
        <v>3978</v>
      </c>
      <c r="E427" s="291"/>
      <c r="F427" s="285">
        <v>-432000</v>
      </c>
    </row>
    <row r="428" spans="1:6" x14ac:dyDescent="0.25">
      <c r="A428" s="232">
        <v>45763</v>
      </c>
      <c r="B428" s="9" t="s">
        <v>306</v>
      </c>
      <c r="C428" s="144" t="s">
        <v>3529</v>
      </c>
      <c r="D428" s="42" t="s">
        <v>3979</v>
      </c>
      <c r="E428" s="291"/>
      <c r="F428" s="285">
        <v>635000</v>
      </c>
    </row>
    <row r="429" spans="1:6" x14ac:dyDescent="0.25">
      <c r="A429" s="232">
        <v>45763</v>
      </c>
      <c r="B429" s="9" t="s">
        <v>306</v>
      </c>
      <c r="C429" s="144" t="s">
        <v>3529</v>
      </c>
      <c r="D429" s="42" t="s">
        <v>3980</v>
      </c>
      <c r="E429" s="291"/>
      <c r="F429" s="285">
        <v>69850</v>
      </c>
    </row>
    <row r="430" spans="1:6" x14ac:dyDescent="0.25">
      <c r="A430" s="232">
        <v>45763</v>
      </c>
      <c r="B430" s="9" t="s">
        <v>306</v>
      </c>
      <c r="C430" s="144" t="s">
        <v>3529</v>
      </c>
      <c r="D430" s="42" t="s">
        <v>3981</v>
      </c>
      <c r="E430" s="291"/>
      <c r="F430" s="285">
        <v>-12700</v>
      </c>
    </row>
    <row r="431" spans="1:6" x14ac:dyDescent="0.25">
      <c r="A431" s="232">
        <v>45764</v>
      </c>
      <c r="B431" s="9" t="s">
        <v>319</v>
      </c>
      <c r="C431" s="144" t="s">
        <v>3529</v>
      </c>
      <c r="D431" s="42" t="s">
        <v>3982</v>
      </c>
      <c r="E431" s="286"/>
      <c r="F431" s="289">
        <v>40000</v>
      </c>
    </row>
    <row r="432" spans="1:6" x14ac:dyDescent="0.25">
      <c r="A432" s="232">
        <v>45772</v>
      </c>
      <c r="B432" s="9" t="s">
        <v>3983</v>
      </c>
      <c r="C432" s="142" t="s">
        <v>3529</v>
      </c>
      <c r="D432" s="42" t="s">
        <v>3984</v>
      </c>
      <c r="E432" s="282"/>
      <c r="F432" s="289">
        <v>6300000</v>
      </c>
    </row>
    <row r="433" spans="1:6" x14ac:dyDescent="0.25">
      <c r="A433" s="232">
        <v>45772</v>
      </c>
      <c r="B433" s="9" t="s">
        <v>3983</v>
      </c>
      <c r="C433" s="142" t="s">
        <v>3529</v>
      </c>
      <c r="D433" s="42" t="s">
        <v>3985</v>
      </c>
      <c r="E433" s="282"/>
      <c r="F433" s="289">
        <v>693000</v>
      </c>
    </row>
    <row r="434" spans="1:6" x14ac:dyDescent="0.25">
      <c r="A434" s="232">
        <v>45772</v>
      </c>
      <c r="B434" s="9" t="s">
        <v>3983</v>
      </c>
      <c r="C434" s="142" t="s">
        <v>3529</v>
      </c>
      <c r="D434" s="42" t="s">
        <v>3986</v>
      </c>
      <c r="E434" s="282"/>
      <c r="F434" s="289">
        <v>2900</v>
      </c>
    </row>
    <row r="435" spans="1:6" x14ac:dyDescent="0.25">
      <c r="A435" s="232">
        <v>45772</v>
      </c>
      <c r="B435" s="9" t="s">
        <v>377</v>
      </c>
      <c r="C435" s="144" t="s">
        <v>3529</v>
      </c>
      <c r="D435" s="42" t="s">
        <v>3987</v>
      </c>
      <c r="E435" s="282"/>
      <c r="F435" s="285">
        <v>40000</v>
      </c>
    </row>
    <row r="436" spans="1:6" x14ac:dyDescent="0.25">
      <c r="A436" s="230">
        <v>45779</v>
      </c>
      <c r="B436" s="11" t="s">
        <v>3988</v>
      </c>
      <c r="C436" s="112" t="s">
        <v>3529</v>
      </c>
      <c r="D436" s="17" t="s">
        <v>3989</v>
      </c>
      <c r="E436" s="282"/>
      <c r="F436" s="289">
        <v>61500</v>
      </c>
    </row>
    <row r="437" spans="1:6" x14ac:dyDescent="0.25">
      <c r="A437" s="230">
        <v>45779</v>
      </c>
      <c r="B437" s="11" t="s">
        <v>3988</v>
      </c>
      <c r="C437" s="112" t="s">
        <v>3529</v>
      </c>
      <c r="D437" s="17" t="s">
        <v>3990</v>
      </c>
      <c r="E437" s="282"/>
      <c r="F437" s="289">
        <v>18000</v>
      </c>
    </row>
    <row r="438" spans="1:6" x14ac:dyDescent="0.25">
      <c r="A438" s="230">
        <v>45779</v>
      </c>
      <c r="B438" s="11" t="s">
        <v>3988</v>
      </c>
      <c r="C438" s="112" t="s">
        <v>3529</v>
      </c>
      <c r="D438" s="17" t="s">
        <v>3991</v>
      </c>
      <c r="E438" s="282"/>
      <c r="F438" s="289">
        <v>2900</v>
      </c>
    </row>
    <row r="439" spans="1:6" x14ac:dyDescent="0.25">
      <c r="A439" s="230">
        <v>45784</v>
      </c>
      <c r="B439" s="11" t="s">
        <v>3992</v>
      </c>
      <c r="C439" s="112" t="s">
        <v>3529</v>
      </c>
      <c r="D439" s="131" t="s">
        <v>3993</v>
      </c>
      <c r="E439" s="282"/>
      <c r="F439" s="289">
        <v>7069140</v>
      </c>
    </row>
    <row r="440" spans="1:6" x14ac:dyDescent="0.25">
      <c r="A440" s="230">
        <v>45784</v>
      </c>
      <c r="B440" s="11" t="s">
        <v>3992</v>
      </c>
      <c r="C440" s="112" t="s">
        <v>3529</v>
      </c>
      <c r="D440" s="131" t="s">
        <v>3994</v>
      </c>
      <c r="E440" s="282"/>
      <c r="F440" s="289">
        <v>77760</v>
      </c>
    </row>
    <row r="441" spans="1:6" x14ac:dyDescent="0.25">
      <c r="A441" s="230">
        <v>45784</v>
      </c>
      <c r="B441" s="11" t="s">
        <v>3992</v>
      </c>
      <c r="C441" s="112" t="s">
        <v>3529</v>
      </c>
      <c r="D441" s="131" t="s">
        <v>3995</v>
      </c>
      <c r="E441" s="282"/>
      <c r="F441" s="289">
        <v>-141383</v>
      </c>
    </row>
    <row r="442" spans="1:6" x14ac:dyDescent="0.25">
      <c r="A442" s="230">
        <v>45784</v>
      </c>
      <c r="B442" s="11" t="s">
        <v>3992</v>
      </c>
      <c r="C442" s="112" t="s">
        <v>3529</v>
      </c>
      <c r="D442" s="131" t="s">
        <v>3996</v>
      </c>
      <c r="E442" s="282"/>
      <c r="F442" s="289">
        <v>2900</v>
      </c>
    </row>
    <row r="443" spans="1:6" x14ac:dyDescent="0.25">
      <c r="A443" s="232">
        <v>45791</v>
      </c>
      <c r="B443" s="9" t="s">
        <v>3997</v>
      </c>
      <c r="C443" s="112" t="s">
        <v>3529</v>
      </c>
      <c r="D443" s="26" t="s">
        <v>3998</v>
      </c>
      <c r="E443" s="282"/>
      <c r="F443" s="289">
        <v>1500000</v>
      </c>
    </row>
    <row r="444" spans="1:6" x14ac:dyDescent="0.25">
      <c r="A444" s="232">
        <v>45791</v>
      </c>
      <c r="B444" s="9" t="s">
        <v>3997</v>
      </c>
      <c r="C444" s="112" t="s">
        <v>3529</v>
      </c>
      <c r="D444" s="26" t="s">
        <v>3999</v>
      </c>
      <c r="E444" s="282"/>
      <c r="F444" s="289">
        <v>165000</v>
      </c>
    </row>
    <row r="445" spans="1:6" x14ac:dyDescent="0.25">
      <c r="A445" s="232">
        <v>45791</v>
      </c>
      <c r="B445" s="9" t="s">
        <v>3997</v>
      </c>
      <c r="C445" s="112" t="s">
        <v>3529</v>
      </c>
      <c r="D445" s="26" t="s">
        <v>4000</v>
      </c>
      <c r="E445" s="282"/>
      <c r="F445" s="289">
        <v>-30000</v>
      </c>
    </row>
    <row r="446" spans="1:6" x14ac:dyDescent="0.25">
      <c r="A446" s="232">
        <v>45791</v>
      </c>
      <c r="B446" s="9" t="s">
        <v>3997</v>
      </c>
      <c r="C446" s="112" t="s">
        <v>3529</v>
      </c>
      <c r="D446" s="26" t="s">
        <v>4001</v>
      </c>
      <c r="E446" s="282"/>
      <c r="F446" s="289">
        <v>2900</v>
      </c>
    </row>
    <row r="447" spans="1:6" x14ac:dyDescent="0.25">
      <c r="A447" s="232">
        <v>45793</v>
      </c>
      <c r="B447" s="9" t="s">
        <v>463</v>
      </c>
      <c r="C447" s="142" t="s">
        <v>3529</v>
      </c>
      <c r="D447" s="26" t="s">
        <v>4002</v>
      </c>
      <c r="E447" s="282"/>
      <c r="F447" s="289">
        <v>60000</v>
      </c>
    </row>
    <row r="448" spans="1:6" x14ac:dyDescent="0.25">
      <c r="A448" s="232">
        <v>45798</v>
      </c>
      <c r="B448" s="9" t="s">
        <v>4003</v>
      </c>
      <c r="C448" s="112" t="s">
        <v>3529</v>
      </c>
      <c r="D448" s="43" t="s">
        <v>4004</v>
      </c>
      <c r="E448" s="282"/>
      <c r="F448" s="289">
        <v>5900000</v>
      </c>
    </row>
    <row r="449" spans="1:6" x14ac:dyDescent="0.25">
      <c r="A449" s="232">
        <v>45798</v>
      </c>
      <c r="B449" s="9" t="s">
        <v>4003</v>
      </c>
      <c r="C449" s="112" t="s">
        <v>3529</v>
      </c>
      <c r="D449" s="43" t="s">
        <v>4005</v>
      </c>
      <c r="E449" s="282"/>
      <c r="F449" s="289">
        <v>649000</v>
      </c>
    </row>
    <row r="450" spans="1:6" x14ac:dyDescent="0.25">
      <c r="A450" s="232">
        <v>45798</v>
      </c>
      <c r="B450" s="9" t="s">
        <v>4003</v>
      </c>
      <c r="C450" s="112" t="s">
        <v>3529</v>
      </c>
      <c r="D450" s="43" t="s">
        <v>4006</v>
      </c>
      <c r="E450" s="282"/>
      <c r="F450" s="289">
        <v>2900</v>
      </c>
    </row>
    <row r="451" spans="1:6" x14ac:dyDescent="0.25">
      <c r="A451" s="232">
        <v>45800</v>
      </c>
      <c r="B451" s="9" t="s">
        <v>478</v>
      </c>
      <c r="C451" s="112" t="s">
        <v>3529</v>
      </c>
      <c r="D451" s="43" t="s">
        <v>4007</v>
      </c>
      <c r="E451" s="282"/>
      <c r="F451" s="289">
        <v>100000</v>
      </c>
    </row>
    <row r="452" spans="1:6" x14ac:dyDescent="0.25">
      <c r="A452" s="232">
        <v>45805</v>
      </c>
      <c r="B452" s="9" t="s">
        <v>4008</v>
      </c>
      <c r="C452" s="112" t="s">
        <v>3529</v>
      </c>
      <c r="D452" s="43" t="s">
        <v>4009</v>
      </c>
      <c r="E452" s="282"/>
      <c r="F452" s="289">
        <v>5200000</v>
      </c>
    </row>
    <row r="453" spans="1:6" x14ac:dyDescent="0.25">
      <c r="A453" s="232">
        <v>45805</v>
      </c>
      <c r="B453" s="9" t="s">
        <v>4008</v>
      </c>
      <c r="C453" s="112" t="s">
        <v>3529</v>
      </c>
      <c r="D453" s="43" t="s">
        <v>4010</v>
      </c>
      <c r="E453" s="282"/>
      <c r="F453" s="289">
        <v>572000</v>
      </c>
    </row>
    <row r="454" spans="1:6" x14ac:dyDescent="0.25">
      <c r="A454" s="232">
        <v>45805</v>
      </c>
      <c r="B454" s="9" t="s">
        <v>4008</v>
      </c>
      <c r="C454" s="112" t="s">
        <v>3529</v>
      </c>
      <c r="D454" s="43" t="s">
        <v>4011</v>
      </c>
      <c r="E454" s="282"/>
      <c r="F454" s="289">
        <v>-104000</v>
      </c>
    </row>
    <row r="455" spans="1:6" x14ac:dyDescent="0.25">
      <c r="A455" s="232">
        <v>45805</v>
      </c>
      <c r="B455" s="9" t="s">
        <v>4008</v>
      </c>
      <c r="C455" s="112" t="s">
        <v>3529</v>
      </c>
      <c r="D455" s="43" t="s">
        <v>4012</v>
      </c>
      <c r="E455" s="282"/>
      <c r="F455" s="289">
        <v>2900</v>
      </c>
    </row>
    <row r="456" spans="1:6" x14ac:dyDescent="0.25">
      <c r="A456" s="232">
        <v>45819</v>
      </c>
      <c r="B456" s="9" t="s">
        <v>4013</v>
      </c>
      <c r="C456" s="142" t="s">
        <v>3529</v>
      </c>
      <c r="D456" s="43" t="s">
        <v>4014</v>
      </c>
      <c r="E456" s="282">
        <v>1500000000</v>
      </c>
      <c r="F456" s="289"/>
    </row>
    <row r="457" spans="1:6" x14ac:dyDescent="0.25">
      <c r="A457" s="232">
        <v>45826</v>
      </c>
      <c r="B457" s="9" t="s">
        <v>4015</v>
      </c>
      <c r="C457" s="112" t="s">
        <v>3529</v>
      </c>
      <c r="D457" s="26" t="s">
        <v>4016</v>
      </c>
      <c r="E457" s="282"/>
      <c r="F457" s="289">
        <v>6300000</v>
      </c>
    </row>
    <row r="458" spans="1:6" x14ac:dyDescent="0.25">
      <c r="A458" s="232">
        <v>45826</v>
      </c>
      <c r="B458" s="9" t="s">
        <v>4015</v>
      </c>
      <c r="C458" s="112" t="s">
        <v>3529</v>
      </c>
      <c r="D458" s="26" t="s">
        <v>4017</v>
      </c>
      <c r="E458" s="282"/>
      <c r="F458" s="289">
        <v>693000</v>
      </c>
    </row>
    <row r="459" spans="1:6" x14ac:dyDescent="0.25">
      <c r="A459" s="232">
        <v>45826</v>
      </c>
      <c r="B459" s="9" t="s">
        <v>4015</v>
      </c>
      <c r="C459" s="112" t="s">
        <v>3529</v>
      </c>
      <c r="D459" s="26" t="s">
        <v>4018</v>
      </c>
      <c r="E459" s="282"/>
      <c r="F459" s="289">
        <v>2900</v>
      </c>
    </row>
    <row r="460" spans="1:6" x14ac:dyDescent="0.25">
      <c r="A460" s="232">
        <v>45833</v>
      </c>
      <c r="B460" s="9" t="s">
        <v>4019</v>
      </c>
      <c r="C460" s="112" t="s">
        <v>3529</v>
      </c>
      <c r="D460" s="93" t="s">
        <v>4020</v>
      </c>
      <c r="E460" s="282"/>
      <c r="F460" s="289">
        <v>56050000</v>
      </c>
    </row>
    <row r="461" spans="1:6" x14ac:dyDescent="0.25">
      <c r="A461" s="232">
        <v>45833</v>
      </c>
      <c r="B461" s="9" t="s">
        <v>4019</v>
      </c>
      <c r="C461" s="112" t="s">
        <v>3529</v>
      </c>
      <c r="D461" s="93" t="s">
        <v>4021</v>
      </c>
      <c r="E461" s="282"/>
      <c r="F461" s="289">
        <v>6165500</v>
      </c>
    </row>
    <row r="462" spans="1:6" x14ac:dyDescent="0.25">
      <c r="A462" s="232">
        <v>45833</v>
      </c>
      <c r="B462" s="9" t="s">
        <v>4019</v>
      </c>
      <c r="C462" s="112" t="s">
        <v>3529</v>
      </c>
      <c r="D462" s="93" t="s">
        <v>4022</v>
      </c>
      <c r="E462" s="282"/>
      <c r="F462" s="289">
        <v>2900</v>
      </c>
    </row>
    <row r="463" spans="1:6" x14ac:dyDescent="0.25">
      <c r="A463" s="232">
        <v>45840</v>
      </c>
      <c r="B463" s="9" t="s">
        <v>4023</v>
      </c>
      <c r="C463" s="112" t="s">
        <v>3529</v>
      </c>
      <c r="D463" s="28" t="s">
        <v>4024</v>
      </c>
      <c r="E463" s="282">
        <v>533934580</v>
      </c>
      <c r="F463" s="299"/>
    </row>
    <row r="464" spans="1:6" x14ac:dyDescent="0.25">
      <c r="A464" s="232">
        <v>45845</v>
      </c>
      <c r="B464" s="9" t="s">
        <v>4025</v>
      </c>
      <c r="C464" s="112" t="s">
        <v>3529</v>
      </c>
      <c r="D464" s="17" t="s">
        <v>4026</v>
      </c>
      <c r="E464" s="282">
        <v>2000000000</v>
      </c>
      <c r="F464" s="289"/>
    </row>
    <row r="465" spans="1:6" x14ac:dyDescent="0.25">
      <c r="A465" s="232">
        <v>45854</v>
      </c>
      <c r="B465" s="9" t="s">
        <v>2266</v>
      </c>
      <c r="C465" s="112" t="s">
        <v>3529</v>
      </c>
      <c r="D465" s="17" t="s">
        <v>4027</v>
      </c>
      <c r="E465" s="282"/>
      <c r="F465" s="299">
        <v>249500</v>
      </c>
    </row>
    <row r="466" spans="1:6" x14ac:dyDescent="0.25">
      <c r="A466" s="232">
        <v>45854</v>
      </c>
      <c r="B466" s="9" t="s">
        <v>2266</v>
      </c>
      <c r="C466" s="112" t="s">
        <v>3529</v>
      </c>
      <c r="D466" s="17" t="s">
        <v>2268</v>
      </c>
      <c r="E466" s="282"/>
      <c r="F466" s="299">
        <v>2500</v>
      </c>
    </row>
    <row r="467" spans="1:6" x14ac:dyDescent="0.25">
      <c r="A467" s="230">
        <v>45861</v>
      </c>
      <c r="B467" s="11" t="s">
        <v>4028</v>
      </c>
      <c r="C467" s="112" t="s">
        <v>3788</v>
      </c>
      <c r="D467" s="12" t="s">
        <v>4029</v>
      </c>
      <c r="E467" s="282"/>
      <c r="F467" s="283">
        <v>1212000</v>
      </c>
    </row>
    <row r="468" spans="1:6" x14ac:dyDescent="0.25">
      <c r="A468" s="230">
        <v>45861</v>
      </c>
      <c r="B468" s="11" t="s">
        <v>4030</v>
      </c>
      <c r="C468" s="112" t="s">
        <v>3788</v>
      </c>
      <c r="D468" s="12" t="s">
        <v>4031</v>
      </c>
      <c r="E468" s="282"/>
      <c r="F468" s="283">
        <v>2614100</v>
      </c>
    </row>
    <row r="469" spans="1:6" x14ac:dyDescent="0.25">
      <c r="A469" s="230">
        <v>45953</v>
      </c>
      <c r="B469" s="11" t="s">
        <v>4992</v>
      </c>
      <c r="C469" s="112" t="s">
        <v>3529</v>
      </c>
      <c r="D469" s="156" t="s">
        <v>4993</v>
      </c>
      <c r="E469" s="282"/>
      <c r="F469" s="290">
        <v>162959632</v>
      </c>
    </row>
    <row r="470" spans="1:6" x14ac:dyDescent="0.25">
      <c r="A470" s="230">
        <v>45953</v>
      </c>
      <c r="B470" s="11" t="s">
        <v>4992</v>
      </c>
      <c r="C470" s="112" t="s">
        <v>3529</v>
      </c>
      <c r="D470" s="156" t="s">
        <v>4994</v>
      </c>
      <c r="E470" s="282"/>
      <c r="F470" s="290">
        <v>418875</v>
      </c>
    </row>
    <row r="471" spans="1:6" x14ac:dyDescent="0.25">
      <c r="A471" s="230">
        <v>45936</v>
      </c>
      <c r="B471" s="11" t="s">
        <v>4995</v>
      </c>
      <c r="C471" s="112" t="s">
        <v>3529</v>
      </c>
      <c r="D471" s="213" t="s">
        <v>4996</v>
      </c>
      <c r="E471" s="293"/>
      <c r="F471" s="289">
        <v>4302000</v>
      </c>
    </row>
    <row r="472" spans="1:6" x14ac:dyDescent="0.25">
      <c r="A472" s="230">
        <v>45936</v>
      </c>
      <c r="B472" s="11" t="s">
        <v>4995</v>
      </c>
      <c r="C472" s="112" t="s">
        <v>3529</v>
      </c>
      <c r="D472" s="213" t="s">
        <v>4997</v>
      </c>
      <c r="E472" s="293"/>
      <c r="F472" s="289">
        <v>19768212</v>
      </c>
    </row>
    <row r="473" spans="1:6" x14ac:dyDescent="0.25">
      <c r="A473" s="230">
        <v>45936</v>
      </c>
      <c r="B473" s="11" t="s">
        <v>4995</v>
      </c>
      <c r="C473" s="112" t="s">
        <v>3529</v>
      </c>
      <c r="D473" s="213" t="s">
        <v>4998</v>
      </c>
      <c r="E473" s="293"/>
      <c r="F473" s="289">
        <v>4492725</v>
      </c>
    </row>
    <row r="474" spans="1:6" x14ac:dyDescent="0.25">
      <c r="A474" s="230">
        <v>45936</v>
      </c>
      <c r="B474" s="11" t="s">
        <v>4995</v>
      </c>
      <c r="C474" s="112" t="s">
        <v>3529</v>
      </c>
      <c r="D474" s="213" t="s">
        <v>4999</v>
      </c>
      <c r="E474" s="293"/>
      <c r="F474" s="289">
        <v>904073</v>
      </c>
    </row>
    <row r="475" spans="1:6" x14ac:dyDescent="0.25">
      <c r="A475" s="230">
        <v>45936</v>
      </c>
      <c r="B475" s="11" t="s">
        <v>4995</v>
      </c>
      <c r="C475" s="112" t="s">
        <v>3529</v>
      </c>
      <c r="D475" s="213" t="s">
        <v>5000</v>
      </c>
      <c r="E475" s="293"/>
      <c r="F475" s="289">
        <v>99448</v>
      </c>
    </row>
    <row r="476" spans="1:6" x14ac:dyDescent="0.25">
      <c r="A476" s="230">
        <v>45936</v>
      </c>
      <c r="B476" s="11" t="s">
        <v>4995</v>
      </c>
      <c r="C476" s="112" t="s">
        <v>3529</v>
      </c>
      <c r="D476" s="213" t="s">
        <v>5001</v>
      </c>
      <c r="E476" s="293"/>
      <c r="F476" s="289">
        <v>-18081</v>
      </c>
    </row>
    <row r="477" spans="1:6" x14ac:dyDescent="0.25">
      <c r="A477" s="230">
        <v>45936</v>
      </c>
      <c r="B477" s="11" t="s">
        <v>4995</v>
      </c>
      <c r="C477" s="112" t="s">
        <v>3529</v>
      </c>
      <c r="D477" s="213" t="s">
        <v>185</v>
      </c>
      <c r="E477" s="293"/>
      <c r="F477" s="289">
        <v>2900</v>
      </c>
    </row>
    <row r="478" spans="1:6" x14ac:dyDescent="0.25">
      <c r="A478" s="230">
        <v>45938</v>
      </c>
      <c r="B478" s="11" t="s">
        <v>5002</v>
      </c>
      <c r="C478" s="112" t="s">
        <v>3529</v>
      </c>
      <c r="D478" s="213" t="s">
        <v>5003</v>
      </c>
      <c r="E478" s="293"/>
      <c r="F478" s="289">
        <v>110700000</v>
      </c>
    </row>
    <row r="479" spans="1:6" x14ac:dyDescent="0.25">
      <c r="A479" s="230">
        <v>45938</v>
      </c>
      <c r="B479" s="11" t="s">
        <v>5002</v>
      </c>
      <c r="C479" s="112" t="s">
        <v>3529</v>
      </c>
      <c r="D479" s="213" t="s">
        <v>5004</v>
      </c>
      <c r="E479" s="293"/>
      <c r="F479" s="289">
        <v>12177000</v>
      </c>
    </row>
    <row r="480" spans="1:6" x14ac:dyDescent="0.25">
      <c r="A480" s="230">
        <v>45938</v>
      </c>
      <c r="B480" s="11" t="s">
        <v>5002</v>
      </c>
      <c r="C480" s="112" t="s">
        <v>3529</v>
      </c>
      <c r="D480" s="213" t="s">
        <v>5005</v>
      </c>
      <c r="E480" s="293"/>
      <c r="F480" s="289">
        <v>2900</v>
      </c>
    </row>
    <row r="481" spans="1:6" x14ac:dyDescent="0.25">
      <c r="A481" s="230">
        <v>45952</v>
      </c>
      <c r="B481" s="11" t="s">
        <v>5006</v>
      </c>
      <c r="C481" s="112" t="s">
        <v>3529</v>
      </c>
      <c r="D481" s="213" t="s">
        <v>5007</v>
      </c>
      <c r="E481" s="293"/>
      <c r="F481" s="289">
        <v>14800700</v>
      </c>
    </row>
    <row r="482" spans="1:6" x14ac:dyDescent="0.25">
      <c r="A482" s="230">
        <v>45952</v>
      </c>
      <c r="B482" s="11" t="s">
        <v>5006</v>
      </c>
      <c r="C482" s="112" t="s">
        <v>3529</v>
      </c>
      <c r="D482" s="213" t="s">
        <v>5008</v>
      </c>
      <c r="E482" s="293"/>
      <c r="F482" s="289">
        <v>162808</v>
      </c>
    </row>
    <row r="483" spans="1:6" x14ac:dyDescent="0.25">
      <c r="A483" s="230">
        <v>45952</v>
      </c>
      <c r="B483" s="11" t="s">
        <v>5006</v>
      </c>
      <c r="C483" s="112" t="s">
        <v>3529</v>
      </c>
      <c r="D483" s="213" t="s">
        <v>5009</v>
      </c>
      <c r="E483" s="293"/>
      <c r="F483" s="289">
        <v>-296014</v>
      </c>
    </row>
    <row r="484" spans="1:6" x14ac:dyDescent="0.25">
      <c r="A484" s="230">
        <v>45952</v>
      </c>
      <c r="B484" s="11" t="s">
        <v>5006</v>
      </c>
      <c r="C484" s="112" t="s">
        <v>3529</v>
      </c>
      <c r="D484" s="213" t="s">
        <v>5010</v>
      </c>
      <c r="E484" s="293"/>
      <c r="F484" s="289">
        <v>2900</v>
      </c>
    </row>
    <row r="485" spans="1:6" x14ac:dyDescent="0.25">
      <c r="A485" s="230">
        <v>45975</v>
      </c>
      <c r="B485" s="253" t="s">
        <v>5401</v>
      </c>
      <c r="C485" s="262" t="s">
        <v>3529</v>
      </c>
      <c r="D485" s="254" t="s">
        <v>5402</v>
      </c>
      <c r="E485" s="310"/>
      <c r="F485" s="311">
        <v>40000</v>
      </c>
    </row>
    <row r="486" spans="1:6" ht="15.6" x14ac:dyDescent="0.3">
      <c r="A486" s="230">
        <v>46008</v>
      </c>
      <c r="B486" s="11" t="s">
        <v>5757</v>
      </c>
      <c r="C486" s="262" t="s">
        <v>5758</v>
      </c>
      <c r="D486" s="213" t="s">
        <v>5759</v>
      </c>
      <c r="E486" s="312"/>
      <c r="F486" s="311">
        <v>3106025</v>
      </c>
    </row>
    <row r="487" spans="1:6" ht="15.6" x14ac:dyDescent="0.3">
      <c r="A487" s="230">
        <v>46008</v>
      </c>
      <c r="B487" s="11" t="s">
        <v>5757</v>
      </c>
      <c r="C487" s="262" t="s">
        <v>5758</v>
      </c>
      <c r="D487" s="213" t="s">
        <v>5760</v>
      </c>
      <c r="E487" s="312"/>
      <c r="F487" s="311">
        <v>13667296</v>
      </c>
    </row>
    <row r="488" spans="1:6" ht="15.6" x14ac:dyDescent="0.3">
      <c r="A488" s="322">
        <v>46008</v>
      </c>
      <c r="B488" s="50" t="s">
        <v>5757</v>
      </c>
      <c r="C488" s="329" t="s">
        <v>5758</v>
      </c>
      <c r="D488" s="255" t="s">
        <v>5761</v>
      </c>
      <c r="E488" s="336"/>
      <c r="F488" s="337">
        <v>5917000</v>
      </c>
    </row>
  </sheetData>
  <autoFilter ref="A2:F2" xr:uid="{3D6ED688-D447-4691-8816-016B4D517EC4}"/>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ED688-D447-4691-8816-016B4D517EC4}">
  <dimension ref="A2:F741"/>
  <sheetViews>
    <sheetView workbookViewId="0">
      <pane xSplit="3" ySplit="2" topLeftCell="D728" activePane="bottomRight" state="frozen"/>
      <selection pane="topRight" activeCell="D1" sqref="D1"/>
      <selection pane="bottomLeft" activeCell="A3" sqref="A3"/>
      <selection pane="bottomRight" activeCell="D736" sqref="D736"/>
    </sheetView>
  </sheetViews>
  <sheetFormatPr defaultRowHeight="15" x14ac:dyDescent="0.25"/>
  <cols>
    <col min="1" max="3" width="13.88671875" style="103" customWidth="1"/>
    <col min="4" max="4" width="111.21875" style="103" customWidth="1"/>
    <col min="5" max="6" width="18.88671875" style="314" customWidth="1"/>
    <col min="7" max="16384" width="8.88671875" style="103"/>
  </cols>
  <sheetData>
    <row r="2" spans="1:6" ht="15.6" x14ac:dyDescent="0.25">
      <c r="A2" s="319" t="s">
        <v>0</v>
      </c>
      <c r="B2" s="102" t="s">
        <v>1</v>
      </c>
      <c r="C2" s="109" t="s">
        <v>2</v>
      </c>
      <c r="D2" s="102" t="s">
        <v>3</v>
      </c>
      <c r="E2" s="320" t="s">
        <v>4</v>
      </c>
      <c r="F2" s="179" t="s">
        <v>5</v>
      </c>
    </row>
    <row r="3" spans="1:6" x14ac:dyDescent="0.25">
      <c r="A3" s="338">
        <v>45449</v>
      </c>
      <c r="B3" s="114">
        <v>215</v>
      </c>
      <c r="C3" s="110" t="s">
        <v>6</v>
      </c>
      <c r="D3" s="342" t="s">
        <v>7</v>
      </c>
      <c r="E3" s="346"/>
      <c r="F3" s="347">
        <v>29916220</v>
      </c>
    </row>
    <row r="4" spans="1:6" x14ac:dyDescent="0.25">
      <c r="A4" s="270">
        <v>45537</v>
      </c>
      <c r="B4" s="106" t="s">
        <v>8</v>
      </c>
      <c r="C4" s="111" t="s">
        <v>6</v>
      </c>
      <c r="D4" s="65" t="s">
        <v>9</v>
      </c>
      <c r="E4" s="286"/>
      <c r="F4" s="287">
        <v>18037500</v>
      </c>
    </row>
    <row r="5" spans="1:6" x14ac:dyDescent="0.25">
      <c r="A5" s="270">
        <v>45537</v>
      </c>
      <c r="B5" s="106" t="s">
        <v>8</v>
      </c>
      <c r="C5" s="111" t="s">
        <v>6</v>
      </c>
      <c r="D5" s="65" t="s">
        <v>10</v>
      </c>
      <c r="E5" s="286"/>
      <c r="F5" s="287">
        <v>6962500</v>
      </c>
    </row>
    <row r="6" spans="1:6" x14ac:dyDescent="0.25">
      <c r="A6" s="270">
        <v>45558</v>
      </c>
      <c r="B6" s="106" t="s">
        <v>11</v>
      </c>
      <c r="C6" s="111" t="s">
        <v>6</v>
      </c>
      <c r="D6" s="65" t="s">
        <v>12</v>
      </c>
      <c r="E6" s="286"/>
      <c r="F6" s="287">
        <v>3090000</v>
      </c>
    </row>
    <row r="7" spans="1:6" x14ac:dyDescent="0.25">
      <c r="A7" s="270">
        <v>45558</v>
      </c>
      <c r="B7" s="106" t="s">
        <v>11</v>
      </c>
      <c r="C7" s="111" t="s">
        <v>6</v>
      </c>
      <c r="D7" s="65" t="s">
        <v>13</v>
      </c>
      <c r="E7" s="286"/>
      <c r="F7" s="287">
        <v>910000</v>
      </c>
    </row>
    <row r="8" spans="1:6" x14ac:dyDescent="0.25">
      <c r="A8" s="230">
        <v>45630</v>
      </c>
      <c r="B8" s="11" t="s">
        <v>14</v>
      </c>
      <c r="C8" s="112" t="s">
        <v>6</v>
      </c>
      <c r="D8" s="17" t="s">
        <v>15</v>
      </c>
      <c r="E8" s="282"/>
      <c r="F8" s="283">
        <v>701779500</v>
      </c>
    </row>
    <row r="9" spans="1:6" x14ac:dyDescent="0.25">
      <c r="A9" s="230">
        <v>45441</v>
      </c>
      <c r="B9" s="11" t="s">
        <v>27</v>
      </c>
      <c r="C9" s="112" t="s">
        <v>6</v>
      </c>
      <c r="D9" s="17" t="s">
        <v>28</v>
      </c>
      <c r="E9" s="282"/>
      <c r="F9" s="290">
        <v>60000000</v>
      </c>
    </row>
    <row r="10" spans="1:6" x14ac:dyDescent="0.25">
      <c r="A10" s="230">
        <v>45441</v>
      </c>
      <c r="B10" s="11" t="s">
        <v>27</v>
      </c>
      <c r="C10" s="112" t="s">
        <v>6</v>
      </c>
      <c r="D10" s="17" t="s">
        <v>29</v>
      </c>
      <c r="E10" s="282"/>
      <c r="F10" s="290">
        <v>2900</v>
      </c>
    </row>
    <row r="11" spans="1:6" x14ac:dyDescent="0.25">
      <c r="A11" s="230">
        <v>45457</v>
      </c>
      <c r="B11" s="11" t="s">
        <v>30</v>
      </c>
      <c r="C11" s="113" t="s">
        <v>6</v>
      </c>
      <c r="D11" s="12" t="s">
        <v>31</v>
      </c>
      <c r="E11" s="282"/>
      <c r="F11" s="290">
        <v>104900</v>
      </c>
    </row>
    <row r="12" spans="1:6" x14ac:dyDescent="0.25">
      <c r="A12" s="230">
        <v>45457</v>
      </c>
      <c r="B12" s="11" t="s">
        <v>32</v>
      </c>
      <c r="C12" s="113" t="s">
        <v>6</v>
      </c>
      <c r="D12" s="12" t="s">
        <v>33</v>
      </c>
      <c r="E12" s="291"/>
      <c r="F12" s="292">
        <v>2757792</v>
      </c>
    </row>
    <row r="13" spans="1:6" x14ac:dyDescent="0.25">
      <c r="A13" s="230">
        <v>45457</v>
      </c>
      <c r="B13" s="11" t="s">
        <v>32</v>
      </c>
      <c r="C13" s="113" t="s">
        <v>6</v>
      </c>
      <c r="D13" s="12" t="s">
        <v>34</v>
      </c>
      <c r="E13" s="282"/>
      <c r="F13" s="290">
        <v>950000</v>
      </c>
    </row>
    <row r="14" spans="1:6" x14ac:dyDescent="0.25">
      <c r="A14" s="230">
        <v>45457</v>
      </c>
      <c r="B14" s="11" t="s">
        <v>32</v>
      </c>
      <c r="C14" s="113" t="s">
        <v>6</v>
      </c>
      <c r="D14" s="12" t="s">
        <v>35</v>
      </c>
      <c r="E14" s="282"/>
      <c r="F14" s="290">
        <v>378645</v>
      </c>
    </row>
    <row r="15" spans="1:6" x14ac:dyDescent="0.25">
      <c r="A15" s="230">
        <v>45464</v>
      </c>
      <c r="B15" s="11" t="s">
        <v>36</v>
      </c>
      <c r="C15" s="113" t="s">
        <v>6</v>
      </c>
      <c r="D15" s="12" t="s">
        <v>37</v>
      </c>
      <c r="E15" s="282"/>
      <c r="F15" s="290">
        <v>135000</v>
      </c>
    </row>
    <row r="16" spans="1:6" x14ac:dyDescent="0.25">
      <c r="A16" s="230">
        <v>45464</v>
      </c>
      <c r="B16" s="11" t="s">
        <v>36</v>
      </c>
      <c r="C16" s="113" t="s">
        <v>6</v>
      </c>
      <c r="D16" s="12" t="s">
        <v>38</v>
      </c>
      <c r="E16" s="282"/>
      <c r="F16" s="290">
        <v>155000</v>
      </c>
    </row>
    <row r="17" spans="1:6" x14ac:dyDescent="0.25">
      <c r="A17" s="230">
        <v>45464</v>
      </c>
      <c r="B17" s="11" t="s">
        <v>36</v>
      </c>
      <c r="C17" s="113" t="s">
        <v>6</v>
      </c>
      <c r="D17" s="12" t="s">
        <v>39</v>
      </c>
      <c r="E17" s="282"/>
      <c r="F17" s="290">
        <v>22000</v>
      </c>
    </row>
    <row r="18" spans="1:6" x14ac:dyDescent="0.25">
      <c r="A18" s="230">
        <v>45464</v>
      </c>
      <c r="B18" s="11" t="s">
        <v>40</v>
      </c>
      <c r="C18" s="113" t="s">
        <v>6</v>
      </c>
      <c r="D18" s="12" t="s">
        <v>41</v>
      </c>
      <c r="E18" s="282"/>
      <c r="F18" s="290">
        <v>961082</v>
      </c>
    </row>
    <row r="19" spans="1:6" x14ac:dyDescent="0.25">
      <c r="A19" s="230">
        <v>45488</v>
      </c>
      <c r="B19" s="11" t="s">
        <v>42</v>
      </c>
      <c r="C19" s="112" t="s">
        <v>6</v>
      </c>
      <c r="D19" s="12" t="s">
        <v>43</v>
      </c>
      <c r="E19" s="282"/>
      <c r="F19" s="290">
        <v>116219475</v>
      </c>
    </row>
    <row r="20" spans="1:6" x14ac:dyDescent="0.25">
      <c r="A20" s="230">
        <v>45488</v>
      </c>
      <c r="B20" s="11" t="s">
        <v>42</v>
      </c>
      <c r="C20" s="112" t="s">
        <v>6</v>
      </c>
      <c r="D20" s="12" t="s">
        <v>44</v>
      </c>
      <c r="E20" s="282"/>
      <c r="F20" s="290">
        <v>12784142</v>
      </c>
    </row>
    <row r="21" spans="1:6" x14ac:dyDescent="0.25">
      <c r="A21" s="230">
        <v>45488</v>
      </c>
      <c r="B21" s="11" t="s">
        <v>42</v>
      </c>
      <c r="C21" s="112" t="s">
        <v>6</v>
      </c>
      <c r="D21" s="12" t="s">
        <v>45</v>
      </c>
      <c r="E21" s="282"/>
      <c r="F21" s="290">
        <v>2900</v>
      </c>
    </row>
    <row r="22" spans="1:6" x14ac:dyDescent="0.25">
      <c r="A22" s="230">
        <v>45490</v>
      </c>
      <c r="B22" s="11" t="s">
        <v>46</v>
      </c>
      <c r="C22" s="113" t="s">
        <v>6</v>
      </c>
      <c r="D22" s="12" t="s">
        <v>47</v>
      </c>
      <c r="E22" s="282"/>
      <c r="F22" s="290">
        <v>6307151</v>
      </c>
    </row>
    <row r="23" spans="1:6" x14ac:dyDescent="0.25">
      <c r="A23" s="230">
        <v>45490</v>
      </c>
      <c r="B23" s="11" t="s">
        <v>46</v>
      </c>
      <c r="C23" s="113" t="s">
        <v>6</v>
      </c>
      <c r="D23" s="12" t="s">
        <v>48</v>
      </c>
      <c r="E23" s="282"/>
      <c r="F23" s="290">
        <v>1226031</v>
      </c>
    </row>
    <row r="24" spans="1:6" x14ac:dyDescent="0.25">
      <c r="A24" s="230">
        <v>45490</v>
      </c>
      <c r="B24" s="11" t="s">
        <v>46</v>
      </c>
      <c r="C24" s="113" t="s">
        <v>6</v>
      </c>
      <c r="D24" s="12" t="s">
        <v>49</v>
      </c>
      <c r="E24" s="282"/>
      <c r="F24" s="290">
        <v>500000</v>
      </c>
    </row>
    <row r="25" spans="1:6" x14ac:dyDescent="0.25">
      <c r="A25" s="230">
        <v>45490</v>
      </c>
      <c r="B25" s="11" t="s">
        <v>46</v>
      </c>
      <c r="C25" s="113" t="s">
        <v>6</v>
      </c>
      <c r="D25" s="12" t="s">
        <v>50</v>
      </c>
      <c r="E25" s="282"/>
      <c r="F25" s="290">
        <v>2500</v>
      </c>
    </row>
    <row r="26" spans="1:6" x14ac:dyDescent="0.25">
      <c r="A26" s="230">
        <v>45497</v>
      </c>
      <c r="B26" s="11" t="s">
        <v>51</v>
      </c>
      <c r="C26" s="113" t="s">
        <v>6</v>
      </c>
      <c r="D26" s="16" t="s">
        <v>52</v>
      </c>
      <c r="E26" s="282"/>
      <c r="F26" s="290">
        <v>2250000</v>
      </c>
    </row>
    <row r="27" spans="1:6" x14ac:dyDescent="0.25">
      <c r="A27" s="230">
        <v>45497</v>
      </c>
      <c r="B27" s="11" t="s">
        <v>51</v>
      </c>
      <c r="C27" s="113" t="s">
        <v>6</v>
      </c>
      <c r="D27" s="16" t="s">
        <v>50</v>
      </c>
      <c r="E27" s="282"/>
      <c r="F27" s="290">
        <v>2500</v>
      </c>
    </row>
    <row r="28" spans="1:6" x14ac:dyDescent="0.25">
      <c r="A28" s="230">
        <v>45497</v>
      </c>
      <c r="B28" s="11" t="s">
        <v>53</v>
      </c>
      <c r="C28" s="112" t="s">
        <v>6</v>
      </c>
      <c r="D28" s="12" t="s">
        <v>54</v>
      </c>
      <c r="E28" s="282"/>
      <c r="F28" s="290">
        <v>37500000</v>
      </c>
    </row>
    <row r="29" spans="1:6" x14ac:dyDescent="0.25">
      <c r="A29" s="230">
        <v>45497</v>
      </c>
      <c r="B29" s="11" t="s">
        <v>53</v>
      </c>
      <c r="C29" s="112" t="s">
        <v>6</v>
      </c>
      <c r="D29" s="12" t="s">
        <v>55</v>
      </c>
      <c r="E29" s="282"/>
      <c r="F29" s="290">
        <v>4125000</v>
      </c>
    </row>
    <row r="30" spans="1:6" x14ac:dyDescent="0.25">
      <c r="A30" s="230">
        <v>45497</v>
      </c>
      <c r="B30" s="11" t="s">
        <v>53</v>
      </c>
      <c r="C30" s="112" t="s">
        <v>6</v>
      </c>
      <c r="D30" s="12" t="s">
        <v>56</v>
      </c>
      <c r="E30" s="282"/>
      <c r="F30" s="290">
        <v>2900</v>
      </c>
    </row>
    <row r="31" spans="1:6" x14ac:dyDescent="0.25">
      <c r="A31" s="230">
        <v>45511</v>
      </c>
      <c r="B31" s="11" t="s">
        <v>57</v>
      </c>
      <c r="C31" s="112" t="s">
        <v>6</v>
      </c>
      <c r="D31" s="12" t="s">
        <v>58</v>
      </c>
      <c r="E31" s="282"/>
      <c r="F31" s="290">
        <v>21124968</v>
      </c>
    </row>
    <row r="32" spans="1:6" x14ac:dyDescent="0.25">
      <c r="A32" s="230">
        <v>45511</v>
      </c>
      <c r="B32" s="11" t="s">
        <v>57</v>
      </c>
      <c r="C32" s="112" t="s">
        <v>6</v>
      </c>
      <c r="D32" s="12" t="s">
        <v>59</v>
      </c>
      <c r="E32" s="282"/>
      <c r="F32" s="290">
        <v>406750</v>
      </c>
    </row>
    <row r="33" spans="1:6" x14ac:dyDescent="0.25">
      <c r="A33" s="230">
        <v>45526</v>
      </c>
      <c r="B33" s="11" t="s">
        <v>60</v>
      </c>
      <c r="C33" s="112" t="s">
        <v>6</v>
      </c>
      <c r="D33" s="12" t="s">
        <v>61</v>
      </c>
      <c r="E33" s="282"/>
      <c r="F33" s="290">
        <v>150000</v>
      </c>
    </row>
    <row r="34" spans="1:6" x14ac:dyDescent="0.25">
      <c r="A34" s="230">
        <v>45526</v>
      </c>
      <c r="B34" s="11" t="s">
        <v>60</v>
      </c>
      <c r="C34" s="112" t="s">
        <v>6</v>
      </c>
      <c r="D34" s="12" t="s">
        <v>62</v>
      </c>
      <c r="E34" s="282"/>
      <c r="F34" s="290">
        <v>1175320</v>
      </c>
    </row>
    <row r="35" spans="1:6" x14ac:dyDescent="0.25">
      <c r="A35" s="230">
        <v>45526</v>
      </c>
      <c r="B35" s="11" t="s">
        <v>60</v>
      </c>
      <c r="C35" s="112" t="s">
        <v>6</v>
      </c>
      <c r="D35" s="17" t="s">
        <v>63</v>
      </c>
      <c r="E35" s="282"/>
      <c r="F35" s="290">
        <v>3796000</v>
      </c>
    </row>
    <row r="36" spans="1:6" x14ac:dyDescent="0.25">
      <c r="A36" s="230">
        <v>45527</v>
      </c>
      <c r="B36" s="11" t="s">
        <v>64</v>
      </c>
      <c r="C36" s="113" t="s">
        <v>6</v>
      </c>
      <c r="D36" s="16" t="s">
        <v>65</v>
      </c>
      <c r="E36" s="282"/>
      <c r="F36" s="290">
        <v>246000</v>
      </c>
    </row>
    <row r="37" spans="1:6" x14ac:dyDescent="0.25">
      <c r="A37" s="230">
        <v>45639</v>
      </c>
      <c r="B37" s="11" t="s">
        <v>66</v>
      </c>
      <c r="C37" s="113" t="s">
        <v>6</v>
      </c>
      <c r="D37" s="12" t="s">
        <v>67</v>
      </c>
      <c r="E37" s="282"/>
      <c r="F37" s="290">
        <v>236500</v>
      </c>
    </row>
    <row r="38" spans="1:6" x14ac:dyDescent="0.25">
      <c r="A38" s="230">
        <v>45639</v>
      </c>
      <c r="B38" s="11" t="s">
        <v>66</v>
      </c>
      <c r="C38" s="113" t="s">
        <v>6</v>
      </c>
      <c r="D38" s="12" t="s">
        <v>68</v>
      </c>
      <c r="E38" s="282"/>
      <c r="F38" s="290">
        <v>1542665</v>
      </c>
    </row>
    <row r="39" spans="1:6" x14ac:dyDescent="0.25">
      <c r="A39" s="230">
        <v>45639</v>
      </c>
      <c r="B39" s="11" t="s">
        <v>66</v>
      </c>
      <c r="C39" s="113" t="s">
        <v>6</v>
      </c>
      <c r="D39" s="12" t="s">
        <v>69</v>
      </c>
      <c r="E39" s="282"/>
      <c r="F39" s="290">
        <v>602500</v>
      </c>
    </row>
    <row r="40" spans="1:6" x14ac:dyDescent="0.25">
      <c r="A40" s="230">
        <v>45649</v>
      </c>
      <c r="B40" s="11" t="s">
        <v>70</v>
      </c>
      <c r="C40" s="112" t="s">
        <v>6</v>
      </c>
      <c r="D40" s="12" t="s">
        <v>71</v>
      </c>
      <c r="E40" s="282"/>
      <c r="F40" s="290">
        <v>44456240</v>
      </c>
    </row>
    <row r="41" spans="1:6" x14ac:dyDescent="0.25">
      <c r="A41" s="230">
        <v>45649</v>
      </c>
      <c r="B41" s="11" t="s">
        <v>70</v>
      </c>
      <c r="C41" s="112" t="s">
        <v>6</v>
      </c>
      <c r="D41" s="12" t="s">
        <v>72</v>
      </c>
      <c r="E41" s="282"/>
      <c r="F41" s="290">
        <v>408125</v>
      </c>
    </row>
    <row r="42" spans="1:6" x14ac:dyDescent="0.25">
      <c r="A42" s="230">
        <v>45420</v>
      </c>
      <c r="B42" s="11" t="s">
        <v>73</v>
      </c>
      <c r="C42" s="112" t="s">
        <v>6</v>
      </c>
      <c r="D42" s="17" t="s">
        <v>74</v>
      </c>
      <c r="E42" s="282"/>
      <c r="F42" s="290">
        <v>60135000</v>
      </c>
    </row>
    <row r="43" spans="1:6" x14ac:dyDescent="0.25">
      <c r="A43" s="230">
        <v>45450</v>
      </c>
      <c r="B43" s="11" t="s">
        <v>75</v>
      </c>
      <c r="C43" s="112" t="s">
        <v>6</v>
      </c>
      <c r="D43" s="12" t="s">
        <v>35</v>
      </c>
      <c r="E43" s="282"/>
      <c r="F43" s="290">
        <v>983856</v>
      </c>
    </row>
    <row r="44" spans="1:6" x14ac:dyDescent="0.25">
      <c r="A44" s="230">
        <v>45450</v>
      </c>
      <c r="B44" s="11" t="s">
        <v>75</v>
      </c>
      <c r="C44" s="112" t="s">
        <v>6</v>
      </c>
      <c r="D44" s="12" t="s">
        <v>76</v>
      </c>
      <c r="E44" s="282"/>
      <c r="F44" s="290">
        <v>4229301</v>
      </c>
    </row>
    <row r="45" spans="1:6" x14ac:dyDescent="0.25">
      <c r="A45" s="230">
        <v>45511</v>
      </c>
      <c r="B45" s="11" t="s">
        <v>77</v>
      </c>
      <c r="C45" s="112" t="s">
        <v>6</v>
      </c>
      <c r="D45" s="12" t="s">
        <v>78</v>
      </c>
      <c r="E45" s="282"/>
      <c r="F45" s="290">
        <v>85000000</v>
      </c>
    </row>
    <row r="46" spans="1:6" x14ac:dyDescent="0.25">
      <c r="A46" s="230">
        <v>45511</v>
      </c>
      <c r="B46" s="11" t="s">
        <v>77</v>
      </c>
      <c r="C46" s="112" t="s">
        <v>6</v>
      </c>
      <c r="D46" s="12" t="s">
        <v>79</v>
      </c>
      <c r="E46" s="282"/>
      <c r="F46" s="290">
        <v>9350000</v>
      </c>
    </row>
    <row r="47" spans="1:6" x14ac:dyDescent="0.25">
      <c r="A47" s="230">
        <v>45511</v>
      </c>
      <c r="B47" s="11" t="s">
        <v>77</v>
      </c>
      <c r="C47" s="112" t="s">
        <v>6</v>
      </c>
      <c r="D47" s="12" t="s">
        <v>80</v>
      </c>
      <c r="E47" s="282"/>
      <c r="F47" s="290">
        <v>2900</v>
      </c>
    </row>
    <row r="48" spans="1:6" x14ac:dyDescent="0.25">
      <c r="A48" s="271">
        <v>45552</v>
      </c>
      <c r="B48" s="15" t="s">
        <v>81</v>
      </c>
      <c r="C48" s="113" t="s">
        <v>6</v>
      </c>
      <c r="D48" s="12" t="s">
        <v>82</v>
      </c>
      <c r="E48" s="291"/>
      <c r="F48" s="292">
        <v>21335416.670000002</v>
      </c>
    </row>
    <row r="49" spans="1:6" x14ac:dyDescent="0.25">
      <c r="A49" s="230">
        <v>45554</v>
      </c>
      <c r="B49" s="11" t="s">
        <v>83</v>
      </c>
      <c r="C49" s="113" t="s">
        <v>6</v>
      </c>
      <c r="D49" s="12" t="s">
        <v>84</v>
      </c>
      <c r="E49" s="282"/>
      <c r="F49" s="290">
        <v>27500000</v>
      </c>
    </row>
    <row r="50" spans="1:6" x14ac:dyDescent="0.25">
      <c r="A50" s="230">
        <v>45554</v>
      </c>
      <c r="B50" s="11" t="s">
        <v>83</v>
      </c>
      <c r="C50" s="113" t="s">
        <v>6</v>
      </c>
      <c r="D50" s="12" t="s">
        <v>85</v>
      </c>
      <c r="E50" s="282"/>
      <c r="F50" s="290">
        <v>14025000</v>
      </c>
    </row>
    <row r="51" spans="1:6" x14ac:dyDescent="0.25">
      <c r="A51" s="230">
        <v>45554</v>
      </c>
      <c r="B51" s="11" t="s">
        <v>83</v>
      </c>
      <c r="C51" s="113" t="s">
        <v>6</v>
      </c>
      <c r="D51" s="12" t="s">
        <v>86</v>
      </c>
      <c r="E51" s="282"/>
      <c r="F51" s="290">
        <v>2900</v>
      </c>
    </row>
    <row r="52" spans="1:6" x14ac:dyDescent="0.25">
      <c r="A52" s="230">
        <v>45554</v>
      </c>
      <c r="B52" s="11" t="s">
        <v>87</v>
      </c>
      <c r="C52" s="113" t="s">
        <v>6</v>
      </c>
      <c r="D52" s="16" t="s">
        <v>88</v>
      </c>
      <c r="E52" s="282"/>
      <c r="F52" s="290">
        <v>15572000</v>
      </c>
    </row>
    <row r="53" spans="1:6" x14ac:dyDescent="0.25">
      <c r="A53" s="230">
        <v>45554</v>
      </c>
      <c r="B53" s="11" t="s">
        <v>87</v>
      </c>
      <c r="C53" s="113" t="s">
        <v>6</v>
      </c>
      <c r="D53" s="12" t="s">
        <v>89</v>
      </c>
      <c r="E53" s="282"/>
      <c r="F53" s="290">
        <v>1712920</v>
      </c>
    </row>
    <row r="54" spans="1:6" x14ac:dyDescent="0.25">
      <c r="A54" s="230">
        <v>45554</v>
      </c>
      <c r="B54" s="11" t="s">
        <v>87</v>
      </c>
      <c r="C54" s="113" t="s">
        <v>6</v>
      </c>
      <c r="D54" s="12" t="s">
        <v>90</v>
      </c>
      <c r="E54" s="282"/>
      <c r="F54" s="290">
        <v>2900</v>
      </c>
    </row>
    <row r="55" spans="1:6" x14ac:dyDescent="0.25">
      <c r="A55" s="230">
        <v>45560</v>
      </c>
      <c r="B55" s="11" t="s">
        <v>91</v>
      </c>
      <c r="C55" s="113" t="s">
        <v>6</v>
      </c>
      <c r="D55" s="12" t="s">
        <v>92</v>
      </c>
      <c r="E55" s="282"/>
      <c r="F55" s="290">
        <v>100000000</v>
      </c>
    </row>
    <row r="56" spans="1:6" x14ac:dyDescent="0.25">
      <c r="A56" s="230">
        <v>45560</v>
      </c>
      <c r="B56" s="11" t="s">
        <v>91</v>
      </c>
      <c r="C56" s="113" t="s">
        <v>6</v>
      </c>
      <c r="D56" s="12" t="s">
        <v>93</v>
      </c>
      <c r="E56" s="282"/>
      <c r="F56" s="290">
        <v>2900</v>
      </c>
    </row>
    <row r="57" spans="1:6" x14ac:dyDescent="0.25">
      <c r="A57" s="230">
        <v>45562</v>
      </c>
      <c r="B57" s="11" t="s">
        <v>94</v>
      </c>
      <c r="C57" s="113" t="s">
        <v>6</v>
      </c>
      <c r="D57" s="12" t="s">
        <v>95</v>
      </c>
      <c r="E57" s="282"/>
      <c r="F57" s="285">
        <v>974229</v>
      </c>
    </row>
    <row r="58" spans="1:6" x14ac:dyDescent="0.25">
      <c r="A58" s="230">
        <v>45562</v>
      </c>
      <c r="B58" s="11" t="s">
        <v>94</v>
      </c>
      <c r="C58" s="113" t="s">
        <v>6</v>
      </c>
      <c r="D58" s="12" t="s">
        <v>96</v>
      </c>
      <c r="E58" s="282"/>
      <c r="F58" s="285">
        <v>424500</v>
      </c>
    </row>
    <row r="59" spans="1:6" x14ac:dyDescent="0.25">
      <c r="A59" s="230">
        <v>45562</v>
      </c>
      <c r="B59" s="11" t="s">
        <v>94</v>
      </c>
      <c r="C59" s="113" t="s">
        <v>6</v>
      </c>
      <c r="D59" s="12" t="s">
        <v>97</v>
      </c>
      <c r="E59" s="282"/>
      <c r="F59" s="285">
        <v>28000</v>
      </c>
    </row>
    <row r="60" spans="1:6" x14ac:dyDescent="0.25">
      <c r="A60" s="230">
        <v>45562</v>
      </c>
      <c r="B60" s="11" t="s">
        <v>94</v>
      </c>
      <c r="C60" s="113" t="s">
        <v>6</v>
      </c>
      <c r="D60" s="12" t="s">
        <v>98</v>
      </c>
      <c r="E60" s="282"/>
      <c r="F60" s="285">
        <v>6000</v>
      </c>
    </row>
    <row r="61" spans="1:6" x14ac:dyDescent="0.25">
      <c r="A61" s="230">
        <v>45562</v>
      </c>
      <c r="B61" s="11" t="s">
        <v>94</v>
      </c>
      <c r="C61" s="113" t="s">
        <v>6</v>
      </c>
      <c r="D61" s="12" t="s">
        <v>99</v>
      </c>
      <c r="E61" s="282"/>
      <c r="F61" s="285">
        <v>49000</v>
      </c>
    </row>
    <row r="62" spans="1:6" x14ac:dyDescent="0.25">
      <c r="A62" s="230">
        <v>45562</v>
      </c>
      <c r="B62" s="11" t="s">
        <v>94</v>
      </c>
      <c r="C62" s="113" t="s">
        <v>6</v>
      </c>
      <c r="D62" s="12" t="s">
        <v>100</v>
      </c>
      <c r="E62" s="282"/>
      <c r="F62" s="285">
        <v>369300</v>
      </c>
    </row>
    <row r="63" spans="1:6" x14ac:dyDescent="0.25">
      <c r="A63" s="230">
        <v>45574</v>
      </c>
      <c r="B63" s="11" t="s">
        <v>101</v>
      </c>
      <c r="C63" s="113" t="s">
        <v>6</v>
      </c>
      <c r="D63" s="12" t="s">
        <v>102</v>
      </c>
      <c r="E63" s="282"/>
      <c r="F63" s="290">
        <v>18000</v>
      </c>
    </row>
    <row r="64" spans="1:6" x14ac:dyDescent="0.25">
      <c r="A64" s="230">
        <v>45574</v>
      </c>
      <c r="B64" s="11" t="s">
        <v>103</v>
      </c>
      <c r="C64" s="113" t="s">
        <v>6</v>
      </c>
      <c r="D64" s="12" t="s">
        <v>104</v>
      </c>
      <c r="E64" s="282"/>
      <c r="F64" s="290">
        <v>141525000</v>
      </c>
    </row>
    <row r="65" spans="1:6" x14ac:dyDescent="0.25">
      <c r="A65" s="230">
        <v>45574</v>
      </c>
      <c r="B65" s="11" t="s">
        <v>103</v>
      </c>
      <c r="C65" s="113" t="s">
        <v>6</v>
      </c>
      <c r="D65" s="12" t="s">
        <v>105</v>
      </c>
      <c r="E65" s="282"/>
      <c r="F65" s="290">
        <v>2900</v>
      </c>
    </row>
    <row r="66" spans="1:6" x14ac:dyDescent="0.25">
      <c r="A66" s="230">
        <v>45574</v>
      </c>
      <c r="B66" s="11" t="s">
        <v>106</v>
      </c>
      <c r="C66" s="113" t="s">
        <v>6</v>
      </c>
      <c r="D66" s="12" t="s">
        <v>107</v>
      </c>
      <c r="E66" s="282"/>
      <c r="F66" s="290">
        <v>44046000</v>
      </c>
    </row>
    <row r="67" spans="1:6" x14ac:dyDescent="0.25">
      <c r="A67" s="230">
        <v>45574</v>
      </c>
      <c r="B67" s="11" t="s">
        <v>106</v>
      </c>
      <c r="C67" s="113" t="s">
        <v>6</v>
      </c>
      <c r="D67" s="12" t="s">
        <v>108</v>
      </c>
      <c r="E67" s="282"/>
      <c r="F67" s="290">
        <v>4845060</v>
      </c>
    </row>
    <row r="68" spans="1:6" x14ac:dyDescent="0.25">
      <c r="A68" s="230">
        <v>45574</v>
      </c>
      <c r="B68" s="11" t="s">
        <v>106</v>
      </c>
      <c r="C68" s="113" t="s">
        <v>6</v>
      </c>
      <c r="D68" s="12" t="s">
        <v>105</v>
      </c>
      <c r="E68" s="282"/>
      <c r="F68" s="290">
        <v>2900</v>
      </c>
    </row>
    <row r="69" spans="1:6" x14ac:dyDescent="0.25">
      <c r="A69" s="271">
        <v>45582</v>
      </c>
      <c r="B69" s="15" t="s">
        <v>109</v>
      </c>
      <c r="C69" s="113" t="s">
        <v>6</v>
      </c>
      <c r="D69" s="12" t="s">
        <v>82</v>
      </c>
      <c r="E69" s="291"/>
      <c r="F69" s="292">
        <v>21335416.670000002</v>
      </c>
    </row>
    <row r="70" spans="1:6" x14ac:dyDescent="0.25">
      <c r="A70" s="230">
        <v>45590</v>
      </c>
      <c r="B70" s="11" t="s">
        <v>110</v>
      </c>
      <c r="C70" s="113" t="s">
        <v>6</v>
      </c>
      <c r="D70" s="12" t="s">
        <v>111</v>
      </c>
      <c r="E70" s="282"/>
      <c r="F70" s="285">
        <v>138200</v>
      </c>
    </row>
    <row r="71" spans="1:6" x14ac:dyDescent="0.25">
      <c r="A71" s="230">
        <v>45597</v>
      </c>
      <c r="B71" s="11" t="s">
        <v>112</v>
      </c>
      <c r="C71" s="113" t="s">
        <v>6</v>
      </c>
      <c r="D71" s="12" t="s">
        <v>113</v>
      </c>
      <c r="E71" s="282"/>
      <c r="F71" s="285">
        <v>6000000</v>
      </c>
    </row>
    <row r="72" spans="1:6" x14ac:dyDescent="0.25">
      <c r="A72" s="230">
        <v>45597</v>
      </c>
      <c r="B72" s="11" t="s">
        <v>112</v>
      </c>
      <c r="C72" s="113" t="s">
        <v>6</v>
      </c>
      <c r="D72" s="12" t="s">
        <v>114</v>
      </c>
      <c r="E72" s="282"/>
      <c r="F72" s="285">
        <v>1136950</v>
      </c>
    </row>
    <row r="73" spans="1:6" x14ac:dyDescent="0.25">
      <c r="A73" s="230">
        <v>45597</v>
      </c>
      <c r="B73" s="11" t="s">
        <v>112</v>
      </c>
      <c r="C73" s="113" t="s">
        <v>6</v>
      </c>
      <c r="D73" s="12" t="s">
        <v>115</v>
      </c>
      <c r="E73" s="282"/>
      <c r="F73" s="285">
        <v>1136950</v>
      </c>
    </row>
    <row r="74" spans="1:6" x14ac:dyDescent="0.25">
      <c r="A74" s="230">
        <v>45597</v>
      </c>
      <c r="B74" s="11" t="s">
        <v>112</v>
      </c>
      <c r="C74" s="113" t="s">
        <v>6</v>
      </c>
      <c r="D74" s="12" t="s">
        <v>116</v>
      </c>
      <c r="E74" s="282"/>
      <c r="F74" s="285">
        <v>1136950</v>
      </c>
    </row>
    <row r="75" spans="1:6" x14ac:dyDescent="0.25">
      <c r="A75" s="230">
        <v>45597</v>
      </c>
      <c r="B75" s="11" t="s">
        <v>112</v>
      </c>
      <c r="C75" s="113" t="s">
        <v>6</v>
      </c>
      <c r="D75" s="12" t="s">
        <v>117</v>
      </c>
      <c r="E75" s="282"/>
      <c r="F75" s="285">
        <v>1136950</v>
      </c>
    </row>
    <row r="76" spans="1:6" x14ac:dyDescent="0.25">
      <c r="A76" s="230">
        <v>45597</v>
      </c>
      <c r="B76" s="11" t="s">
        <v>112</v>
      </c>
      <c r="C76" s="113" t="s">
        <v>6</v>
      </c>
      <c r="D76" s="12" t="s">
        <v>118</v>
      </c>
      <c r="E76" s="282"/>
      <c r="F76" s="285">
        <v>2900</v>
      </c>
    </row>
    <row r="77" spans="1:6" x14ac:dyDescent="0.25">
      <c r="A77" s="230">
        <v>45597</v>
      </c>
      <c r="B77" s="11" t="s">
        <v>119</v>
      </c>
      <c r="C77" s="113" t="s">
        <v>6</v>
      </c>
      <c r="D77" s="12" t="s">
        <v>120</v>
      </c>
      <c r="E77" s="282"/>
      <c r="F77" s="285">
        <v>1875000</v>
      </c>
    </row>
    <row r="78" spans="1:6" x14ac:dyDescent="0.25">
      <c r="A78" s="230">
        <v>45597</v>
      </c>
      <c r="B78" s="11" t="s">
        <v>119</v>
      </c>
      <c r="C78" s="113" t="s">
        <v>6</v>
      </c>
      <c r="D78" s="12" t="s">
        <v>121</v>
      </c>
      <c r="E78" s="282"/>
      <c r="F78" s="285">
        <v>1875000</v>
      </c>
    </row>
    <row r="79" spans="1:6" x14ac:dyDescent="0.25">
      <c r="A79" s="230">
        <v>45597</v>
      </c>
      <c r="B79" s="11" t="s">
        <v>119</v>
      </c>
      <c r="C79" s="113" t="s">
        <v>6</v>
      </c>
      <c r="D79" s="12" t="s">
        <v>122</v>
      </c>
      <c r="E79" s="282"/>
      <c r="F79" s="285">
        <v>1875000</v>
      </c>
    </row>
    <row r="80" spans="1:6" x14ac:dyDescent="0.25">
      <c r="A80" s="230">
        <v>45597</v>
      </c>
      <c r="B80" s="11" t="s">
        <v>119</v>
      </c>
      <c r="C80" s="113" t="s">
        <v>6</v>
      </c>
      <c r="D80" s="12" t="s">
        <v>123</v>
      </c>
      <c r="E80" s="282"/>
      <c r="F80" s="285">
        <v>1875000</v>
      </c>
    </row>
    <row r="81" spans="1:6" x14ac:dyDescent="0.25">
      <c r="A81" s="230">
        <v>45603</v>
      </c>
      <c r="B81" s="11" t="s">
        <v>124</v>
      </c>
      <c r="C81" s="113" t="s">
        <v>6</v>
      </c>
      <c r="D81" s="12" t="s">
        <v>104</v>
      </c>
      <c r="E81" s="282"/>
      <c r="F81" s="285">
        <v>70975000</v>
      </c>
    </row>
    <row r="82" spans="1:6" x14ac:dyDescent="0.25">
      <c r="A82" s="230">
        <v>45603</v>
      </c>
      <c r="B82" s="11" t="s">
        <v>124</v>
      </c>
      <c r="C82" s="113" t="s">
        <v>6</v>
      </c>
      <c r="D82" s="12" t="s">
        <v>125</v>
      </c>
      <c r="E82" s="282"/>
      <c r="F82" s="285">
        <v>23375000</v>
      </c>
    </row>
    <row r="83" spans="1:6" x14ac:dyDescent="0.25">
      <c r="A83" s="230">
        <v>45603</v>
      </c>
      <c r="B83" s="11" t="s">
        <v>124</v>
      </c>
      <c r="C83" s="113" t="s">
        <v>6</v>
      </c>
      <c r="D83" s="12" t="s">
        <v>126</v>
      </c>
      <c r="E83" s="282"/>
      <c r="F83" s="285">
        <v>2900</v>
      </c>
    </row>
    <row r="84" spans="1:6" x14ac:dyDescent="0.25">
      <c r="A84" s="230">
        <v>45603</v>
      </c>
      <c r="B84" s="11" t="s">
        <v>127</v>
      </c>
      <c r="C84" s="113" t="s">
        <v>6</v>
      </c>
      <c r="D84" s="12" t="s">
        <v>128</v>
      </c>
      <c r="E84" s="282"/>
      <c r="F84" s="290">
        <v>100000</v>
      </c>
    </row>
    <row r="85" spans="1:6" x14ac:dyDescent="0.25">
      <c r="A85" s="230">
        <v>45603</v>
      </c>
      <c r="B85" s="11" t="s">
        <v>127</v>
      </c>
      <c r="C85" s="113" t="s">
        <v>6</v>
      </c>
      <c r="D85" s="12" t="s">
        <v>129</v>
      </c>
      <c r="E85" s="282"/>
      <c r="F85" s="290">
        <v>37500</v>
      </c>
    </row>
    <row r="86" spans="1:6" x14ac:dyDescent="0.25">
      <c r="A86" s="230">
        <v>45603</v>
      </c>
      <c r="B86" s="11" t="s">
        <v>127</v>
      </c>
      <c r="C86" s="113" t="s">
        <v>6</v>
      </c>
      <c r="D86" s="12" t="s">
        <v>130</v>
      </c>
      <c r="E86" s="282"/>
      <c r="F86" s="290">
        <v>539200</v>
      </c>
    </row>
    <row r="87" spans="1:6" x14ac:dyDescent="0.25">
      <c r="A87" s="230">
        <v>45604</v>
      </c>
      <c r="B87" s="11" t="s">
        <v>131</v>
      </c>
      <c r="C87" s="113" t="s">
        <v>6</v>
      </c>
      <c r="D87" s="12" t="s">
        <v>132</v>
      </c>
      <c r="E87" s="282"/>
      <c r="F87" s="290">
        <v>950000</v>
      </c>
    </row>
    <row r="88" spans="1:6" x14ac:dyDescent="0.25">
      <c r="A88" s="230">
        <v>45604</v>
      </c>
      <c r="B88" s="11" t="s">
        <v>131</v>
      </c>
      <c r="C88" s="113" t="s">
        <v>6</v>
      </c>
      <c r="D88" s="12" t="s">
        <v>133</v>
      </c>
      <c r="E88" s="282"/>
      <c r="F88" s="290">
        <v>657500</v>
      </c>
    </row>
    <row r="89" spans="1:6" x14ac:dyDescent="0.25">
      <c r="A89" s="230">
        <v>45604</v>
      </c>
      <c r="B89" s="11" t="s">
        <v>131</v>
      </c>
      <c r="C89" s="113" t="s">
        <v>6</v>
      </c>
      <c r="D89" s="12" t="s">
        <v>134</v>
      </c>
      <c r="E89" s="282"/>
      <c r="F89" s="290">
        <v>13000</v>
      </c>
    </row>
    <row r="90" spans="1:6" x14ac:dyDescent="0.25">
      <c r="A90" s="230">
        <v>45604</v>
      </c>
      <c r="B90" s="11" t="s">
        <v>131</v>
      </c>
      <c r="C90" s="113" t="s">
        <v>6</v>
      </c>
      <c r="D90" s="12" t="s">
        <v>135</v>
      </c>
      <c r="E90" s="282"/>
      <c r="F90" s="290">
        <v>552200</v>
      </c>
    </row>
    <row r="91" spans="1:6" x14ac:dyDescent="0.25">
      <c r="A91" s="230">
        <v>45604</v>
      </c>
      <c r="B91" s="11" t="s">
        <v>136</v>
      </c>
      <c r="C91" s="275" t="s">
        <v>6</v>
      </c>
      <c r="D91" s="24" t="s">
        <v>137</v>
      </c>
      <c r="E91" s="291"/>
      <c r="F91" s="285">
        <v>4275000</v>
      </c>
    </row>
    <row r="92" spans="1:6" x14ac:dyDescent="0.25">
      <c r="A92" s="230">
        <v>45609</v>
      </c>
      <c r="B92" s="11" t="s">
        <v>138</v>
      </c>
      <c r="C92" s="113" t="s">
        <v>6</v>
      </c>
      <c r="D92" s="12" t="s">
        <v>139</v>
      </c>
      <c r="E92" s="291"/>
      <c r="F92" s="285">
        <v>87500000</v>
      </c>
    </row>
    <row r="93" spans="1:6" x14ac:dyDescent="0.25">
      <c r="A93" s="230">
        <v>45609</v>
      </c>
      <c r="B93" s="11" t="s">
        <v>138</v>
      </c>
      <c r="C93" s="113" t="s">
        <v>6</v>
      </c>
      <c r="D93" s="12" t="s">
        <v>140</v>
      </c>
      <c r="E93" s="291"/>
      <c r="F93" s="285">
        <v>9625000</v>
      </c>
    </row>
    <row r="94" spans="1:6" x14ac:dyDescent="0.25">
      <c r="A94" s="230">
        <v>45609</v>
      </c>
      <c r="B94" s="11" t="s">
        <v>138</v>
      </c>
      <c r="C94" s="113" t="s">
        <v>6</v>
      </c>
      <c r="D94" s="12" t="s">
        <v>141</v>
      </c>
      <c r="E94" s="291"/>
      <c r="F94" s="285">
        <v>2900</v>
      </c>
    </row>
    <row r="95" spans="1:6" x14ac:dyDescent="0.25">
      <c r="A95" s="230">
        <v>45609</v>
      </c>
      <c r="B95" s="11" t="s">
        <v>142</v>
      </c>
      <c r="C95" s="113" t="s">
        <v>6</v>
      </c>
      <c r="D95" s="24" t="s">
        <v>143</v>
      </c>
      <c r="E95" s="291"/>
      <c r="F95" s="285">
        <v>2900</v>
      </c>
    </row>
    <row r="96" spans="1:6" x14ac:dyDescent="0.25">
      <c r="A96" s="230">
        <v>45611</v>
      </c>
      <c r="B96" s="11" t="s">
        <v>144</v>
      </c>
      <c r="C96" s="113" t="s">
        <v>6</v>
      </c>
      <c r="D96" s="12" t="s">
        <v>145</v>
      </c>
      <c r="E96" s="291"/>
      <c r="F96" s="285">
        <v>950000</v>
      </c>
    </row>
    <row r="97" spans="1:6" x14ac:dyDescent="0.25">
      <c r="A97" s="230">
        <v>45611</v>
      </c>
      <c r="B97" s="11" t="s">
        <v>144</v>
      </c>
      <c r="C97" s="113" t="s">
        <v>6</v>
      </c>
      <c r="D97" s="12" t="s">
        <v>146</v>
      </c>
      <c r="E97" s="291"/>
      <c r="F97" s="285">
        <v>950000</v>
      </c>
    </row>
    <row r="98" spans="1:6" x14ac:dyDescent="0.25">
      <c r="A98" s="230">
        <v>45611</v>
      </c>
      <c r="B98" s="11" t="s">
        <v>144</v>
      </c>
      <c r="C98" s="113" t="s">
        <v>6</v>
      </c>
      <c r="D98" s="12" t="s">
        <v>147</v>
      </c>
      <c r="E98" s="291"/>
      <c r="F98" s="285">
        <v>950000</v>
      </c>
    </row>
    <row r="99" spans="1:6" x14ac:dyDescent="0.25">
      <c r="A99" s="230">
        <v>45621</v>
      </c>
      <c r="B99" s="11" t="s">
        <v>148</v>
      </c>
      <c r="C99" s="113" t="s">
        <v>6</v>
      </c>
      <c r="D99" s="24" t="s">
        <v>149</v>
      </c>
      <c r="E99" s="291"/>
      <c r="F99" s="285">
        <v>10500</v>
      </c>
    </row>
    <row r="100" spans="1:6" x14ac:dyDescent="0.25">
      <c r="A100" s="230">
        <v>45621</v>
      </c>
      <c r="B100" s="11" t="s">
        <v>148</v>
      </c>
      <c r="C100" s="113" t="s">
        <v>6</v>
      </c>
      <c r="D100" s="24" t="s">
        <v>150</v>
      </c>
      <c r="E100" s="291"/>
      <c r="F100" s="285">
        <v>198000</v>
      </c>
    </row>
    <row r="101" spans="1:6" x14ac:dyDescent="0.25">
      <c r="A101" s="230">
        <v>45621</v>
      </c>
      <c r="B101" s="11" t="s">
        <v>148</v>
      </c>
      <c r="C101" s="113" t="s">
        <v>6</v>
      </c>
      <c r="D101" s="24" t="s">
        <v>68</v>
      </c>
      <c r="E101" s="291"/>
      <c r="F101" s="285">
        <v>724650</v>
      </c>
    </row>
    <row r="102" spans="1:6" x14ac:dyDescent="0.25">
      <c r="A102" s="230">
        <v>45621</v>
      </c>
      <c r="B102" s="11" t="s">
        <v>151</v>
      </c>
      <c r="C102" s="113" t="s">
        <v>6</v>
      </c>
      <c r="D102" s="24" t="s">
        <v>152</v>
      </c>
      <c r="E102" s="291"/>
      <c r="F102" s="285">
        <v>60000</v>
      </c>
    </row>
    <row r="103" spans="1:6" x14ac:dyDescent="0.25">
      <c r="A103" s="230">
        <v>45622</v>
      </c>
      <c r="B103" s="11" t="s">
        <v>153</v>
      </c>
      <c r="C103" s="113" t="s">
        <v>6</v>
      </c>
      <c r="D103" s="12" t="s">
        <v>154</v>
      </c>
      <c r="E103" s="291"/>
      <c r="F103" s="285">
        <v>54019800</v>
      </c>
    </row>
    <row r="104" spans="1:6" x14ac:dyDescent="0.25">
      <c r="A104" s="230">
        <v>45632</v>
      </c>
      <c r="B104" s="11" t="s">
        <v>155</v>
      </c>
      <c r="C104" s="113" t="s">
        <v>6</v>
      </c>
      <c r="D104" s="12" t="s">
        <v>156</v>
      </c>
      <c r="E104" s="282"/>
      <c r="F104" s="285">
        <v>35000</v>
      </c>
    </row>
    <row r="105" spans="1:6" x14ac:dyDescent="0.25">
      <c r="A105" s="230">
        <v>45632</v>
      </c>
      <c r="B105" s="11" t="s">
        <v>155</v>
      </c>
      <c r="C105" s="113" t="s">
        <v>6</v>
      </c>
      <c r="D105" s="12" t="s">
        <v>157</v>
      </c>
      <c r="E105" s="282"/>
      <c r="F105" s="285">
        <v>491800</v>
      </c>
    </row>
    <row r="106" spans="1:6" x14ac:dyDescent="0.25">
      <c r="A106" s="230">
        <v>45632</v>
      </c>
      <c r="B106" s="11" t="s">
        <v>158</v>
      </c>
      <c r="C106" s="112" t="s">
        <v>6</v>
      </c>
      <c r="D106" s="26" t="s">
        <v>159</v>
      </c>
      <c r="E106" s="282"/>
      <c r="F106" s="289">
        <v>18000000</v>
      </c>
    </row>
    <row r="107" spans="1:6" x14ac:dyDescent="0.25">
      <c r="A107" s="230">
        <v>45632</v>
      </c>
      <c r="B107" s="11" t="s">
        <v>158</v>
      </c>
      <c r="C107" s="112" t="s">
        <v>6</v>
      </c>
      <c r="D107" s="26" t="s">
        <v>67</v>
      </c>
      <c r="E107" s="282"/>
      <c r="F107" s="289">
        <v>344500</v>
      </c>
    </row>
    <row r="108" spans="1:6" x14ac:dyDescent="0.25">
      <c r="A108" s="230">
        <v>45632</v>
      </c>
      <c r="B108" s="11" t="s">
        <v>158</v>
      </c>
      <c r="C108" s="112" t="s">
        <v>6</v>
      </c>
      <c r="D108" s="26" t="s">
        <v>160</v>
      </c>
      <c r="E108" s="282"/>
      <c r="F108" s="289">
        <v>291300</v>
      </c>
    </row>
    <row r="109" spans="1:6" x14ac:dyDescent="0.25">
      <c r="A109" s="230">
        <v>45632</v>
      </c>
      <c r="B109" s="11" t="s">
        <v>158</v>
      </c>
      <c r="C109" s="112" t="s">
        <v>6</v>
      </c>
      <c r="D109" s="26" t="s">
        <v>161</v>
      </c>
      <c r="E109" s="282"/>
      <c r="F109" s="289">
        <v>2598280</v>
      </c>
    </row>
    <row r="110" spans="1:6" x14ac:dyDescent="0.25">
      <c r="A110" s="230">
        <v>45638</v>
      </c>
      <c r="B110" s="11" t="s">
        <v>162</v>
      </c>
      <c r="C110" s="112" t="s">
        <v>6</v>
      </c>
      <c r="D110" s="26" t="s">
        <v>163</v>
      </c>
      <c r="E110" s="282"/>
      <c r="F110" s="289">
        <v>317058823.52999997</v>
      </c>
    </row>
    <row r="111" spans="1:6" x14ac:dyDescent="0.25">
      <c r="A111" s="230">
        <v>45638</v>
      </c>
      <c r="B111" s="11" t="s">
        <v>164</v>
      </c>
      <c r="C111" s="112" t="s">
        <v>6</v>
      </c>
      <c r="D111" s="26" t="s">
        <v>82</v>
      </c>
      <c r="E111" s="282"/>
      <c r="F111" s="289">
        <v>17779513.890000001</v>
      </c>
    </row>
    <row r="112" spans="1:6" x14ac:dyDescent="0.25">
      <c r="A112" s="230">
        <v>45644</v>
      </c>
      <c r="B112" s="11" t="s">
        <v>165</v>
      </c>
      <c r="C112" s="112" t="s">
        <v>6</v>
      </c>
      <c r="D112" s="17" t="s">
        <v>166</v>
      </c>
      <c r="E112" s="282">
        <v>107100000</v>
      </c>
      <c r="F112" s="289"/>
    </row>
    <row r="113" spans="1:6" x14ac:dyDescent="0.25">
      <c r="A113" s="230">
        <v>45644</v>
      </c>
      <c r="B113" s="11" t="s">
        <v>165</v>
      </c>
      <c r="C113" s="112" t="s">
        <v>6</v>
      </c>
      <c r="D113" s="17" t="s">
        <v>167</v>
      </c>
      <c r="E113" s="282"/>
      <c r="F113" s="289">
        <v>61267190</v>
      </c>
    </row>
    <row r="114" spans="1:6" x14ac:dyDescent="0.25">
      <c r="A114" s="230">
        <v>45644</v>
      </c>
      <c r="B114" s="11" t="s">
        <v>165</v>
      </c>
      <c r="C114" s="112" t="s">
        <v>6</v>
      </c>
      <c r="D114" s="17" t="s">
        <v>168</v>
      </c>
      <c r="E114" s="282"/>
      <c r="F114" s="289">
        <v>10000000</v>
      </c>
    </row>
    <row r="115" spans="1:6" x14ac:dyDescent="0.25">
      <c r="A115" s="230">
        <v>45644</v>
      </c>
      <c r="B115" s="11" t="s">
        <v>165</v>
      </c>
      <c r="C115" s="112" t="s">
        <v>6</v>
      </c>
      <c r="D115" s="12" t="s">
        <v>169</v>
      </c>
      <c r="E115" s="282"/>
      <c r="F115" s="289">
        <v>200000</v>
      </c>
    </row>
    <row r="116" spans="1:6" x14ac:dyDescent="0.25">
      <c r="A116" s="230">
        <v>45656</v>
      </c>
      <c r="B116" s="11" t="s">
        <v>170</v>
      </c>
      <c r="C116" s="112" t="s">
        <v>6</v>
      </c>
      <c r="D116" s="26" t="s">
        <v>171</v>
      </c>
      <c r="E116" s="282"/>
      <c r="F116" s="289">
        <v>6450000</v>
      </c>
    </row>
    <row r="117" spans="1:6" x14ac:dyDescent="0.25">
      <c r="A117" s="230">
        <v>45526</v>
      </c>
      <c r="B117" s="11" t="s">
        <v>172</v>
      </c>
      <c r="C117" s="112" t="s">
        <v>6</v>
      </c>
      <c r="D117" s="28" t="s">
        <v>173</v>
      </c>
      <c r="E117" s="282"/>
      <c r="F117" s="290">
        <v>2284000</v>
      </c>
    </row>
    <row r="118" spans="1:6" x14ac:dyDescent="0.25">
      <c r="A118" s="230">
        <v>45526</v>
      </c>
      <c r="B118" s="11" t="s">
        <v>172</v>
      </c>
      <c r="C118" s="112" t="s">
        <v>6</v>
      </c>
      <c r="D118" s="28" t="s">
        <v>174</v>
      </c>
      <c r="E118" s="282"/>
      <c r="F118" s="290">
        <v>3599977</v>
      </c>
    </row>
    <row r="119" spans="1:6" x14ac:dyDescent="0.25">
      <c r="A119" s="230">
        <v>45526</v>
      </c>
      <c r="B119" s="11" t="s">
        <v>172</v>
      </c>
      <c r="C119" s="112" t="s">
        <v>6</v>
      </c>
      <c r="D119" s="28" t="s">
        <v>175</v>
      </c>
      <c r="E119" s="282"/>
      <c r="F119" s="290">
        <v>121000</v>
      </c>
    </row>
    <row r="120" spans="1:6" x14ac:dyDescent="0.25">
      <c r="A120" s="230">
        <v>45526</v>
      </c>
      <c r="B120" s="11" t="s">
        <v>172</v>
      </c>
      <c r="C120" s="112" t="s">
        <v>6</v>
      </c>
      <c r="D120" s="28" t="s">
        <v>176</v>
      </c>
      <c r="E120" s="282"/>
      <c r="F120" s="290">
        <v>160000</v>
      </c>
    </row>
    <row r="121" spans="1:6" x14ac:dyDescent="0.25">
      <c r="A121" s="230">
        <v>45526</v>
      </c>
      <c r="B121" s="11" t="s">
        <v>172</v>
      </c>
      <c r="C121" s="112" t="s">
        <v>6</v>
      </c>
      <c r="D121" s="28" t="s">
        <v>177</v>
      </c>
      <c r="E121" s="282"/>
      <c r="F121" s="290">
        <v>17600</v>
      </c>
    </row>
    <row r="122" spans="1:6" x14ac:dyDescent="0.25">
      <c r="A122" s="230">
        <v>45526</v>
      </c>
      <c r="B122" s="11" t="s">
        <v>172</v>
      </c>
      <c r="C122" s="112" t="s">
        <v>6</v>
      </c>
      <c r="D122" s="28" t="s">
        <v>178</v>
      </c>
      <c r="E122" s="282"/>
      <c r="F122" s="290">
        <v>-3200</v>
      </c>
    </row>
    <row r="123" spans="1:6" x14ac:dyDescent="0.25">
      <c r="A123" s="230">
        <v>45526</v>
      </c>
      <c r="B123" s="11" t="s">
        <v>172</v>
      </c>
      <c r="C123" s="112" t="s">
        <v>6</v>
      </c>
      <c r="D123" s="28" t="s">
        <v>50</v>
      </c>
      <c r="E123" s="282"/>
      <c r="F123" s="290">
        <v>2500</v>
      </c>
    </row>
    <row r="124" spans="1:6" x14ac:dyDescent="0.25">
      <c r="A124" s="230">
        <v>45531</v>
      </c>
      <c r="B124" s="11" t="s">
        <v>179</v>
      </c>
      <c r="C124" s="112" t="s">
        <v>6</v>
      </c>
      <c r="D124" s="17" t="s">
        <v>180</v>
      </c>
      <c r="E124" s="282"/>
      <c r="F124" s="290">
        <v>14995173</v>
      </c>
    </row>
    <row r="125" spans="1:6" x14ac:dyDescent="0.25">
      <c r="A125" s="230">
        <v>45540</v>
      </c>
      <c r="B125" s="11" t="s">
        <v>181</v>
      </c>
      <c r="C125" s="118" t="s">
        <v>6</v>
      </c>
      <c r="D125" s="16" t="s">
        <v>182</v>
      </c>
      <c r="E125" s="282"/>
      <c r="F125" s="290">
        <v>6806869</v>
      </c>
    </row>
    <row r="126" spans="1:6" x14ac:dyDescent="0.25">
      <c r="A126" s="230">
        <v>45540</v>
      </c>
      <c r="B126" s="11" t="s">
        <v>181</v>
      </c>
      <c r="C126" s="118" t="s">
        <v>6</v>
      </c>
      <c r="D126" s="16" t="s">
        <v>183</v>
      </c>
      <c r="E126" s="282"/>
      <c r="F126" s="290">
        <v>74875</v>
      </c>
    </row>
    <row r="127" spans="1:6" x14ac:dyDescent="0.25">
      <c r="A127" s="230">
        <v>45540</v>
      </c>
      <c r="B127" s="11" t="s">
        <v>181</v>
      </c>
      <c r="C127" s="118" t="s">
        <v>6</v>
      </c>
      <c r="D127" s="16" t="s">
        <v>184</v>
      </c>
      <c r="E127" s="282"/>
      <c r="F127" s="290">
        <v>-136137</v>
      </c>
    </row>
    <row r="128" spans="1:6" x14ac:dyDescent="0.25">
      <c r="A128" s="230">
        <v>45540</v>
      </c>
      <c r="B128" s="11" t="s">
        <v>181</v>
      </c>
      <c r="C128" s="118" t="s">
        <v>6</v>
      </c>
      <c r="D128" s="16" t="s">
        <v>185</v>
      </c>
      <c r="E128" s="282"/>
      <c r="F128" s="290">
        <v>2900</v>
      </c>
    </row>
    <row r="129" spans="1:6" x14ac:dyDescent="0.25">
      <c r="A129" s="230">
        <v>45540</v>
      </c>
      <c r="B129" s="11" t="s">
        <v>186</v>
      </c>
      <c r="C129" s="112" t="s">
        <v>6</v>
      </c>
      <c r="D129" s="16" t="s">
        <v>187</v>
      </c>
      <c r="E129" s="282"/>
      <c r="F129" s="290">
        <v>116219475</v>
      </c>
    </row>
    <row r="130" spans="1:6" x14ac:dyDescent="0.25">
      <c r="A130" s="230">
        <v>45540</v>
      </c>
      <c r="B130" s="11" t="s">
        <v>186</v>
      </c>
      <c r="C130" s="112" t="s">
        <v>6</v>
      </c>
      <c r="D130" s="16" t="s">
        <v>188</v>
      </c>
      <c r="E130" s="282"/>
      <c r="F130" s="290">
        <v>12784142</v>
      </c>
    </row>
    <row r="131" spans="1:6" x14ac:dyDescent="0.25">
      <c r="A131" s="230">
        <v>45540</v>
      </c>
      <c r="B131" s="11" t="s">
        <v>186</v>
      </c>
      <c r="C131" s="112" t="s">
        <v>6</v>
      </c>
      <c r="D131" s="16" t="s">
        <v>189</v>
      </c>
      <c r="E131" s="282"/>
      <c r="F131" s="290">
        <v>-2324389</v>
      </c>
    </row>
    <row r="132" spans="1:6" x14ac:dyDescent="0.25">
      <c r="A132" s="230">
        <v>45540</v>
      </c>
      <c r="B132" s="11" t="s">
        <v>186</v>
      </c>
      <c r="C132" s="112" t="s">
        <v>6</v>
      </c>
      <c r="D132" s="16" t="s">
        <v>190</v>
      </c>
      <c r="E132" s="282"/>
      <c r="F132" s="290">
        <v>2900</v>
      </c>
    </row>
    <row r="133" spans="1:6" x14ac:dyDescent="0.25">
      <c r="A133" s="230">
        <v>45544</v>
      </c>
      <c r="B133" s="11" t="s">
        <v>191</v>
      </c>
      <c r="C133" s="339" t="s">
        <v>6</v>
      </c>
      <c r="D133" s="29" t="s">
        <v>192</v>
      </c>
      <c r="E133" s="282"/>
      <c r="F133" s="290">
        <v>83000</v>
      </c>
    </row>
    <row r="134" spans="1:6" x14ac:dyDescent="0.25">
      <c r="A134" s="230">
        <v>45548</v>
      </c>
      <c r="B134" s="11" t="s">
        <v>193</v>
      </c>
      <c r="C134" s="113" t="s">
        <v>6</v>
      </c>
      <c r="D134" s="12" t="s">
        <v>194</v>
      </c>
      <c r="E134" s="282"/>
      <c r="F134" s="290">
        <v>1043801</v>
      </c>
    </row>
    <row r="135" spans="1:6" x14ac:dyDescent="0.25">
      <c r="A135" s="230">
        <v>45548</v>
      </c>
      <c r="B135" s="11" t="s">
        <v>193</v>
      </c>
      <c r="C135" s="113" t="s">
        <v>6</v>
      </c>
      <c r="D135" s="12" t="s">
        <v>195</v>
      </c>
      <c r="E135" s="282"/>
      <c r="F135" s="290">
        <v>1276300</v>
      </c>
    </row>
    <row r="136" spans="1:6" x14ac:dyDescent="0.25">
      <c r="A136" s="230">
        <v>45737</v>
      </c>
      <c r="B136" s="11" t="s">
        <v>196</v>
      </c>
      <c r="C136" s="112" t="s">
        <v>6</v>
      </c>
      <c r="D136" s="17" t="s">
        <v>197</v>
      </c>
      <c r="E136" s="284"/>
      <c r="F136" s="283">
        <v>69556435</v>
      </c>
    </row>
    <row r="137" spans="1:6" x14ac:dyDescent="0.25">
      <c r="A137" s="230">
        <v>45737</v>
      </c>
      <c r="B137" s="11" t="s">
        <v>196</v>
      </c>
      <c r="C137" s="112" t="s">
        <v>6</v>
      </c>
      <c r="D137" s="17" t="s">
        <v>198</v>
      </c>
      <c r="E137" s="284"/>
      <c r="F137" s="283">
        <v>15808275</v>
      </c>
    </row>
    <row r="138" spans="1:6" x14ac:dyDescent="0.25">
      <c r="A138" s="230">
        <v>45768</v>
      </c>
      <c r="B138" s="11" t="s">
        <v>199</v>
      </c>
      <c r="C138" s="113" t="s">
        <v>200</v>
      </c>
      <c r="D138" s="12" t="s">
        <v>201</v>
      </c>
      <c r="E138" s="284"/>
      <c r="F138" s="285">
        <v>800000</v>
      </c>
    </row>
    <row r="139" spans="1:6" x14ac:dyDescent="0.25">
      <c r="A139" s="230">
        <v>45768</v>
      </c>
      <c r="B139" s="11" t="s">
        <v>199</v>
      </c>
      <c r="C139" s="113" t="s">
        <v>200</v>
      </c>
      <c r="D139" s="12" t="s">
        <v>202</v>
      </c>
      <c r="E139" s="284"/>
      <c r="F139" s="285">
        <v>2500</v>
      </c>
    </row>
    <row r="140" spans="1:6" x14ac:dyDescent="0.25">
      <c r="A140" s="230">
        <v>45770</v>
      </c>
      <c r="B140" s="11" t="s">
        <v>203</v>
      </c>
      <c r="C140" s="113" t="s">
        <v>200</v>
      </c>
      <c r="D140" s="12" t="s">
        <v>204</v>
      </c>
      <c r="E140" s="282"/>
      <c r="F140" s="285">
        <v>10051021</v>
      </c>
    </row>
    <row r="141" spans="1:6" x14ac:dyDescent="0.25">
      <c r="A141" s="230">
        <v>45770</v>
      </c>
      <c r="B141" s="11" t="s">
        <v>203</v>
      </c>
      <c r="C141" s="113" t="s">
        <v>200</v>
      </c>
      <c r="D141" s="12" t="s">
        <v>205</v>
      </c>
      <c r="E141" s="284"/>
      <c r="F141" s="285">
        <v>-201021</v>
      </c>
    </row>
    <row r="142" spans="1:6" x14ac:dyDescent="0.25">
      <c r="A142" s="230">
        <v>45770</v>
      </c>
      <c r="B142" s="11" t="s">
        <v>203</v>
      </c>
      <c r="C142" s="113" t="s">
        <v>6</v>
      </c>
      <c r="D142" s="12" t="s">
        <v>206</v>
      </c>
      <c r="E142" s="284"/>
      <c r="F142" s="285">
        <v>2500</v>
      </c>
    </row>
    <row r="143" spans="1:6" x14ac:dyDescent="0.25">
      <c r="A143" s="230">
        <v>45770</v>
      </c>
      <c r="B143" s="11" t="s">
        <v>203</v>
      </c>
      <c r="C143" s="113" t="s">
        <v>200</v>
      </c>
      <c r="D143" s="12" t="s">
        <v>207</v>
      </c>
      <c r="E143" s="284"/>
      <c r="F143" s="285">
        <v>2000000</v>
      </c>
    </row>
    <row r="144" spans="1:6" x14ac:dyDescent="0.25">
      <c r="A144" s="230">
        <v>45770</v>
      </c>
      <c r="B144" s="11" t="s">
        <v>203</v>
      </c>
      <c r="C144" s="113" t="s">
        <v>200</v>
      </c>
      <c r="D144" s="12" t="s">
        <v>206</v>
      </c>
      <c r="E144" s="284"/>
      <c r="F144" s="285">
        <v>2500</v>
      </c>
    </row>
    <row r="145" spans="1:6" x14ac:dyDescent="0.25">
      <c r="A145" s="230">
        <v>45800</v>
      </c>
      <c r="B145" s="11" t="s">
        <v>208</v>
      </c>
      <c r="C145" s="113" t="s">
        <v>6</v>
      </c>
      <c r="D145" s="12" t="s">
        <v>209</v>
      </c>
      <c r="E145" s="284"/>
      <c r="F145" s="285">
        <v>2000000</v>
      </c>
    </row>
    <row r="146" spans="1:6" x14ac:dyDescent="0.25">
      <c r="A146" s="230">
        <v>45800</v>
      </c>
      <c r="B146" s="11" t="s">
        <v>208</v>
      </c>
      <c r="C146" s="113" t="s">
        <v>6</v>
      </c>
      <c r="D146" s="12" t="s">
        <v>210</v>
      </c>
      <c r="E146" s="284"/>
      <c r="F146" s="285">
        <v>2500</v>
      </c>
    </row>
    <row r="147" spans="1:6" x14ac:dyDescent="0.25">
      <c r="A147" s="230">
        <v>45800</v>
      </c>
      <c r="B147" s="11" t="s">
        <v>208</v>
      </c>
      <c r="C147" s="113" t="s">
        <v>6</v>
      </c>
      <c r="D147" s="12" t="s">
        <v>211</v>
      </c>
      <c r="E147" s="284"/>
      <c r="F147" s="285">
        <v>364000</v>
      </c>
    </row>
    <row r="148" spans="1:6" x14ac:dyDescent="0.25">
      <c r="A148" s="230">
        <v>45800</v>
      </c>
      <c r="B148" s="11" t="s">
        <v>208</v>
      </c>
      <c r="C148" s="113" t="s">
        <v>6</v>
      </c>
      <c r="D148" s="12" t="s">
        <v>210</v>
      </c>
      <c r="E148" s="284"/>
      <c r="F148" s="285">
        <v>2500</v>
      </c>
    </row>
    <row r="149" spans="1:6" x14ac:dyDescent="0.25">
      <c r="A149" s="230">
        <v>45804</v>
      </c>
      <c r="B149" s="11" t="s">
        <v>212</v>
      </c>
      <c r="C149" s="112" t="s">
        <v>6</v>
      </c>
      <c r="D149" s="17" t="s">
        <v>213</v>
      </c>
      <c r="E149" s="284"/>
      <c r="F149" s="283">
        <v>250000</v>
      </c>
    </row>
    <row r="150" spans="1:6" x14ac:dyDescent="0.25">
      <c r="A150" s="230">
        <v>45804</v>
      </c>
      <c r="B150" s="11" t="s">
        <v>212</v>
      </c>
      <c r="C150" s="112" t="s">
        <v>6</v>
      </c>
      <c r="D150" s="17" t="s">
        <v>214</v>
      </c>
      <c r="E150" s="284"/>
      <c r="F150" s="283">
        <v>145501</v>
      </c>
    </row>
    <row r="151" spans="1:6" x14ac:dyDescent="0.25">
      <c r="A151" s="230">
        <v>45804</v>
      </c>
      <c r="B151" s="11" t="s">
        <v>215</v>
      </c>
      <c r="C151" s="113" t="s">
        <v>6</v>
      </c>
      <c r="D151" s="12" t="s">
        <v>216</v>
      </c>
      <c r="E151" s="284"/>
      <c r="F151" s="285">
        <v>11280000</v>
      </c>
    </row>
    <row r="152" spans="1:6" x14ac:dyDescent="0.25">
      <c r="A152" s="230">
        <v>45688</v>
      </c>
      <c r="B152" s="11" t="s">
        <v>16</v>
      </c>
      <c r="C152" s="113" t="s">
        <v>6</v>
      </c>
      <c r="D152" s="12" t="s">
        <v>17</v>
      </c>
      <c r="E152" s="282"/>
      <c r="F152" s="285">
        <v>2500</v>
      </c>
    </row>
    <row r="153" spans="1:6" x14ac:dyDescent="0.25">
      <c r="A153" s="230">
        <v>45688</v>
      </c>
      <c r="B153" s="11" t="s">
        <v>16</v>
      </c>
      <c r="C153" s="113" t="s">
        <v>6</v>
      </c>
      <c r="D153" s="12" t="s">
        <v>18</v>
      </c>
      <c r="E153" s="282"/>
      <c r="F153" s="285">
        <v>415000</v>
      </c>
    </row>
    <row r="154" spans="1:6" x14ac:dyDescent="0.25">
      <c r="A154" s="230">
        <v>45688</v>
      </c>
      <c r="B154" s="11" t="s">
        <v>16</v>
      </c>
      <c r="C154" s="113" t="s">
        <v>6</v>
      </c>
      <c r="D154" s="12" t="s">
        <v>19</v>
      </c>
      <c r="E154" s="282"/>
      <c r="F154" s="285">
        <v>2500</v>
      </c>
    </row>
    <row r="155" spans="1:6" x14ac:dyDescent="0.25">
      <c r="A155" s="230">
        <v>45702</v>
      </c>
      <c r="B155" s="11" t="s">
        <v>20</v>
      </c>
      <c r="C155" s="112" t="s">
        <v>6</v>
      </c>
      <c r="D155" s="17" t="s">
        <v>21</v>
      </c>
      <c r="E155" s="282"/>
      <c r="F155" s="290">
        <v>1281670154</v>
      </c>
    </row>
    <row r="156" spans="1:6" x14ac:dyDescent="0.25">
      <c r="A156" s="230">
        <v>45702</v>
      </c>
      <c r="B156" s="11" t="s">
        <v>20</v>
      </c>
      <c r="C156" s="112" t="s">
        <v>6</v>
      </c>
      <c r="D156" s="17" t="s">
        <v>22</v>
      </c>
      <c r="E156" s="282"/>
      <c r="F156" s="290">
        <v>576275</v>
      </c>
    </row>
    <row r="157" spans="1:6" x14ac:dyDescent="0.25">
      <c r="A157" s="230">
        <v>45764</v>
      </c>
      <c r="B157" s="11" t="s">
        <v>23</v>
      </c>
      <c r="C157" s="112" t="s">
        <v>6</v>
      </c>
      <c r="D157" s="12" t="s">
        <v>24</v>
      </c>
      <c r="E157" s="282"/>
      <c r="F157" s="290">
        <v>185000</v>
      </c>
    </row>
    <row r="158" spans="1:6" x14ac:dyDescent="0.25">
      <c r="A158" s="230">
        <v>45764</v>
      </c>
      <c r="B158" s="11" t="s">
        <v>23</v>
      </c>
      <c r="C158" s="112" t="s">
        <v>6</v>
      </c>
      <c r="D158" s="12" t="s">
        <v>25</v>
      </c>
      <c r="E158" s="282"/>
      <c r="F158" s="290">
        <v>200000</v>
      </c>
    </row>
    <row r="159" spans="1:6" x14ac:dyDescent="0.25">
      <c r="A159" s="230">
        <v>45764</v>
      </c>
      <c r="B159" s="11" t="s">
        <v>23</v>
      </c>
      <c r="C159" s="112" t="s">
        <v>6</v>
      </c>
      <c r="D159" s="12" t="s">
        <v>26</v>
      </c>
      <c r="E159" s="282"/>
      <c r="F159" s="290">
        <v>38000</v>
      </c>
    </row>
    <row r="160" spans="1:6" x14ac:dyDescent="0.25">
      <c r="A160" s="230">
        <v>45660</v>
      </c>
      <c r="B160" s="11" t="s">
        <v>217</v>
      </c>
      <c r="C160" s="113" t="s">
        <v>6</v>
      </c>
      <c r="D160" s="12" t="s">
        <v>218</v>
      </c>
      <c r="E160" s="293"/>
      <c r="F160" s="285">
        <v>18000</v>
      </c>
    </row>
    <row r="161" spans="1:6" x14ac:dyDescent="0.25">
      <c r="A161" s="230">
        <v>45666</v>
      </c>
      <c r="B161" s="11" t="s">
        <v>219</v>
      </c>
      <c r="C161" s="112" t="s">
        <v>6</v>
      </c>
      <c r="D161" s="12" t="s">
        <v>220</v>
      </c>
      <c r="E161" s="282"/>
      <c r="F161" s="285">
        <v>17500000</v>
      </c>
    </row>
    <row r="162" spans="1:6" x14ac:dyDescent="0.25">
      <c r="A162" s="230">
        <v>45666</v>
      </c>
      <c r="B162" s="11" t="s">
        <v>219</v>
      </c>
      <c r="C162" s="112" t="s">
        <v>6</v>
      </c>
      <c r="D162" s="12" t="s">
        <v>221</v>
      </c>
      <c r="E162" s="282"/>
      <c r="F162" s="285">
        <v>1925000</v>
      </c>
    </row>
    <row r="163" spans="1:6" x14ac:dyDescent="0.25">
      <c r="A163" s="230">
        <v>45666</v>
      </c>
      <c r="B163" s="11" t="s">
        <v>219</v>
      </c>
      <c r="C163" s="112" t="s">
        <v>6</v>
      </c>
      <c r="D163" s="12" t="s">
        <v>222</v>
      </c>
      <c r="E163" s="282"/>
      <c r="F163" s="285">
        <v>-350000</v>
      </c>
    </row>
    <row r="164" spans="1:6" x14ac:dyDescent="0.25">
      <c r="A164" s="230">
        <v>45666</v>
      </c>
      <c r="B164" s="11" t="s">
        <v>219</v>
      </c>
      <c r="C164" s="112" t="s">
        <v>6</v>
      </c>
      <c r="D164" s="12" t="s">
        <v>223</v>
      </c>
      <c r="E164" s="282"/>
      <c r="F164" s="285">
        <v>139400000</v>
      </c>
    </row>
    <row r="165" spans="1:6" x14ac:dyDescent="0.25">
      <c r="A165" s="230">
        <v>45666</v>
      </c>
      <c r="B165" s="11" t="s">
        <v>219</v>
      </c>
      <c r="C165" s="112" t="s">
        <v>6</v>
      </c>
      <c r="D165" s="12" t="s">
        <v>224</v>
      </c>
      <c r="E165" s="282"/>
      <c r="F165" s="285">
        <v>1533400.0000000002</v>
      </c>
    </row>
    <row r="166" spans="1:6" x14ac:dyDescent="0.25">
      <c r="A166" s="230">
        <v>45666</v>
      </c>
      <c r="B166" s="11" t="s">
        <v>219</v>
      </c>
      <c r="C166" s="112" t="s">
        <v>6</v>
      </c>
      <c r="D166" s="12" t="s">
        <v>225</v>
      </c>
      <c r="E166" s="282"/>
      <c r="F166" s="285">
        <v>-2788000</v>
      </c>
    </row>
    <row r="167" spans="1:6" x14ac:dyDescent="0.25">
      <c r="A167" s="230">
        <v>45666</v>
      </c>
      <c r="B167" s="11" t="s">
        <v>219</v>
      </c>
      <c r="C167" s="112" t="s">
        <v>6</v>
      </c>
      <c r="D167" s="12" t="s">
        <v>226</v>
      </c>
      <c r="E167" s="282"/>
      <c r="F167" s="285">
        <v>920000</v>
      </c>
    </row>
    <row r="168" spans="1:6" x14ac:dyDescent="0.25">
      <c r="A168" s="230">
        <v>45666</v>
      </c>
      <c r="B168" s="11" t="s">
        <v>219</v>
      </c>
      <c r="C168" s="112" t="s">
        <v>6</v>
      </c>
      <c r="D168" s="12" t="s">
        <v>227</v>
      </c>
      <c r="E168" s="282"/>
      <c r="F168" s="285">
        <v>101200</v>
      </c>
    </row>
    <row r="169" spans="1:6" x14ac:dyDescent="0.25">
      <c r="A169" s="230">
        <v>45666</v>
      </c>
      <c r="B169" s="11" t="s">
        <v>219</v>
      </c>
      <c r="C169" s="112" t="s">
        <v>6</v>
      </c>
      <c r="D169" s="12" t="s">
        <v>228</v>
      </c>
      <c r="E169" s="282"/>
      <c r="F169" s="285">
        <v>-18400</v>
      </c>
    </row>
    <row r="170" spans="1:6" x14ac:dyDescent="0.25">
      <c r="A170" s="230">
        <v>45666</v>
      </c>
      <c r="B170" s="11" t="s">
        <v>219</v>
      </c>
      <c r="C170" s="112" t="s">
        <v>6</v>
      </c>
      <c r="D170" s="12" t="s">
        <v>229</v>
      </c>
      <c r="E170" s="282"/>
      <c r="F170" s="285">
        <v>2900</v>
      </c>
    </row>
    <row r="171" spans="1:6" x14ac:dyDescent="0.25">
      <c r="A171" s="230">
        <v>45667</v>
      </c>
      <c r="B171" s="11" t="s">
        <v>230</v>
      </c>
      <c r="C171" s="113" t="s">
        <v>6</v>
      </c>
      <c r="D171" s="12" t="s">
        <v>231</v>
      </c>
      <c r="E171" s="282"/>
      <c r="F171" s="285">
        <v>22000</v>
      </c>
    </row>
    <row r="172" spans="1:6" x14ac:dyDescent="0.25">
      <c r="A172" s="230">
        <v>45667</v>
      </c>
      <c r="B172" s="11" t="s">
        <v>232</v>
      </c>
      <c r="C172" s="112" t="s">
        <v>6</v>
      </c>
      <c r="D172" s="17" t="s">
        <v>233</v>
      </c>
      <c r="E172" s="282"/>
      <c r="F172" s="290">
        <v>94724000</v>
      </c>
    </row>
    <row r="173" spans="1:6" x14ac:dyDescent="0.25">
      <c r="A173" s="230">
        <v>45667</v>
      </c>
      <c r="B173" s="11" t="s">
        <v>232</v>
      </c>
      <c r="C173" s="112" t="s">
        <v>6</v>
      </c>
      <c r="D173" s="17" t="s">
        <v>234</v>
      </c>
      <c r="E173" s="282"/>
      <c r="F173" s="290">
        <v>2900</v>
      </c>
    </row>
    <row r="174" spans="1:6" x14ac:dyDescent="0.25">
      <c r="A174" s="230">
        <v>45674</v>
      </c>
      <c r="B174" s="11" t="s">
        <v>235</v>
      </c>
      <c r="C174" s="112" t="s">
        <v>6</v>
      </c>
      <c r="D174" s="17" t="s">
        <v>236</v>
      </c>
      <c r="E174" s="282"/>
      <c r="F174" s="290">
        <v>22000</v>
      </c>
    </row>
    <row r="175" spans="1:6" x14ac:dyDescent="0.25">
      <c r="A175" s="230">
        <v>45674</v>
      </c>
      <c r="B175" s="11" t="s">
        <v>235</v>
      </c>
      <c r="C175" s="112" t="s">
        <v>6</v>
      </c>
      <c r="D175" s="17" t="s">
        <v>237</v>
      </c>
      <c r="E175" s="282"/>
      <c r="F175" s="290">
        <v>513500</v>
      </c>
    </row>
    <row r="176" spans="1:6" x14ac:dyDescent="0.25">
      <c r="A176" s="230">
        <v>45677</v>
      </c>
      <c r="B176" s="11" t="s">
        <v>238</v>
      </c>
      <c r="C176" s="112" t="s">
        <v>6</v>
      </c>
      <c r="D176" s="17" t="s">
        <v>239</v>
      </c>
      <c r="E176" s="282"/>
      <c r="F176" s="290">
        <v>21335416.670000002</v>
      </c>
    </row>
    <row r="177" spans="1:6" x14ac:dyDescent="0.25">
      <c r="A177" s="230">
        <v>45679</v>
      </c>
      <c r="B177" s="11" t="s">
        <v>240</v>
      </c>
      <c r="C177" s="113" t="s">
        <v>6</v>
      </c>
      <c r="D177" s="12" t="s">
        <v>241</v>
      </c>
      <c r="E177" s="282"/>
      <c r="F177" s="289">
        <v>114588506</v>
      </c>
    </row>
    <row r="178" spans="1:6" x14ac:dyDescent="0.25">
      <c r="A178" s="230">
        <v>45679</v>
      </c>
      <c r="B178" s="11" t="s">
        <v>240</v>
      </c>
      <c r="C178" s="113" t="s">
        <v>6</v>
      </c>
      <c r="D178" s="12" t="s">
        <v>242</v>
      </c>
      <c r="E178" s="282"/>
      <c r="F178" s="289">
        <v>5115141</v>
      </c>
    </row>
    <row r="179" spans="1:6" x14ac:dyDescent="0.25">
      <c r="A179" s="230">
        <v>45681</v>
      </c>
      <c r="B179" s="11" t="s">
        <v>243</v>
      </c>
      <c r="C179" s="112" t="s">
        <v>6</v>
      </c>
      <c r="D179" s="17" t="s">
        <v>244</v>
      </c>
      <c r="E179" s="282"/>
      <c r="F179" s="290">
        <v>77547000</v>
      </c>
    </row>
    <row r="180" spans="1:6" x14ac:dyDescent="0.25">
      <c r="A180" s="230">
        <v>45681</v>
      </c>
      <c r="B180" s="11" t="s">
        <v>243</v>
      </c>
      <c r="C180" s="112" t="s">
        <v>6</v>
      </c>
      <c r="D180" s="17" t="s">
        <v>245</v>
      </c>
      <c r="E180" s="282"/>
      <c r="F180" s="290">
        <v>151244021</v>
      </c>
    </row>
    <row r="181" spans="1:6" x14ac:dyDescent="0.25">
      <c r="A181" s="230">
        <v>45681</v>
      </c>
      <c r="B181" s="11" t="s">
        <v>243</v>
      </c>
      <c r="C181" s="112" t="s">
        <v>6</v>
      </c>
      <c r="D181" s="17" t="s">
        <v>246</v>
      </c>
      <c r="E181" s="282"/>
      <c r="F181" s="290">
        <v>34373575</v>
      </c>
    </row>
    <row r="182" spans="1:6" x14ac:dyDescent="0.25">
      <c r="A182" s="230">
        <v>45702</v>
      </c>
      <c r="B182" s="11" t="s">
        <v>247</v>
      </c>
      <c r="C182" s="113" t="s">
        <v>6</v>
      </c>
      <c r="D182" s="16" t="s">
        <v>248</v>
      </c>
      <c r="E182" s="282"/>
      <c r="F182" s="290">
        <v>20000</v>
      </c>
    </row>
    <row r="183" spans="1:6" x14ac:dyDescent="0.25">
      <c r="A183" s="230">
        <v>45702</v>
      </c>
      <c r="B183" s="11" t="s">
        <v>247</v>
      </c>
      <c r="C183" s="113" t="s">
        <v>6</v>
      </c>
      <c r="D183" s="16" t="s">
        <v>249</v>
      </c>
      <c r="E183" s="282"/>
      <c r="F183" s="290">
        <v>445300</v>
      </c>
    </row>
    <row r="184" spans="1:6" x14ac:dyDescent="0.25">
      <c r="A184" s="230">
        <v>45702</v>
      </c>
      <c r="B184" s="11" t="s">
        <v>250</v>
      </c>
      <c r="C184" s="112" t="s">
        <v>6</v>
      </c>
      <c r="D184" s="28" t="s">
        <v>251</v>
      </c>
      <c r="E184" s="282"/>
      <c r="F184" s="290">
        <v>10550000</v>
      </c>
    </row>
    <row r="185" spans="1:6" x14ac:dyDescent="0.25">
      <c r="A185" s="230">
        <v>45702</v>
      </c>
      <c r="B185" s="11" t="s">
        <v>250</v>
      </c>
      <c r="C185" s="112" t="s">
        <v>6</v>
      </c>
      <c r="D185" s="28" t="s">
        <v>105</v>
      </c>
      <c r="E185" s="282"/>
      <c r="F185" s="290">
        <v>2500</v>
      </c>
    </row>
    <row r="186" spans="1:6" x14ac:dyDescent="0.25">
      <c r="A186" s="230">
        <v>45702</v>
      </c>
      <c r="B186" s="11" t="s">
        <v>252</v>
      </c>
      <c r="C186" s="113" t="s">
        <v>6</v>
      </c>
      <c r="D186" s="16" t="s">
        <v>67</v>
      </c>
      <c r="E186" s="282"/>
      <c r="F186" s="290">
        <v>187000</v>
      </c>
    </row>
    <row r="187" spans="1:6" x14ac:dyDescent="0.25">
      <c r="A187" s="230">
        <v>45702</v>
      </c>
      <c r="B187" s="11" t="s">
        <v>252</v>
      </c>
      <c r="C187" s="113" t="s">
        <v>6</v>
      </c>
      <c r="D187" s="16" t="s">
        <v>149</v>
      </c>
      <c r="E187" s="282"/>
      <c r="F187" s="290">
        <v>35500</v>
      </c>
    </row>
    <row r="188" spans="1:6" x14ac:dyDescent="0.25">
      <c r="A188" s="230">
        <v>45702</v>
      </c>
      <c r="B188" s="11" t="s">
        <v>252</v>
      </c>
      <c r="C188" s="113" t="s">
        <v>6</v>
      </c>
      <c r="D188" s="16" t="s">
        <v>253</v>
      </c>
      <c r="E188" s="282"/>
      <c r="F188" s="290">
        <v>15000</v>
      </c>
    </row>
    <row r="189" spans="1:6" x14ac:dyDescent="0.25">
      <c r="A189" s="230">
        <v>45702</v>
      </c>
      <c r="B189" s="11" t="s">
        <v>252</v>
      </c>
      <c r="C189" s="113" t="s">
        <v>6</v>
      </c>
      <c r="D189" s="16" t="s">
        <v>254</v>
      </c>
      <c r="E189" s="282"/>
      <c r="F189" s="290">
        <v>283000</v>
      </c>
    </row>
    <row r="190" spans="1:6" x14ac:dyDescent="0.25">
      <c r="A190" s="230">
        <v>45707</v>
      </c>
      <c r="B190" s="11" t="s">
        <v>255</v>
      </c>
      <c r="C190" s="113" t="s">
        <v>6</v>
      </c>
      <c r="D190" s="12" t="s">
        <v>256</v>
      </c>
      <c r="E190" s="282"/>
      <c r="F190" s="285">
        <v>-114588506</v>
      </c>
    </row>
    <row r="191" spans="1:6" x14ac:dyDescent="0.25">
      <c r="A191" s="230">
        <v>45707</v>
      </c>
      <c r="B191" s="11" t="s">
        <v>255</v>
      </c>
      <c r="C191" s="113" t="s">
        <v>6</v>
      </c>
      <c r="D191" s="12" t="s">
        <v>257</v>
      </c>
      <c r="E191" s="282"/>
      <c r="F191" s="285">
        <v>-5115141</v>
      </c>
    </row>
    <row r="192" spans="1:6" x14ac:dyDescent="0.25">
      <c r="A192" s="230">
        <v>45707</v>
      </c>
      <c r="B192" s="11" t="s">
        <v>258</v>
      </c>
      <c r="C192" s="112" t="s">
        <v>6</v>
      </c>
      <c r="D192" s="17" t="s">
        <v>82</v>
      </c>
      <c r="E192" s="282"/>
      <c r="F192" s="290">
        <v>21335416.670000002</v>
      </c>
    </row>
    <row r="193" spans="1:6" x14ac:dyDescent="0.25">
      <c r="A193" s="230">
        <v>45709</v>
      </c>
      <c r="B193" s="11" t="s">
        <v>259</v>
      </c>
      <c r="C193" s="113" t="s">
        <v>6</v>
      </c>
      <c r="D193" s="12" t="s">
        <v>260</v>
      </c>
      <c r="E193" s="282"/>
      <c r="F193" s="285">
        <v>502500</v>
      </c>
    </row>
    <row r="194" spans="1:6" x14ac:dyDescent="0.25">
      <c r="A194" s="230">
        <v>45709</v>
      </c>
      <c r="B194" s="11" t="s">
        <v>259</v>
      </c>
      <c r="C194" s="113" t="s">
        <v>6</v>
      </c>
      <c r="D194" s="12" t="s">
        <v>261</v>
      </c>
      <c r="E194" s="282"/>
      <c r="F194" s="285">
        <v>1098688</v>
      </c>
    </row>
    <row r="195" spans="1:6" x14ac:dyDescent="0.25">
      <c r="A195" s="230">
        <v>45709</v>
      </c>
      <c r="B195" s="11" t="s">
        <v>262</v>
      </c>
      <c r="C195" s="113" t="s">
        <v>6</v>
      </c>
      <c r="D195" s="29" t="s">
        <v>263</v>
      </c>
      <c r="E195" s="282"/>
      <c r="F195" s="290">
        <v>80000</v>
      </c>
    </row>
    <row r="196" spans="1:6" x14ac:dyDescent="0.25">
      <c r="A196" s="230">
        <v>45714</v>
      </c>
      <c r="B196" s="11" t="s">
        <v>264</v>
      </c>
      <c r="C196" s="113" t="s">
        <v>6</v>
      </c>
      <c r="D196" s="12" t="s">
        <v>265</v>
      </c>
      <c r="E196" s="282"/>
      <c r="F196" s="290">
        <v>3000000</v>
      </c>
    </row>
    <row r="197" spans="1:6" x14ac:dyDescent="0.25">
      <c r="A197" s="230">
        <v>45716</v>
      </c>
      <c r="B197" s="11" t="s">
        <v>266</v>
      </c>
      <c r="C197" s="328" t="s">
        <v>6</v>
      </c>
      <c r="D197" s="39" t="s">
        <v>267</v>
      </c>
      <c r="E197" s="282"/>
      <c r="F197" s="289">
        <v>65000</v>
      </c>
    </row>
    <row r="198" spans="1:6" x14ac:dyDescent="0.25">
      <c r="A198" s="230">
        <v>45716</v>
      </c>
      <c r="B198" s="11" t="s">
        <v>266</v>
      </c>
      <c r="C198" s="328" t="s">
        <v>6</v>
      </c>
      <c r="D198" s="39" t="s">
        <v>105</v>
      </c>
      <c r="E198" s="282"/>
      <c r="F198" s="289">
        <v>2500</v>
      </c>
    </row>
    <row r="199" spans="1:6" x14ac:dyDescent="0.25">
      <c r="A199" s="230">
        <v>45716</v>
      </c>
      <c r="B199" s="11" t="s">
        <v>266</v>
      </c>
      <c r="C199" s="328" t="s">
        <v>6</v>
      </c>
      <c r="D199" s="39" t="s">
        <v>268</v>
      </c>
      <c r="E199" s="282"/>
      <c r="F199" s="289">
        <v>60000</v>
      </c>
    </row>
    <row r="200" spans="1:6" x14ac:dyDescent="0.25">
      <c r="A200" s="230">
        <v>45716</v>
      </c>
      <c r="B200" s="11" t="s">
        <v>266</v>
      </c>
      <c r="C200" s="328" t="s">
        <v>6</v>
      </c>
      <c r="D200" s="39" t="s">
        <v>105</v>
      </c>
      <c r="E200" s="282"/>
      <c r="F200" s="289">
        <v>2500</v>
      </c>
    </row>
    <row r="201" spans="1:6" x14ac:dyDescent="0.25">
      <c r="A201" s="230">
        <v>45716</v>
      </c>
      <c r="B201" s="11" t="s">
        <v>266</v>
      </c>
      <c r="C201" s="328" t="s">
        <v>6</v>
      </c>
      <c r="D201" s="39" t="s">
        <v>269</v>
      </c>
      <c r="E201" s="282"/>
      <c r="F201" s="289">
        <v>1000000</v>
      </c>
    </row>
    <row r="202" spans="1:6" x14ac:dyDescent="0.25">
      <c r="A202" s="230">
        <v>45716</v>
      </c>
      <c r="B202" s="11" t="s">
        <v>266</v>
      </c>
      <c r="C202" s="328" t="s">
        <v>6</v>
      </c>
      <c r="D202" s="39" t="s">
        <v>105</v>
      </c>
      <c r="E202" s="282"/>
      <c r="F202" s="289">
        <v>2500</v>
      </c>
    </row>
    <row r="203" spans="1:6" x14ac:dyDescent="0.25">
      <c r="A203" s="230">
        <v>45716</v>
      </c>
      <c r="B203" s="11" t="s">
        <v>266</v>
      </c>
      <c r="C203" s="328" t="s">
        <v>6</v>
      </c>
      <c r="D203" s="39" t="s">
        <v>270</v>
      </c>
      <c r="E203" s="282"/>
      <c r="F203" s="289">
        <v>360570</v>
      </c>
    </row>
    <row r="204" spans="1:6" x14ac:dyDescent="0.25">
      <c r="A204" s="230">
        <v>45723</v>
      </c>
      <c r="B204" s="11" t="s">
        <v>271</v>
      </c>
      <c r="C204" s="113" t="s">
        <v>6</v>
      </c>
      <c r="D204" s="17" t="s">
        <v>272</v>
      </c>
      <c r="E204" s="282"/>
      <c r="F204" s="290">
        <v>20000</v>
      </c>
    </row>
    <row r="205" spans="1:6" x14ac:dyDescent="0.25">
      <c r="A205" s="230">
        <v>45723</v>
      </c>
      <c r="B205" s="11" t="s">
        <v>273</v>
      </c>
      <c r="C205" s="340" t="s">
        <v>6</v>
      </c>
      <c r="D205" s="162" t="s">
        <v>274</v>
      </c>
      <c r="E205" s="282"/>
      <c r="F205" s="285">
        <v>3500000</v>
      </c>
    </row>
    <row r="206" spans="1:6" x14ac:dyDescent="0.25">
      <c r="A206" s="230">
        <v>45723</v>
      </c>
      <c r="B206" s="11" t="s">
        <v>273</v>
      </c>
      <c r="C206" s="340" t="s">
        <v>6</v>
      </c>
      <c r="D206" s="162" t="s">
        <v>275</v>
      </c>
      <c r="E206" s="282"/>
      <c r="F206" s="285">
        <v>2500</v>
      </c>
    </row>
    <row r="207" spans="1:6" x14ac:dyDescent="0.25">
      <c r="A207" s="230">
        <v>45723</v>
      </c>
      <c r="B207" s="11" t="s">
        <v>273</v>
      </c>
      <c r="C207" s="340" t="s">
        <v>6</v>
      </c>
      <c r="D207" s="162" t="s">
        <v>276</v>
      </c>
      <c r="E207" s="282"/>
      <c r="F207" s="285">
        <v>2800000</v>
      </c>
    </row>
    <row r="208" spans="1:6" x14ac:dyDescent="0.25">
      <c r="A208" s="230">
        <v>45723</v>
      </c>
      <c r="B208" s="11" t="s">
        <v>273</v>
      </c>
      <c r="C208" s="340" t="s">
        <v>6</v>
      </c>
      <c r="D208" s="162" t="s">
        <v>277</v>
      </c>
      <c r="E208" s="282"/>
      <c r="F208" s="285">
        <v>-56000</v>
      </c>
    </row>
    <row r="209" spans="1:6" x14ac:dyDescent="0.25">
      <c r="A209" s="230">
        <v>45723</v>
      </c>
      <c r="B209" s="11" t="s">
        <v>273</v>
      </c>
      <c r="C209" s="340" t="s">
        <v>6</v>
      </c>
      <c r="D209" s="162" t="s">
        <v>278</v>
      </c>
      <c r="E209" s="282"/>
      <c r="F209" s="285">
        <v>270000</v>
      </c>
    </row>
    <row r="210" spans="1:6" x14ac:dyDescent="0.25">
      <c r="A210" s="230">
        <v>45723</v>
      </c>
      <c r="B210" s="11" t="s">
        <v>273</v>
      </c>
      <c r="C210" s="340" t="s">
        <v>6</v>
      </c>
      <c r="D210" s="162" t="s">
        <v>275</v>
      </c>
      <c r="E210" s="282"/>
      <c r="F210" s="285">
        <v>2500</v>
      </c>
    </row>
    <row r="211" spans="1:6" x14ac:dyDescent="0.25">
      <c r="A211" s="230">
        <v>45723</v>
      </c>
      <c r="B211" s="11" t="s">
        <v>273</v>
      </c>
      <c r="C211" s="340" t="s">
        <v>6</v>
      </c>
      <c r="D211" s="162" t="s">
        <v>279</v>
      </c>
      <c r="E211" s="282"/>
      <c r="F211" s="285">
        <v>1229885</v>
      </c>
    </row>
    <row r="212" spans="1:6" x14ac:dyDescent="0.25">
      <c r="A212" s="230">
        <v>45723</v>
      </c>
      <c r="B212" s="11" t="s">
        <v>273</v>
      </c>
      <c r="C212" s="340" t="s">
        <v>6</v>
      </c>
      <c r="D212" s="162" t="s">
        <v>280</v>
      </c>
      <c r="E212" s="282"/>
      <c r="F212" s="285">
        <v>259000</v>
      </c>
    </row>
    <row r="213" spans="1:6" x14ac:dyDescent="0.25">
      <c r="A213" s="230">
        <v>45723</v>
      </c>
      <c r="B213" s="11" t="s">
        <v>273</v>
      </c>
      <c r="C213" s="340" t="s">
        <v>6</v>
      </c>
      <c r="D213" s="162" t="s">
        <v>275</v>
      </c>
      <c r="E213" s="282"/>
      <c r="F213" s="285">
        <v>2500</v>
      </c>
    </row>
    <row r="214" spans="1:6" x14ac:dyDescent="0.25">
      <c r="A214" s="230">
        <v>45723</v>
      </c>
      <c r="B214" s="11" t="s">
        <v>273</v>
      </c>
      <c r="C214" s="340" t="s">
        <v>6</v>
      </c>
      <c r="D214" s="162" t="s">
        <v>281</v>
      </c>
      <c r="E214" s="282"/>
      <c r="F214" s="285">
        <v>250000</v>
      </c>
    </row>
    <row r="215" spans="1:6" x14ac:dyDescent="0.25">
      <c r="A215" s="230">
        <v>45723</v>
      </c>
      <c r="B215" s="11" t="s">
        <v>273</v>
      </c>
      <c r="C215" s="340" t="s">
        <v>6</v>
      </c>
      <c r="D215" s="162" t="s">
        <v>275</v>
      </c>
      <c r="E215" s="282"/>
      <c r="F215" s="285">
        <v>2500</v>
      </c>
    </row>
    <row r="216" spans="1:6" x14ac:dyDescent="0.25">
      <c r="A216" s="230">
        <v>45742</v>
      </c>
      <c r="B216" s="11" t="s">
        <v>282</v>
      </c>
      <c r="C216" s="113" t="s">
        <v>6</v>
      </c>
      <c r="D216" s="12" t="s">
        <v>283</v>
      </c>
      <c r="E216" s="291"/>
      <c r="F216" s="285">
        <v>1710000</v>
      </c>
    </row>
    <row r="217" spans="1:6" x14ac:dyDescent="0.25">
      <c r="A217" s="230">
        <v>45743</v>
      </c>
      <c r="B217" s="11" t="s">
        <v>284</v>
      </c>
      <c r="C217" s="113" t="s">
        <v>6</v>
      </c>
      <c r="D217" s="12" t="s">
        <v>25</v>
      </c>
      <c r="E217" s="282"/>
      <c r="F217" s="285">
        <v>220116</v>
      </c>
    </row>
    <row r="218" spans="1:6" x14ac:dyDescent="0.25">
      <c r="A218" s="230">
        <v>45743</v>
      </c>
      <c r="B218" s="11" t="s">
        <v>284</v>
      </c>
      <c r="C218" s="113" t="s">
        <v>6</v>
      </c>
      <c r="D218" s="12" t="s">
        <v>24</v>
      </c>
      <c r="E218" s="282"/>
      <c r="F218" s="285">
        <v>520000</v>
      </c>
    </row>
    <row r="219" spans="1:6" x14ac:dyDescent="0.25">
      <c r="A219" s="230">
        <v>45756</v>
      </c>
      <c r="B219" s="11" t="s">
        <v>285</v>
      </c>
      <c r="C219" s="113" t="s">
        <v>6</v>
      </c>
      <c r="D219" s="24" t="s">
        <v>286</v>
      </c>
      <c r="E219" s="291"/>
      <c r="F219" s="285">
        <v>1529000</v>
      </c>
    </row>
    <row r="220" spans="1:6" x14ac:dyDescent="0.25">
      <c r="A220" s="230">
        <v>45756</v>
      </c>
      <c r="B220" s="11" t="s">
        <v>285</v>
      </c>
      <c r="C220" s="113" t="s">
        <v>6</v>
      </c>
      <c r="D220" s="24" t="s">
        <v>287</v>
      </c>
      <c r="E220" s="291"/>
      <c r="F220" s="285">
        <v>252800</v>
      </c>
    </row>
    <row r="221" spans="1:6" x14ac:dyDescent="0.25">
      <c r="A221" s="230">
        <v>45756</v>
      </c>
      <c r="B221" s="11" t="s">
        <v>285</v>
      </c>
      <c r="C221" s="113" t="s">
        <v>6</v>
      </c>
      <c r="D221" s="24" t="s">
        <v>288</v>
      </c>
      <c r="E221" s="291"/>
      <c r="F221" s="285">
        <v>500000</v>
      </c>
    </row>
    <row r="222" spans="1:6" x14ac:dyDescent="0.25">
      <c r="A222" s="230">
        <v>45756</v>
      </c>
      <c r="B222" s="11" t="s">
        <v>285</v>
      </c>
      <c r="C222" s="113" t="s">
        <v>6</v>
      </c>
      <c r="D222" s="24" t="s">
        <v>289</v>
      </c>
      <c r="E222" s="291"/>
      <c r="F222" s="285">
        <v>650000</v>
      </c>
    </row>
    <row r="223" spans="1:6" x14ac:dyDescent="0.25">
      <c r="A223" s="230">
        <v>45756</v>
      </c>
      <c r="B223" s="11" t="s">
        <v>285</v>
      </c>
      <c r="C223" s="113" t="s">
        <v>6</v>
      </c>
      <c r="D223" s="24" t="s">
        <v>290</v>
      </c>
      <c r="E223" s="291"/>
      <c r="F223" s="285">
        <v>188000</v>
      </c>
    </row>
    <row r="224" spans="1:6" x14ac:dyDescent="0.25">
      <c r="A224" s="230">
        <v>45756</v>
      </c>
      <c r="B224" s="11" t="s">
        <v>285</v>
      </c>
      <c r="C224" s="113" t="s">
        <v>6</v>
      </c>
      <c r="D224" s="24" t="s">
        <v>291</v>
      </c>
      <c r="E224" s="291"/>
      <c r="F224" s="285">
        <v>2900000</v>
      </c>
    </row>
    <row r="225" spans="1:6" x14ac:dyDescent="0.25">
      <c r="A225" s="230">
        <v>45756</v>
      </c>
      <c r="B225" s="11" t="s">
        <v>285</v>
      </c>
      <c r="C225" s="113" t="s">
        <v>6</v>
      </c>
      <c r="D225" s="24" t="s">
        <v>292</v>
      </c>
      <c r="E225" s="291"/>
      <c r="F225" s="285">
        <v>1550000</v>
      </c>
    </row>
    <row r="226" spans="1:6" x14ac:dyDescent="0.25">
      <c r="A226" s="230">
        <v>45756</v>
      </c>
      <c r="B226" s="11" t="s">
        <v>285</v>
      </c>
      <c r="C226" s="113" t="s">
        <v>6</v>
      </c>
      <c r="D226" s="24" t="s">
        <v>293</v>
      </c>
      <c r="E226" s="291"/>
      <c r="F226" s="285">
        <v>74000</v>
      </c>
    </row>
    <row r="227" spans="1:6" x14ac:dyDescent="0.25">
      <c r="A227" s="230">
        <v>45756</v>
      </c>
      <c r="B227" s="11" t="s">
        <v>285</v>
      </c>
      <c r="C227" s="113" t="s">
        <v>6</v>
      </c>
      <c r="D227" s="24" t="s">
        <v>294</v>
      </c>
      <c r="E227" s="291"/>
      <c r="F227" s="285">
        <v>29900</v>
      </c>
    </row>
    <row r="228" spans="1:6" x14ac:dyDescent="0.25">
      <c r="A228" s="230">
        <v>45756</v>
      </c>
      <c r="B228" s="11" t="s">
        <v>285</v>
      </c>
      <c r="C228" s="113" t="s">
        <v>6</v>
      </c>
      <c r="D228" s="12" t="s">
        <v>295</v>
      </c>
      <c r="E228" s="291"/>
      <c r="F228" s="285">
        <v>2500</v>
      </c>
    </row>
    <row r="229" spans="1:6" x14ac:dyDescent="0.25">
      <c r="A229" s="230">
        <v>45757</v>
      </c>
      <c r="B229" s="11" t="s">
        <v>296</v>
      </c>
      <c r="C229" s="113" t="s">
        <v>6</v>
      </c>
      <c r="D229" s="12" t="s">
        <v>297</v>
      </c>
      <c r="E229" s="291"/>
      <c r="F229" s="285">
        <v>125000000</v>
      </c>
    </row>
    <row r="230" spans="1:6" x14ac:dyDescent="0.25">
      <c r="A230" s="230">
        <v>45757</v>
      </c>
      <c r="B230" s="11" t="s">
        <v>296</v>
      </c>
      <c r="C230" s="113" t="s">
        <v>6</v>
      </c>
      <c r="D230" s="12" t="s">
        <v>298</v>
      </c>
      <c r="E230" s="291"/>
      <c r="F230" s="285">
        <v>13750000</v>
      </c>
    </row>
    <row r="231" spans="1:6" x14ac:dyDescent="0.25">
      <c r="A231" s="230">
        <v>45757</v>
      </c>
      <c r="B231" s="11" t="s">
        <v>296</v>
      </c>
      <c r="C231" s="113" t="s">
        <v>6</v>
      </c>
      <c r="D231" s="12" t="s">
        <v>299</v>
      </c>
      <c r="E231" s="291"/>
      <c r="F231" s="285">
        <v>-2500000</v>
      </c>
    </row>
    <row r="232" spans="1:6" x14ac:dyDescent="0.25">
      <c r="A232" s="230">
        <v>45757</v>
      </c>
      <c r="B232" s="11" t="s">
        <v>296</v>
      </c>
      <c r="C232" s="113" t="s">
        <v>6</v>
      </c>
      <c r="D232" s="12" t="s">
        <v>300</v>
      </c>
      <c r="E232" s="291"/>
      <c r="F232" s="285">
        <v>2900</v>
      </c>
    </row>
    <row r="233" spans="1:6" x14ac:dyDescent="0.25">
      <c r="A233" s="230">
        <v>45758</v>
      </c>
      <c r="B233" s="11" t="s">
        <v>301</v>
      </c>
      <c r="C233" s="113" t="s">
        <v>6</v>
      </c>
      <c r="D233" s="24" t="s">
        <v>24</v>
      </c>
      <c r="E233" s="291"/>
      <c r="F233" s="285">
        <v>225000</v>
      </c>
    </row>
    <row r="234" spans="1:6" x14ac:dyDescent="0.25">
      <c r="A234" s="230">
        <v>45758</v>
      </c>
      <c r="B234" s="11" t="s">
        <v>301</v>
      </c>
      <c r="C234" s="113" t="s">
        <v>6</v>
      </c>
      <c r="D234" s="26" t="s">
        <v>25</v>
      </c>
      <c r="E234" s="286"/>
      <c r="F234" s="289">
        <v>459800</v>
      </c>
    </row>
    <row r="235" spans="1:6" x14ac:dyDescent="0.25">
      <c r="A235" s="230">
        <v>45758</v>
      </c>
      <c r="B235" s="11" t="s">
        <v>301</v>
      </c>
      <c r="C235" s="113" t="s">
        <v>6</v>
      </c>
      <c r="D235" s="26" t="s">
        <v>26</v>
      </c>
      <c r="E235" s="282"/>
      <c r="F235" s="289">
        <v>84500</v>
      </c>
    </row>
    <row r="236" spans="1:6" x14ac:dyDescent="0.25">
      <c r="A236" s="230">
        <v>45758</v>
      </c>
      <c r="B236" s="11" t="s">
        <v>301</v>
      </c>
      <c r="C236" s="113" t="s">
        <v>6</v>
      </c>
      <c r="D236" s="26" t="s">
        <v>302</v>
      </c>
      <c r="E236" s="282"/>
      <c r="F236" s="289">
        <v>2900</v>
      </c>
    </row>
    <row r="237" spans="1:6" x14ac:dyDescent="0.25">
      <c r="A237" s="230">
        <v>45763</v>
      </c>
      <c r="B237" s="11" t="s">
        <v>303</v>
      </c>
      <c r="C237" s="113" t="s">
        <v>6</v>
      </c>
      <c r="D237" s="12" t="s">
        <v>304</v>
      </c>
      <c r="E237" s="291"/>
      <c r="F237" s="285">
        <v>1850000</v>
      </c>
    </row>
    <row r="238" spans="1:6" x14ac:dyDescent="0.25">
      <c r="A238" s="230">
        <v>45763</v>
      </c>
      <c r="B238" s="11" t="s">
        <v>303</v>
      </c>
      <c r="C238" s="113" t="s">
        <v>6</v>
      </c>
      <c r="D238" s="12" t="s">
        <v>305</v>
      </c>
      <c r="E238" s="291"/>
      <c r="F238" s="285">
        <v>2900</v>
      </c>
    </row>
    <row r="239" spans="1:6" x14ac:dyDescent="0.25">
      <c r="A239" s="230">
        <v>45763</v>
      </c>
      <c r="B239" s="11" t="s">
        <v>306</v>
      </c>
      <c r="C239" s="113" t="s">
        <v>6</v>
      </c>
      <c r="D239" s="12" t="s">
        <v>307</v>
      </c>
      <c r="E239" s="291"/>
      <c r="F239" s="285">
        <v>11050000</v>
      </c>
    </row>
    <row r="240" spans="1:6" x14ac:dyDescent="0.25">
      <c r="A240" s="230">
        <v>45763</v>
      </c>
      <c r="B240" s="11" t="s">
        <v>306</v>
      </c>
      <c r="C240" s="113" t="s">
        <v>6</v>
      </c>
      <c r="D240" s="12" t="s">
        <v>308</v>
      </c>
      <c r="E240" s="291"/>
      <c r="F240" s="285">
        <v>1215500</v>
      </c>
    </row>
    <row r="241" spans="1:6" x14ac:dyDescent="0.25">
      <c r="A241" s="230">
        <v>45763</v>
      </c>
      <c r="B241" s="11" t="s">
        <v>306</v>
      </c>
      <c r="C241" s="113" t="s">
        <v>6</v>
      </c>
      <c r="D241" s="12" t="s">
        <v>309</v>
      </c>
      <c r="E241" s="291"/>
      <c r="F241" s="285">
        <v>-221000</v>
      </c>
    </row>
    <row r="242" spans="1:6" x14ac:dyDescent="0.25">
      <c r="A242" s="230">
        <v>45763</v>
      </c>
      <c r="B242" s="11" t="s">
        <v>306</v>
      </c>
      <c r="C242" s="113" t="s">
        <v>6</v>
      </c>
      <c r="D242" s="12" t="s">
        <v>310</v>
      </c>
      <c r="E242" s="291"/>
      <c r="F242" s="285">
        <v>12869850</v>
      </c>
    </row>
    <row r="243" spans="1:6" x14ac:dyDescent="0.25">
      <c r="A243" s="230">
        <v>45763</v>
      </c>
      <c r="B243" s="11" t="s">
        <v>306</v>
      </c>
      <c r="C243" s="113" t="s">
        <v>6</v>
      </c>
      <c r="D243" s="12" t="s">
        <v>311</v>
      </c>
      <c r="E243" s="291"/>
      <c r="F243" s="285">
        <v>2900</v>
      </c>
    </row>
    <row r="244" spans="1:6" x14ac:dyDescent="0.25">
      <c r="A244" s="230">
        <v>45763</v>
      </c>
      <c r="B244" s="11" t="s">
        <v>312</v>
      </c>
      <c r="C244" s="112" t="s">
        <v>6</v>
      </c>
      <c r="D244" s="12" t="s">
        <v>295</v>
      </c>
      <c r="E244" s="282"/>
      <c r="F244" s="285">
        <v>2500</v>
      </c>
    </row>
    <row r="245" spans="1:6" x14ac:dyDescent="0.25">
      <c r="A245" s="230">
        <v>45763</v>
      </c>
      <c r="B245" s="11" t="s">
        <v>312</v>
      </c>
      <c r="C245" s="112" t="s">
        <v>6</v>
      </c>
      <c r="D245" s="17" t="s">
        <v>313</v>
      </c>
      <c r="E245" s="282"/>
      <c r="F245" s="289">
        <v>470000</v>
      </c>
    </row>
    <row r="246" spans="1:6" x14ac:dyDescent="0.25">
      <c r="A246" s="230">
        <v>45763</v>
      </c>
      <c r="B246" s="11" t="s">
        <v>312</v>
      </c>
      <c r="C246" s="112" t="s">
        <v>6</v>
      </c>
      <c r="D246" s="17" t="s">
        <v>295</v>
      </c>
      <c r="E246" s="282"/>
      <c r="F246" s="289">
        <v>2500</v>
      </c>
    </row>
    <row r="247" spans="1:6" x14ac:dyDescent="0.25">
      <c r="A247" s="230">
        <v>45763</v>
      </c>
      <c r="B247" s="11" t="s">
        <v>312</v>
      </c>
      <c r="C247" s="112" t="s">
        <v>6</v>
      </c>
      <c r="D247" s="17" t="s">
        <v>314</v>
      </c>
      <c r="E247" s="282"/>
      <c r="F247" s="289">
        <v>750000</v>
      </c>
    </row>
    <row r="248" spans="1:6" x14ac:dyDescent="0.25">
      <c r="A248" s="230">
        <v>45763</v>
      </c>
      <c r="B248" s="11" t="s">
        <v>312</v>
      </c>
      <c r="C248" s="112" t="s">
        <v>6</v>
      </c>
      <c r="D248" s="17" t="s">
        <v>295</v>
      </c>
      <c r="E248" s="282"/>
      <c r="F248" s="289">
        <v>2500</v>
      </c>
    </row>
    <row r="249" spans="1:6" x14ac:dyDescent="0.25">
      <c r="A249" s="230">
        <v>45763</v>
      </c>
      <c r="B249" s="11" t="s">
        <v>312</v>
      </c>
      <c r="C249" s="112" t="s">
        <v>6</v>
      </c>
      <c r="D249" s="17" t="s">
        <v>294</v>
      </c>
      <c r="E249" s="282"/>
      <c r="F249" s="289">
        <v>400000</v>
      </c>
    </row>
    <row r="250" spans="1:6" x14ac:dyDescent="0.25">
      <c r="A250" s="230">
        <v>45763</v>
      </c>
      <c r="B250" s="11" t="s">
        <v>312</v>
      </c>
      <c r="C250" s="112" t="s">
        <v>6</v>
      </c>
      <c r="D250" s="17" t="s">
        <v>295</v>
      </c>
      <c r="E250" s="282"/>
      <c r="F250" s="289">
        <v>2500</v>
      </c>
    </row>
    <row r="251" spans="1:6" x14ac:dyDescent="0.25">
      <c r="A251" s="230">
        <v>45763</v>
      </c>
      <c r="B251" s="11" t="s">
        <v>312</v>
      </c>
      <c r="C251" s="112" t="s">
        <v>6</v>
      </c>
      <c r="D251" s="17" t="s">
        <v>315</v>
      </c>
      <c r="E251" s="282"/>
      <c r="F251" s="289">
        <v>3500000</v>
      </c>
    </row>
    <row r="252" spans="1:6" x14ac:dyDescent="0.25">
      <c r="A252" s="230">
        <v>45763</v>
      </c>
      <c r="B252" s="11" t="s">
        <v>312</v>
      </c>
      <c r="C252" s="112" t="s">
        <v>6</v>
      </c>
      <c r="D252" s="17" t="s">
        <v>295</v>
      </c>
      <c r="E252" s="282"/>
      <c r="F252" s="289">
        <v>2500</v>
      </c>
    </row>
    <row r="253" spans="1:6" x14ac:dyDescent="0.25">
      <c r="A253" s="230">
        <v>45763</v>
      </c>
      <c r="B253" s="11" t="s">
        <v>312</v>
      </c>
      <c r="C253" s="113" t="s">
        <v>6</v>
      </c>
      <c r="D253" s="12" t="s">
        <v>316</v>
      </c>
      <c r="E253" s="282"/>
      <c r="F253" s="285">
        <v>1634000</v>
      </c>
    </row>
    <row r="254" spans="1:6" x14ac:dyDescent="0.25">
      <c r="A254" s="230">
        <v>45763</v>
      </c>
      <c r="B254" s="11" t="s">
        <v>312</v>
      </c>
      <c r="C254" s="113" t="s">
        <v>6</v>
      </c>
      <c r="D254" s="12" t="s">
        <v>295</v>
      </c>
      <c r="E254" s="282"/>
      <c r="F254" s="285">
        <v>2500</v>
      </c>
    </row>
    <row r="255" spans="1:6" x14ac:dyDescent="0.25">
      <c r="A255" s="230">
        <v>45763</v>
      </c>
      <c r="B255" s="11" t="s">
        <v>312</v>
      </c>
      <c r="C255" s="112" t="s">
        <v>6</v>
      </c>
      <c r="D255" s="12" t="s">
        <v>317</v>
      </c>
      <c r="E255" s="282"/>
      <c r="F255" s="289">
        <v>1000000</v>
      </c>
    </row>
    <row r="256" spans="1:6" x14ac:dyDescent="0.25">
      <c r="A256" s="230">
        <v>45763</v>
      </c>
      <c r="B256" s="11" t="s">
        <v>312</v>
      </c>
      <c r="C256" s="112" t="s">
        <v>6</v>
      </c>
      <c r="D256" s="12" t="s">
        <v>295</v>
      </c>
      <c r="E256" s="282"/>
      <c r="F256" s="289">
        <v>2500</v>
      </c>
    </row>
    <row r="257" spans="1:6" x14ac:dyDescent="0.25">
      <c r="A257" s="230">
        <v>45764</v>
      </c>
      <c r="B257" s="11" t="s">
        <v>318</v>
      </c>
      <c r="C257" s="112" t="s">
        <v>6</v>
      </c>
      <c r="D257" s="17" t="s">
        <v>82</v>
      </c>
      <c r="E257" s="282"/>
      <c r="F257" s="289">
        <v>21335416.670000002</v>
      </c>
    </row>
    <row r="258" spans="1:6" x14ac:dyDescent="0.25">
      <c r="A258" s="230">
        <v>45764</v>
      </c>
      <c r="B258" s="11" t="s">
        <v>319</v>
      </c>
      <c r="C258" s="113" t="s">
        <v>6</v>
      </c>
      <c r="D258" s="12" t="s">
        <v>320</v>
      </c>
      <c r="E258" s="286"/>
      <c r="F258" s="289">
        <v>40000</v>
      </c>
    </row>
    <row r="259" spans="1:6" x14ac:dyDescent="0.25">
      <c r="A259" s="230">
        <v>45770</v>
      </c>
      <c r="B259" s="11" t="s">
        <v>321</v>
      </c>
      <c r="C259" s="112" t="s">
        <v>6</v>
      </c>
      <c r="D259" s="12" t="s">
        <v>322</v>
      </c>
      <c r="E259" s="282"/>
      <c r="F259" s="289">
        <v>9500000</v>
      </c>
    </row>
    <row r="260" spans="1:6" x14ac:dyDescent="0.25">
      <c r="A260" s="230">
        <v>45770</v>
      </c>
      <c r="B260" s="11" t="s">
        <v>321</v>
      </c>
      <c r="C260" s="112" t="s">
        <v>6</v>
      </c>
      <c r="D260" s="12" t="s">
        <v>323</v>
      </c>
      <c r="E260" s="282"/>
      <c r="F260" s="289">
        <v>1045000</v>
      </c>
    </row>
    <row r="261" spans="1:6" x14ac:dyDescent="0.25">
      <c r="A261" s="230">
        <v>45770</v>
      </c>
      <c r="B261" s="11" t="s">
        <v>321</v>
      </c>
      <c r="C261" s="112" t="s">
        <v>6</v>
      </c>
      <c r="D261" s="12" t="s">
        <v>324</v>
      </c>
      <c r="E261" s="282"/>
      <c r="F261" s="289">
        <v>-190000</v>
      </c>
    </row>
    <row r="262" spans="1:6" x14ac:dyDescent="0.25">
      <c r="A262" s="230">
        <v>45770</v>
      </c>
      <c r="B262" s="11" t="s">
        <v>325</v>
      </c>
      <c r="C262" s="112" t="s">
        <v>6</v>
      </c>
      <c r="D262" s="12" t="s">
        <v>326</v>
      </c>
      <c r="E262" s="282"/>
      <c r="F262" s="289">
        <v>21000</v>
      </c>
    </row>
    <row r="263" spans="1:6" x14ac:dyDescent="0.25">
      <c r="A263" s="230">
        <v>45770</v>
      </c>
      <c r="B263" s="11" t="s">
        <v>325</v>
      </c>
      <c r="C263" s="112" t="s">
        <v>6</v>
      </c>
      <c r="D263" s="12" t="s">
        <v>327</v>
      </c>
      <c r="E263" s="282"/>
      <c r="F263" s="289">
        <v>3848300</v>
      </c>
    </row>
    <row r="264" spans="1:6" x14ac:dyDescent="0.25">
      <c r="A264" s="230">
        <v>45770</v>
      </c>
      <c r="B264" s="11" t="s">
        <v>325</v>
      </c>
      <c r="C264" s="112" t="s">
        <v>6</v>
      </c>
      <c r="D264" s="12" t="s">
        <v>328</v>
      </c>
      <c r="E264" s="282"/>
      <c r="F264" s="289">
        <v>250000</v>
      </c>
    </row>
    <row r="265" spans="1:6" x14ac:dyDescent="0.25">
      <c r="A265" s="230">
        <v>45770</v>
      </c>
      <c r="B265" s="11" t="s">
        <v>325</v>
      </c>
      <c r="C265" s="112" t="s">
        <v>6</v>
      </c>
      <c r="D265" s="12" t="s">
        <v>329</v>
      </c>
      <c r="E265" s="282"/>
      <c r="F265" s="289">
        <v>535000</v>
      </c>
    </row>
    <row r="266" spans="1:6" x14ac:dyDescent="0.25">
      <c r="A266" s="230">
        <v>45770</v>
      </c>
      <c r="B266" s="11" t="s">
        <v>325</v>
      </c>
      <c r="C266" s="112" t="s">
        <v>6</v>
      </c>
      <c r="D266" s="12" t="s">
        <v>330</v>
      </c>
      <c r="E266" s="282"/>
      <c r="F266" s="289">
        <v>117000</v>
      </c>
    </row>
    <row r="267" spans="1:6" x14ac:dyDescent="0.25">
      <c r="A267" s="230">
        <v>45770</v>
      </c>
      <c r="B267" s="11" t="s">
        <v>325</v>
      </c>
      <c r="C267" s="112" t="s">
        <v>6</v>
      </c>
      <c r="D267" s="12" t="s">
        <v>331</v>
      </c>
      <c r="E267" s="282"/>
      <c r="F267" s="289">
        <v>575000</v>
      </c>
    </row>
    <row r="268" spans="1:6" x14ac:dyDescent="0.25">
      <c r="A268" s="230">
        <v>45770</v>
      </c>
      <c r="B268" s="11" t="s">
        <v>325</v>
      </c>
      <c r="C268" s="112" t="s">
        <v>6</v>
      </c>
      <c r="D268" s="12" t="s">
        <v>332</v>
      </c>
      <c r="E268" s="282"/>
      <c r="F268" s="289">
        <v>848000</v>
      </c>
    </row>
    <row r="269" spans="1:6" x14ac:dyDescent="0.25">
      <c r="A269" s="230">
        <v>45770</v>
      </c>
      <c r="B269" s="11" t="s">
        <v>325</v>
      </c>
      <c r="C269" s="112" t="s">
        <v>6</v>
      </c>
      <c r="D269" s="26" t="s">
        <v>333</v>
      </c>
      <c r="E269" s="282"/>
      <c r="F269" s="289">
        <v>147500</v>
      </c>
    </row>
    <row r="270" spans="1:6" x14ac:dyDescent="0.25">
      <c r="A270" s="230">
        <v>45770</v>
      </c>
      <c r="B270" s="11" t="s">
        <v>325</v>
      </c>
      <c r="C270" s="112" t="s">
        <v>6</v>
      </c>
      <c r="D270" s="26" t="s">
        <v>334</v>
      </c>
      <c r="E270" s="282"/>
      <c r="F270" s="289">
        <v>4853517</v>
      </c>
    </row>
    <row r="271" spans="1:6" x14ac:dyDescent="0.25">
      <c r="A271" s="230">
        <v>45770</v>
      </c>
      <c r="B271" s="11" t="s">
        <v>325</v>
      </c>
      <c r="C271" s="112" t="s">
        <v>6</v>
      </c>
      <c r="D271" s="26" t="s">
        <v>335</v>
      </c>
      <c r="E271" s="282"/>
      <c r="F271" s="289">
        <v>1316400</v>
      </c>
    </row>
    <row r="272" spans="1:6" x14ac:dyDescent="0.25">
      <c r="A272" s="230">
        <v>45770</v>
      </c>
      <c r="B272" s="11" t="s">
        <v>325</v>
      </c>
      <c r="C272" s="112" t="s">
        <v>6</v>
      </c>
      <c r="D272" s="26" t="s">
        <v>336</v>
      </c>
      <c r="E272" s="282"/>
      <c r="F272" s="289">
        <v>500000</v>
      </c>
    </row>
    <row r="273" spans="1:6" x14ac:dyDescent="0.25">
      <c r="A273" s="230">
        <v>45770</v>
      </c>
      <c r="B273" s="11" t="s">
        <v>325</v>
      </c>
      <c r="C273" s="112" t="s">
        <v>6</v>
      </c>
      <c r="D273" s="26" t="s">
        <v>295</v>
      </c>
      <c r="E273" s="282"/>
      <c r="F273" s="289">
        <v>2500</v>
      </c>
    </row>
    <row r="274" spans="1:6" x14ac:dyDescent="0.25">
      <c r="A274" s="230">
        <v>45770</v>
      </c>
      <c r="B274" s="11" t="s">
        <v>325</v>
      </c>
      <c r="C274" s="112" t="s">
        <v>6</v>
      </c>
      <c r="D274" s="26" t="s">
        <v>337</v>
      </c>
      <c r="E274" s="282"/>
      <c r="F274" s="289">
        <v>60000</v>
      </c>
    </row>
    <row r="275" spans="1:6" x14ac:dyDescent="0.25">
      <c r="A275" s="230">
        <v>45770</v>
      </c>
      <c r="B275" s="11" t="s">
        <v>325</v>
      </c>
      <c r="C275" s="112" t="s">
        <v>6</v>
      </c>
      <c r="D275" s="26" t="s">
        <v>338</v>
      </c>
      <c r="E275" s="282"/>
      <c r="F275" s="289">
        <v>20000</v>
      </c>
    </row>
    <row r="276" spans="1:6" x14ac:dyDescent="0.25">
      <c r="A276" s="230">
        <v>45770</v>
      </c>
      <c r="B276" s="11" t="s">
        <v>325</v>
      </c>
      <c r="C276" s="112" t="s">
        <v>6</v>
      </c>
      <c r="D276" s="26" t="s">
        <v>339</v>
      </c>
      <c r="E276" s="282"/>
      <c r="F276" s="289">
        <v>3000</v>
      </c>
    </row>
    <row r="277" spans="1:6" x14ac:dyDescent="0.25">
      <c r="A277" s="230">
        <v>45770</v>
      </c>
      <c r="B277" s="11" t="s">
        <v>325</v>
      </c>
      <c r="C277" s="112" t="s">
        <v>6</v>
      </c>
      <c r="D277" s="26" t="s">
        <v>295</v>
      </c>
      <c r="E277" s="282"/>
      <c r="F277" s="289">
        <v>2500</v>
      </c>
    </row>
    <row r="278" spans="1:6" x14ac:dyDescent="0.25">
      <c r="A278" s="230">
        <v>45770</v>
      </c>
      <c r="B278" s="11" t="s">
        <v>325</v>
      </c>
      <c r="C278" s="112" t="s">
        <v>6</v>
      </c>
      <c r="D278" s="26" t="s">
        <v>295</v>
      </c>
      <c r="E278" s="282"/>
      <c r="F278" s="289">
        <v>2500</v>
      </c>
    </row>
    <row r="279" spans="1:6" x14ac:dyDescent="0.25">
      <c r="A279" s="230">
        <v>45770</v>
      </c>
      <c r="B279" s="11" t="s">
        <v>325</v>
      </c>
      <c r="C279" s="112" t="s">
        <v>6</v>
      </c>
      <c r="D279" s="26" t="s">
        <v>340</v>
      </c>
      <c r="E279" s="282"/>
      <c r="F279" s="289">
        <v>250000</v>
      </c>
    </row>
    <row r="280" spans="1:6" x14ac:dyDescent="0.25">
      <c r="A280" s="230">
        <v>45770</v>
      </c>
      <c r="B280" s="11" t="s">
        <v>325</v>
      </c>
      <c r="C280" s="112" t="s">
        <v>6</v>
      </c>
      <c r="D280" s="26" t="s">
        <v>341</v>
      </c>
      <c r="E280" s="282"/>
      <c r="F280" s="289">
        <v>500000</v>
      </c>
    </row>
    <row r="281" spans="1:6" x14ac:dyDescent="0.25">
      <c r="A281" s="230">
        <v>45770</v>
      </c>
      <c r="B281" s="11" t="s">
        <v>325</v>
      </c>
      <c r="C281" s="112" t="s">
        <v>6</v>
      </c>
      <c r="D281" s="26" t="s">
        <v>295</v>
      </c>
      <c r="E281" s="282"/>
      <c r="F281" s="289">
        <v>2500</v>
      </c>
    </row>
    <row r="282" spans="1:6" x14ac:dyDescent="0.25">
      <c r="A282" s="230">
        <v>45770</v>
      </c>
      <c r="B282" s="11" t="s">
        <v>325</v>
      </c>
      <c r="C282" s="112" t="s">
        <v>6</v>
      </c>
      <c r="D282" s="26" t="s">
        <v>342</v>
      </c>
      <c r="E282" s="282"/>
      <c r="F282" s="289">
        <v>1284600</v>
      </c>
    </row>
    <row r="283" spans="1:6" x14ac:dyDescent="0.25">
      <c r="A283" s="230">
        <v>45770</v>
      </c>
      <c r="B283" s="11" t="s">
        <v>325</v>
      </c>
      <c r="C283" s="112" t="s">
        <v>6</v>
      </c>
      <c r="D283" s="26" t="s">
        <v>343</v>
      </c>
      <c r="E283" s="282"/>
      <c r="F283" s="289">
        <v>503320</v>
      </c>
    </row>
    <row r="284" spans="1:6" x14ac:dyDescent="0.25">
      <c r="A284" s="230">
        <v>45770</v>
      </c>
      <c r="B284" s="11" t="s">
        <v>325</v>
      </c>
      <c r="C284" s="112" t="s">
        <v>6</v>
      </c>
      <c r="D284" s="26" t="s">
        <v>333</v>
      </c>
      <c r="E284" s="282"/>
      <c r="F284" s="289">
        <v>206500</v>
      </c>
    </row>
    <row r="285" spans="1:6" x14ac:dyDescent="0.25">
      <c r="A285" s="230">
        <v>45770</v>
      </c>
      <c r="B285" s="11" t="s">
        <v>325</v>
      </c>
      <c r="C285" s="112" t="s">
        <v>6</v>
      </c>
      <c r="D285" s="26" t="s">
        <v>344</v>
      </c>
      <c r="E285" s="282"/>
      <c r="F285" s="289">
        <v>197500</v>
      </c>
    </row>
    <row r="286" spans="1:6" x14ac:dyDescent="0.25">
      <c r="A286" s="230">
        <v>45770</v>
      </c>
      <c r="B286" s="11" t="s">
        <v>325</v>
      </c>
      <c r="C286" s="112" t="s">
        <v>6</v>
      </c>
      <c r="D286" s="26" t="s">
        <v>333</v>
      </c>
      <c r="E286" s="282"/>
      <c r="F286" s="289">
        <v>1699900</v>
      </c>
    </row>
    <row r="287" spans="1:6" x14ac:dyDescent="0.25">
      <c r="A287" s="230">
        <v>45770</v>
      </c>
      <c r="B287" s="11" t="s">
        <v>325</v>
      </c>
      <c r="C287" s="112" t="s">
        <v>6</v>
      </c>
      <c r="D287" s="17" t="s">
        <v>345</v>
      </c>
      <c r="E287" s="282"/>
      <c r="F287" s="289">
        <v>1546500</v>
      </c>
    </row>
    <row r="288" spans="1:6" x14ac:dyDescent="0.25">
      <c r="A288" s="230">
        <v>45770</v>
      </c>
      <c r="B288" s="11" t="s">
        <v>325</v>
      </c>
      <c r="C288" s="112" t="s">
        <v>6</v>
      </c>
      <c r="D288" s="17" t="s">
        <v>346</v>
      </c>
      <c r="E288" s="282"/>
      <c r="F288" s="289">
        <v>1923523</v>
      </c>
    </row>
    <row r="289" spans="1:6" x14ac:dyDescent="0.25">
      <c r="A289" s="230">
        <v>45770</v>
      </c>
      <c r="B289" s="11" t="s">
        <v>325</v>
      </c>
      <c r="C289" s="112" t="s">
        <v>6</v>
      </c>
      <c r="D289" s="17" t="s">
        <v>347</v>
      </c>
      <c r="E289" s="282"/>
      <c r="F289" s="289">
        <v>1070000</v>
      </c>
    </row>
    <row r="290" spans="1:6" x14ac:dyDescent="0.25">
      <c r="A290" s="230">
        <v>45770</v>
      </c>
      <c r="B290" s="11" t="s">
        <v>325</v>
      </c>
      <c r="C290" s="112" t="s">
        <v>6</v>
      </c>
      <c r="D290" s="26" t="s">
        <v>348</v>
      </c>
      <c r="E290" s="282"/>
      <c r="F290" s="289">
        <v>815124</v>
      </c>
    </row>
    <row r="291" spans="1:6" x14ac:dyDescent="0.25">
      <c r="A291" s="230">
        <v>45770</v>
      </c>
      <c r="B291" s="11" t="s">
        <v>325</v>
      </c>
      <c r="C291" s="112" t="s">
        <v>6</v>
      </c>
      <c r="D291" s="26" t="s">
        <v>349</v>
      </c>
      <c r="E291" s="282"/>
      <c r="F291" s="289">
        <v>1942500</v>
      </c>
    </row>
    <row r="292" spans="1:6" x14ac:dyDescent="0.25">
      <c r="A292" s="230">
        <v>45772</v>
      </c>
      <c r="B292" s="11" t="s">
        <v>350</v>
      </c>
      <c r="C292" s="113" t="s">
        <v>6</v>
      </c>
      <c r="D292" s="12" t="s">
        <v>351</v>
      </c>
      <c r="E292" s="282"/>
      <c r="F292" s="285">
        <v>3500000</v>
      </c>
    </row>
    <row r="293" spans="1:6" x14ac:dyDescent="0.25">
      <c r="A293" s="230">
        <v>45772</v>
      </c>
      <c r="B293" s="11" t="s">
        <v>350</v>
      </c>
      <c r="C293" s="113" t="s">
        <v>6</v>
      </c>
      <c r="D293" s="12" t="s">
        <v>295</v>
      </c>
      <c r="E293" s="282"/>
      <c r="F293" s="285">
        <v>2500</v>
      </c>
    </row>
    <row r="294" spans="1:6" x14ac:dyDescent="0.25">
      <c r="A294" s="230">
        <v>45772</v>
      </c>
      <c r="B294" s="11" t="s">
        <v>350</v>
      </c>
      <c r="C294" s="113" t="s">
        <v>6</v>
      </c>
      <c r="D294" s="12" t="s">
        <v>352</v>
      </c>
      <c r="E294" s="282"/>
      <c r="F294" s="285">
        <v>5000000</v>
      </c>
    </row>
    <row r="295" spans="1:6" x14ac:dyDescent="0.25">
      <c r="A295" s="230">
        <v>45772</v>
      </c>
      <c r="B295" s="11" t="s">
        <v>350</v>
      </c>
      <c r="C295" s="113" t="s">
        <v>6</v>
      </c>
      <c r="D295" s="12" t="s">
        <v>295</v>
      </c>
      <c r="E295" s="282"/>
      <c r="F295" s="285">
        <v>2500</v>
      </c>
    </row>
    <row r="296" spans="1:6" x14ac:dyDescent="0.25">
      <c r="A296" s="230">
        <v>45772</v>
      </c>
      <c r="B296" s="11" t="s">
        <v>350</v>
      </c>
      <c r="C296" s="113" t="s">
        <v>6</v>
      </c>
      <c r="D296" s="12" t="s">
        <v>353</v>
      </c>
      <c r="E296" s="282"/>
      <c r="F296" s="285">
        <v>266500</v>
      </c>
    </row>
    <row r="297" spans="1:6" x14ac:dyDescent="0.25">
      <c r="A297" s="230">
        <v>45772</v>
      </c>
      <c r="B297" s="11" t="s">
        <v>350</v>
      </c>
      <c r="C297" s="113" t="s">
        <v>6</v>
      </c>
      <c r="D297" s="12" t="s">
        <v>354</v>
      </c>
      <c r="E297" s="282"/>
      <c r="F297" s="285">
        <v>1290000</v>
      </c>
    </row>
    <row r="298" spans="1:6" x14ac:dyDescent="0.25">
      <c r="A298" s="230">
        <v>45772</v>
      </c>
      <c r="B298" s="11" t="s">
        <v>350</v>
      </c>
      <c r="C298" s="113" t="s">
        <v>6</v>
      </c>
      <c r="D298" s="12" t="s">
        <v>355</v>
      </c>
      <c r="E298" s="282"/>
      <c r="F298" s="285">
        <v>14000</v>
      </c>
    </row>
    <row r="299" spans="1:6" x14ac:dyDescent="0.25">
      <c r="A299" s="230">
        <v>45772</v>
      </c>
      <c r="B299" s="11" t="s">
        <v>350</v>
      </c>
      <c r="C299" s="113" t="s">
        <v>6</v>
      </c>
      <c r="D299" s="12" t="s">
        <v>356</v>
      </c>
      <c r="E299" s="282"/>
      <c r="F299" s="285">
        <v>5542200</v>
      </c>
    </row>
    <row r="300" spans="1:6" x14ac:dyDescent="0.25">
      <c r="A300" s="230">
        <v>45772</v>
      </c>
      <c r="B300" s="11" t="s">
        <v>350</v>
      </c>
      <c r="C300" s="113" t="s">
        <v>6</v>
      </c>
      <c r="D300" s="12" t="s">
        <v>357</v>
      </c>
      <c r="E300" s="282"/>
      <c r="F300" s="285">
        <v>105000</v>
      </c>
    </row>
    <row r="301" spans="1:6" x14ac:dyDescent="0.25">
      <c r="A301" s="230">
        <v>45772</v>
      </c>
      <c r="B301" s="11" t="s">
        <v>350</v>
      </c>
      <c r="C301" s="113" t="s">
        <v>6</v>
      </c>
      <c r="D301" s="12" t="s">
        <v>358</v>
      </c>
      <c r="E301" s="282"/>
      <c r="F301" s="285">
        <v>30000</v>
      </c>
    </row>
    <row r="302" spans="1:6" x14ac:dyDescent="0.25">
      <c r="A302" s="230">
        <v>45772</v>
      </c>
      <c r="B302" s="11" t="s">
        <v>350</v>
      </c>
      <c r="C302" s="113" t="s">
        <v>6</v>
      </c>
      <c r="D302" s="12" t="s">
        <v>359</v>
      </c>
      <c r="E302" s="282"/>
      <c r="F302" s="285">
        <v>85000</v>
      </c>
    </row>
    <row r="303" spans="1:6" x14ac:dyDescent="0.25">
      <c r="A303" s="230">
        <v>45772</v>
      </c>
      <c r="B303" s="11" t="s">
        <v>350</v>
      </c>
      <c r="C303" s="113" t="s">
        <v>6</v>
      </c>
      <c r="D303" s="12" t="s">
        <v>360</v>
      </c>
      <c r="E303" s="282"/>
      <c r="F303" s="285">
        <v>153000</v>
      </c>
    </row>
    <row r="304" spans="1:6" x14ac:dyDescent="0.25">
      <c r="A304" s="230">
        <v>45772</v>
      </c>
      <c r="B304" s="11" t="s">
        <v>350</v>
      </c>
      <c r="C304" s="113" t="s">
        <v>6</v>
      </c>
      <c r="D304" s="12" t="s">
        <v>361</v>
      </c>
      <c r="E304" s="282"/>
      <c r="F304" s="285">
        <v>53000</v>
      </c>
    </row>
    <row r="305" spans="1:6" x14ac:dyDescent="0.25">
      <c r="A305" s="230">
        <v>45772</v>
      </c>
      <c r="B305" s="11" t="s">
        <v>350</v>
      </c>
      <c r="C305" s="113" t="s">
        <v>6</v>
      </c>
      <c r="D305" s="12" t="s">
        <v>362</v>
      </c>
      <c r="E305" s="282"/>
      <c r="F305" s="285">
        <v>745000</v>
      </c>
    </row>
    <row r="306" spans="1:6" x14ac:dyDescent="0.25">
      <c r="A306" s="230">
        <v>45772</v>
      </c>
      <c r="B306" s="11" t="s">
        <v>350</v>
      </c>
      <c r="C306" s="113" t="s">
        <v>6</v>
      </c>
      <c r="D306" s="12" t="s">
        <v>363</v>
      </c>
      <c r="E306" s="282"/>
      <c r="F306" s="285">
        <v>1750000</v>
      </c>
    </row>
    <row r="307" spans="1:6" x14ac:dyDescent="0.25">
      <c r="A307" s="230">
        <v>45772</v>
      </c>
      <c r="B307" s="11" t="s">
        <v>350</v>
      </c>
      <c r="C307" s="113" t="s">
        <v>6</v>
      </c>
      <c r="D307" s="12" t="s">
        <v>364</v>
      </c>
      <c r="E307" s="282"/>
      <c r="F307" s="285">
        <v>80000</v>
      </c>
    </row>
    <row r="308" spans="1:6" x14ac:dyDescent="0.25">
      <c r="A308" s="230">
        <v>45772</v>
      </c>
      <c r="B308" s="11" t="s">
        <v>350</v>
      </c>
      <c r="C308" s="113" t="s">
        <v>6</v>
      </c>
      <c r="D308" s="12" t="s">
        <v>365</v>
      </c>
      <c r="E308" s="282"/>
      <c r="F308" s="285">
        <v>4350000</v>
      </c>
    </row>
    <row r="309" spans="1:6" x14ac:dyDescent="0.25">
      <c r="A309" s="230">
        <v>45772</v>
      </c>
      <c r="B309" s="11" t="s">
        <v>350</v>
      </c>
      <c r="C309" s="113" t="s">
        <v>6</v>
      </c>
      <c r="D309" s="12" t="s">
        <v>295</v>
      </c>
      <c r="E309" s="282"/>
      <c r="F309" s="285">
        <v>2500</v>
      </c>
    </row>
    <row r="310" spans="1:6" x14ac:dyDescent="0.25">
      <c r="A310" s="230">
        <v>45772</v>
      </c>
      <c r="B310" s="11" t="s">
        <v>350</v>
      </c>
      <c r="C310" s="113" t="s">
        <v>6</v>
      </c>
      <c r="D310" s="12" t="s">
        <v>366</v>
      </c>
      <c r="E310" s="282"/>
      <c r="F310" s="285">
        <v>3202500</v>
      </c>
    </row>
    <row r="311" spans="1:6" x14ac:dyDescent="0.25">
      <c r="A311" s="230">
        <v>45772</v>
      </c>
      <c r="B311" s="11" t="s">
        <v>350</v>
      </c>
      <c r="C311" s="113" t="s">
        <v>6</v>
      </c>
      <c r="D311" s="12" t="s">
        <v>367</v>
      </c>
      <c r="E311" s="282"/>
      <c r="F311" s="285">
        <v>1600000</v>
      </c>
    </row>
    <row r="312" spans="1:6" x14ac:dyDescent="0.25">
      <c r="A312" s="230">
        <v>45772</v>
      </c>
      <c r="B312" s="11" t="s">
        <v>350</v>
      </c>
      <c r="C312" s="113" t="s">
        <v>6</v>
      </c>
      <c r="D312" s="12" t="s">
        <v>368</v>
      </c>
      <c r="E312" s="282"/>
      <c r="F312" s="285">
        <v>-32000</v>
      </c>
    </row>
    <row r="313" spans="1:6" x14ac:dyDescent="0.25">
      <c r="A313" s="230">
        <v>45772</v>
      </c>
      <c r="B313" s="11" t="s">
        <v>350</v>
      </c>
      <c r="C313" s="113" t="s">
        <v>6</v>
      </c>
      <c r="D313" s="12" t="s">
        <v>295</v>
      </c>
      <c r="E313" s="282"/>
      <c r="F313" s="285">
        <v>2500</v>
      </c>
    </row>
    <row r="314" spans="1:6" x14ac:dyDescent="0.25">
      <c r="A314" s="230">
        <v>45772</v>
      </c>
      <c r="B314" s="11" t="s">
        <v>350</v>
      </c>
      <c r="C314" s="113" t="s">
        <v>6</v>
      </c>
      <c r="D314" s="12" t="s">
        <v>369</v>
      </c>
      <c r="E314" s="282"/>
      <c r="F314" s="285">
        <v>4285715</v>
      </c>
    </row>
    <row r="315" spans="1:6" x14ac:dyDescent="0.25">
      <c r="A315" s="230">
        <v>45772</v>
      </c>
      <c r="B315" s="11" t="s">
        <v>350</v>
      </c>
      <c r="C315" s="113" t="s">
        <v>6</v>
      </c>
      <c r="D315" s="12" t="s">
        <v>370</v>
      </c>
      <c r="E315" s="282"/>
      <c r="F315" s="285">
        <v>-85715</v>
      </c>
    </row>
    <row r="316" spans="1:6" x14ac:dyDescent="0.25">
      <c r="A316" s="230">
        <v>45772</v>
      </c>
      <c r="B316" s="11" t="s">
        <v>350</v>
      </c>
      <c r="C316" s="113" t="s">
        <v>6</v>
      </c>
      <c r="D316" s="12" t="s">
        <v>371</v>
      </c>
      <c r="E316" s="282"/>
      <c r="F316" s="285">
        <v>2500</v>
      </c>
    </row>
    <row r="317" spans="1:6" x14ac:dyDescent="0.25">
      <c r="A317" s="230">
        <v>45772</v>
      </c>
      <c r="B317" s="11" t="s">
        <v>350</v>
      </c>
      <c r="C317" s="113" t="s">
        <v>6</v>
      </c>
      <c r="D317" s="12" t="s">
        <v>372</v>
      </c>
      <c r="E317" s="282"/>
      <c r="F317" s="285">
        <v>1464000</v>
      </c>
    </row>
    <row r="318" spans="1:6" x14ac:dyDescent="0.25">
      <c r="A318" s="230">
        <v>45772</v>
      </c>
      <c r="B318" s="11" t="s">
        <v>373</v>
      </c>
      <c r="C318" s="112" t="s">
        <v>6</v>
      </c>
      <c r="D318" s="12" t="s">
        <v>374</v>
      </c>
      <c r="E318" s="282"/>
      <c r="F318" s="289">
        <v>3469388</v>
      </c>
    </row>
    <row r="319" spans="1:6" x14ac:dyDescent="0.25">
      <c r="A319" s="230">
        <v>45772</v>
      </c>
      <c r="B319" s="11" t="s">
        <v>373</v>
      </c>
      <c r="C319" s="112" t="s">
        <v>6</v>
      </c>
      <c r="D319" s="12" t="s">
        <v>375</v>
      </c>
      <c r="E319" s="282"/>
      <c r="F319" s="289">
        <v>-69388</v>
      </c>
    </row>
    <row r="320" spans="1:6" x14ac:dyDescent="0.25">
      <c r="A320" s="230">
        <v>45772</v>
      </c>
      <c r="B320" s="11" t="s">
        <v>373</v>
      </c>
      <c r="C320" s="112" t="s">
        <v>6</v>
      </c>
      <c r="D320" s="12" t="s">
        <v>376</v>
      </c>
      <c r="E320" s="282"/>
      <c r="F320" s="289">
        <v>2900</v>
      </c>
    </row>
    <row r="321" spans="1:6" x14ac:dyDescent="0.25">
      <c r="A321" s="230">
        <v>45772</v>
      </c>
      <c r="B321" s="11" t="s">
        <v>377</v>
      </c>
      <c r="C321" s="113" t="s">
        <v>6</v>
      </c>
      <c r="D321" s="12" t="s">
        <v>378</v>
      </c>
      <c r="E321" s="282"/>
      <c r="F321" s="285">
        <v>180000</v>
      </c>
    </row>
    <row r="322" spans="1:6" x14ac:dyDescent="0.25">
      <c r="A322" s="230">
        <v>45772</v>
      </c>
      <c r="B322" s="11" t="s">
        <v>377</v>
      </c>
      <c r="C322" s="112" t="s">
        <v>6</v>
      </c>
      <c r="D322" s="26" t="s">
        <v>379</v>
      </c>
      <c r="E322" s="282"/>
      <c r="F322" s="289">
        <v>64000</v>
      </c>
    </row>
    <row r="323" spans="1:6" x14ac:dyDescent="0.25">
      <c r="A323" s="230">
        <v>45772</v>
      </c>
      <c r="B323" s="11" t="s">
        <v>380</v>
      </c>
      <c r="C323" s="112" t="s">
        <v>6</v>
      </c>
      <c r="D323" s="12" t="s">
        <v>381</v>
      </c>
      <c r="E323" s="282"/>
      <c r="F323" s="289">
        <v>4350000</v>
      </c>
    </row>
    <row r="324" spans="1:6" x14ac:dyDescent="0.25">
      <c r="A324" s="230">
        <v>45772</v>
      </c>
      <c r="B324" s="11" t="s">
        <v>380</v>
      </c>
      <c r="C324" s="112" t="s">
        <v>6</v>
      </c>
      <c r="D324" s="12" t="s">
        <v>382</v>
      </c>
      <c r="E324" s="282"/>
      <c r="F324" s="285">
        <v>2500</v>
      </c>
    </row>
    <row r="325" spans="1:6" x14ac:dyDescent="0.25">
      <c r="A325" s="230">
        <v>45772</v>
      </c>
      <c r="B325" s="11" t="s">
        <v>380</v>
      </c>
      <c r="C325" s="112" t="s">
        <v>6</v>
      </c>
      <c r="D325" s="12" t="s">
        <v>383</v>
      </c>
      <c r="E325" s="282"/>
      <c r="F325" s="285">
        <v>1985000</v>
      </c>
    </row>
    <row r="326" spans="1:6" x14ac:dyDescent="0.25">
      <c r="A326" s="230">
        <v>45772</v>
      </c>
      <c r="B326" s="11" t="s">
        <v>380</v>
      </c>
      <c r="C326" s="112" t="s">
        <v>6</v>
      </c>
      <c r="D326" s="12" t="s">
        <v>382</v>
      </c>
      <c r="E326" s="282"/>
      <c r="F326" s="285">
        <v>2500</v>
      </c>
    </row>
    <row r="327" spans="1:6" x14ac:dyDescent="0.25">
      <c r="A327" s="230">
        <v>45772</v>
      </c>
      <c r="B327" s="11" t="s">
        <v>384</v>
      </c>
      <c r="C327" s="113" t="s">
        <v>6</v>
      </c>
      <c r="D327" s="12" t="s">
        <v>385</v>
      </c>
      <c r="E327" s="282"/>
      <c r="F327" s="285">
        <v>382600</v>
      </c>
    </row>
    <row r="328" spans="1:6" x14ac:dyDescent="0.25">
      <c r="A328" s="230">
        <v>45772</v>
      </c>
      <c r="B328" s="11" t="s">
        <v>384</v>
      </c>
      <c r="C328" s="113" t="s">
        <v>6</v>
      </c>
      <c r="D328" s="12" t="s">
        <v>386</v>
      </c>
      <c r="E328" s="282"/>
      <c r="F328" s="285">
        <v>177600</v>
      </c>
    </row>
    <row r="329" spans="1:6" x14ac:dyDescent="0.25">
      <c r="A329" s="230">
        <v>45772</v>
      </c>
      <c r="B329" s="11" t="s">
        <v>384</v>
      </c>
      <c r="C329" s="112" t="s">
        <v>6</v>
      </c>
      <c r="D329" s="17" t="s">
        <v>387</v>
      </c>
      <c r="E329" s="282"/>
      <c r="F329" s="289">
        <v>2900</v>
      </c>
    </row>
    <row r="330" spans="1:6" x14ac:dyDescent="0.25">
      <c r="A330" s="230">
        <v>45775</v>
      </c>
      <c r="B330" s="11" t="s">
        <v>388</v>
      </c>
      <c r="C330" s="112" t="s">
        <v>6</v>
      </c>
      <c r="D330" s="17" t="s">
        <v>389</v>
      </c>
      <c r="E330" s="282"/>
      <c r="F330" s="289">
        <v>1777300</v>
      </c>
    </row>
    <row r="331" spans="1:6" x14ac:dyDescent="0.25">
      <c r="A331" s="230">
        <v>45775</v>
      </c>
      <c r="B331" s="11" t="s">
        <v>388</v>
      </c>
      <c r="C331" s="112" t="s">
        <v>6</v>
      </c>
      <c r="D331" s="17" t="s">
        <v>353</v>
      </c>
      <c r="E331" s="282"/>
      <c r="F331" s="289">
        <v>107000</v>
      </c>
    </row>
    <row r="332" spans="1:6" x14ac:dyDescent="0.25">
      <c r="A332" s="230">
        <v>45775</v>
      </c>
      <c r="B332" s="11" t="s">
        <v>388</v>
      </c>
      <c r="C332" s="112" t="s">
        <v>6</v>
      </c>
      <c r="D332" s="17" t="s">
        <v>357</v>
      </c>
      <c r="E332" s="282"/>
      <c r="F332" s="289">
        <v>19000</v>
      </c>
    </row>
    <row r="333" spans="1:6" x14ac:dyDescent="0.25">
      <c r="A333" s="230">
        <v>45775</v>
      </c>
      <c r="B333" s="11" t="s">
        <v>388</v>
      </c>
      <c r="C333" s="112" t="s">
        <v>6</v>
      </c>
      <c r="D333" s="17" t="s">
        <v>354</v>
      </c>
      <c r="E333" s="282"/>
      <c r="F333" s="289">
        <v>250000</v>
      </c>
    </row>
    <row r="334" spans="1:6" x14ac:dyDescent="0.25">
      <c r="A334" s="230">
        <v>45775</v>
      </c>
      <c r="B334" s="11" t="s">
        <v>388</v>
      </c>
      <c r="C334" s="112" t="s">
        <v>6</v>
      </c>
      <c r="D334" s="17" t="s">
        <v>390</v>
      </c>
      <c r="E334" s="282"/>
      <c r="F334" s="289">
        <v>585000</v>
      </c>
    </row>
    <row r="335" spans="1:6" x14ac:dyDescent="0.25">
      <c r="A335" s="230">
        <v>45777</v>
      </c>
      <c r="B335" s="11" t="s">
        <v>391</v>
      </c>
      <c r="C335" s="112" t="s">
        <v>6</v>
      </c>
      <c r="D335" s="17" t="s">
        <v>392</v>
      </c>
      <c r="E335" s="282"/>
      <c r="F335" s="289">
        <v>5500000</v>
      </c>
    </row>
    <row r="336" spans="1:6" x14ac:dyDescent="0.25">
      <c r="A336" s="230">
        <v>45777</v>
      </c>
      <c r="B336" s="11" t="s">
        <v>391</v>
      </c>
      <c r="C336" s="112" t="s">
        <v>6</v>
      </c>
      <c r="D336" s="17" t="s">
        <v>393</v>
      </c>
      <c r="E336" s="282"/>
      <c r="F336" s="289">
        <v>605000</v>
      </c>
    </row>
    <row r="337" spans="1:6" x14ac:dyDescent="0.25">
      <c r="A337" s="230">
        <v>45777</v>
      </c>
      <c r="B337" s="11" t="s">
        <v>391</v>
      </c>
      <c r="C337" s="112" t="s">
        <v>6</v>
      </c>
      <c r="D337" s="17" t="s">
        <v>394</v>
      </c>
      <c r="E337" s="282"/>
      <c r="F337" s="289">
        <v>-110000</v>
      </c>
    </row>
    <row r="338" spans="1:6" x14ac:dyDescent="0.25">
      <c r="A338" s="230">
        <v>45777</v>
      </c>
      <c r="B338" s="11" t="s">
        <v>391</v>
      </c>
      <c r="C338" s="112" t="s">
        <v>6</v>
      </c>
      <c r="D338" s="17" t="s">
        <v>395</v>
      </c>
      <c r="E338" s="282"/>
      <c r="F338" s="289">
        <v>2900</v>
      </c>
    </row>
    <row r="339" spans="1:6" x14ac:dyDescent="0.25">
      <c r="A339" s="230">
        <v>45777</v>
      </c>
      <c r="B339" s="11" t="s">
        <v>396</v>
      </c>
      <c r="C339" s="112" t="s">
        <v>6</v>
      </c>
      <c r="D339" s="17" t="s">
        <v>397</v>
      </c>
      <c r="E339" s="282"/>
      <c r="F339" s="289">
        <v>9500000</v>
      </c>
    </row>
    <row r="340" spans="1:6" x14ac:dyDescent="0.25">
      <c r="A340" s="230">
        <v>45777</v>
      </c>
      <c r="B340" s="11" t="s">
        <v>396</v>
      </c>
      <c r="C340" s="112" t="s">
        <v>6</v>
      </c>
      <c r="D340" s="17" t="s">
        <v>398</v>
      </c>
      <c r="E340" s="282"/>
      <c r="F340" s="289">
        <v>1045000</v>
      </c>
    </row>
    <row r="341" spans="1:6" x14ac:dyDescent="0.25">
      <c r="A341" s="230">
        <v>45777</v>
      </c>
      <c r="B341" s="11" t="s">
        <v>396</v>
      </c>
      <c r="C341" s="112" t="s">
        <v>6</v>
      </c>
      <c r="D341" s="17" t="s">
        <v>399</v>
      </c>
      <c r="E341" s="282"/>
      <c r="F341" s="289">
        <v>-190000</v>
      </c>
    </row>
    <row r="342" spans="1:6" x14ac:dyDescent="0.25">
      <c r="A342" s="230">
        <v>45777</v>
      </c>
      <c r="B342" s="11" t="s">
        <v>396</v>
      </c>
      <c r="C342" s="112" t="s">
        <v>6</v>
      </c>
      <c r="D342" s="17" t="s">
        <v>400</v>
      </c>
      <c r="E342" s="282"/>
      <c r="F342" s="289">
        <v>2900</v>
      </c>
    </row>
    <row r="343" spans="1:6" x14ac:dyDescent="0.25">
      <c r="A343" s="230">
        <v>45779</v>
      </c>
      <c r="B343" s="11" t="s">
        <v>401</v>
      </c>
      <c r="C343" s="112" t="s">
        <v>6</v>
      </c>
      <c r="D343" s="17" t="s">
        <v>402</v>
      </c>
      <c r="E343" s="282"/>
      <c r="F343" s="289">
        <v>60000</v>
      </c>
    </row>
    <row r="344" spans="1:6" x14ac:dyDescent="0.25">
      <c r="A344" s="230">
        <v>45779</v>
      </c>
      <c r="B344" s="11" t="s">
        <v>403</v>
      </c>
      <c r="C344" s="112" t="s">
        <v>6</v>
      </c>
      <c r="D344" s="17" t="s">
        <v>404</v>
      </c>
      <c r="E344" s="282"/>
      <c r="F344" s="348">
        <v>269500</v>
      </c>
    </row>
    <row r="345" spans="1:6" x14ac:dyDescent="0.25">
      <c r="A345" s="230">
        <v>45779</v>
      </c>
      <c r="B345" s="11" t="s">
        <v>403</v>
      </c>
      <c r="C345" s="112" t="s">
        <v>6</v>
      </c>
      <c r="D345" s="17" t="s">
        <v>405</v>
      </c>
      <c r="E345" s="282"/>
      <c r="F345" s="348">
        <v>300000</v>
      </c>
    </row>
    <row r="346" spans="1:6" x14ac:dyDescent="0.25">
      <c r="A346" s="230">
        <v>45779</v>
      </c>
      <c r="B346" s="11" t="s">
        <v>403</v>
      </c>
      <c r="C346" s="112" t="s">
        <v>6</v>
      </c>
      <c r="D346" s="17" t="s">
        <v>406</v>
      </c>
      <c r="E346" s="282"/>
      <c r="F346" s="289">
        <v>267000</v>
      </c>
    </row>
    <row r="347" spans="1:6" x14ac:dyDescent="0.25">
      <c r="A347" s="230">
        <v>45779</v>
      </c>
      <c r="B347" s="11" t="s">
        <v>407</v>
      </c>
      <c r="C347" s="112" t="s">
        <v>6</v>
      </c>
      <c r="D347" s="17" t="s">
        <v>408</v>
      </c>
      <c r="E347" s="282"/>
      <c r="F347" s="289">
        <v>150000</v>
      </c>
    </row>
    <row r="348" spans="1:6" x14ac:dyDescent="0.25">
      <c r="A348" s="230">
        <v>45779</v>
      </c>
      <c r="B348" s="11" t="s">
        <v>407</v>
      </c>
      <c r="C348" s="112" t="s">
        <v>6</v>
      </c>
      <c r="D348" s="17" t="s">
        <v>409</v>
      </c>
      <c r="E348" s="282"/>
      <c r="F348" s="289">
        <v>19500</v>
      </c>
    </row>
    <row r="349" spans="1:6" x14ac:dyDescent="0.25">
      <c r="A349" s="230">
        <v>45779</v>
      </c>
      <c r="B349" s="11" t="s">
        <v>407</v>
      </c>
      <c r="C349" s="112" t="s">
        <v>6</v>
      </c>
      <c r="D349" s="17" t="s">
        <v>410</v>
      </c>
      <c r="E349" s="282"/>
      <c r="F349" s="289">
        <v>240780</v>
      </c>
    </row>
    <row r="350" spans="1:6" x14ac:dyDescent="0.25">
      <c r="A350" s="230">
        <v>45779</v>
      </c>
      <c r="B350" s="11" t="s">
        <v>407</v>
      </c>
      <c r="C350" s="112" t="s">
        <v>6</v>
      </c>
      <c r="D350" s="17" t="s">
        <v>411</v>
      </c>
      <c r="E350" s="282"/>
      <c r="F350" s="289">
        <v>800000</v>
      </c>
    </row>
    <row r="351" spans="1:6" x14ac:dyDescent="0.25">
      <c r="A351" s="230">
        <v>45779</v>
      </c>
      <c r="B351" s="11" t="s">
        <v>407</v>
      </c>
      <c r="C351" s="112" t="s">
        <v>6</v>
      </c>
      <c r="D351" s="17" t="s">
        <v>412</v>
      </c>
      <c r="E351" s="282"/>
      <c r="F351" s="289">
        <v>150000</v>
      </c>
    </row>
    <row r="352" spans="1:6" x14ac:dyDescent="0.25">
      <c r="A352" s="230">
        <v>45779</v>
      </c>
      <c r="B352" s="11" t="s">
        <v>407</v>
      </c>
      <c r="C352" s="112" t="s">
        <v>6</v>
      </c>
      <c r="D352" s="17" t="s">
        <v>413</v>
      </c>
      <c r="E352" s="282"/>
      <c r="F352" s="289">
        <v>1343000</v>
      </c>
    </row>
    <row r="353" spans="1:6" x14ac:dyDescent="0.25">
      <c r="A353" s="230">
        <v>45779</v>
      </c>
      <c r="B353" s="11" t="s">
        <v>407</v>
      </c>
      <c r="C353" s="112" t="s">
        <v>6</v>
      </c>
      <c r="D353" s="17" t="s">
        <v>414</v>
      </c>
      <c r="E353" s="282"/>
      <c r="F353" s="289">
        <v>510700</v>
      </c>
    </row>
    <row r="354" spans="1:6" x14ac:dyDescent="0.25">
      <c r="A354" s="230">
        <v>45779</v>
      </c>
      <c r="B354" s="11" t="s">
        <v>415</v>
      </c>
      <c r="C354" s="112" t="s">
        <v>6</v>
      </c>
      <c r="D354" s="26" t="s">
        <v>416</v>
      </c>
      <c r="E354" s="282"/>
      <c r="F354" s="289">
        <v>7200000</v>
      </c>
    </row>
    <row r="355" spans="1:6" x14ac:dyDescent="0.25">
      <c r="A355" s="230">
        <v>45779</v>
      </c>
      <c r="B355" s="11" t="s">
        <v>415</v>
      </c>
      <c r="C355" s="112" t="s">
        <v>6</v>
      </c>
      <c r="D355" s="26" t="s">
        <v>417</v>
      </c>
      <c r="E355" s="282"/>
      <c r="F355" s="289">
        <v>1202500</v>
      </c>
    </row>
    <row r="356" spans="1:6" x14ac:dyDescent="0.25">
      <c r="A356" s="230">
        <v>45779</v>
      </c>
      <c r="B356" s="11" t="s">
        <v>415</v>
      </c>
      <c r="C356" s="112" t="s">
        <v>6</v>
      </c>
      <c r="D356" s="26" t="s">
        <v>418</v>
      </c>
      <c r="E356" s="282"/>
      <c r="F356" s="289">
        <v>2500000</v>
      </c>
    </row>
    <row r="357" spans="1:6" x14ac:dyDescent="0.25">
      <c r="A357" s="230">
        <v>45779</v>
      </c>
      <c r="B357" s="11" t="s">
        <v>415</v>
      </c>
      <c r="C357" s="112" t="s">
        <v>6</v>
      </c>
      <c r="D357" s="26" t="s">
        <v>419</v>
      </c>
      <c r="E357" s="282"/>
      <c r="F357" s="289">
        <v>-50000</v>
      </c>
    </row>
    <row r="358" spans="1:6" x14ac:dyDescent="0.25">
      <c r="A358" s="230">
        <v>45779</v>
      </c>
      <c r="B358" s="11" t="s">
        <v>415</v>
      </c>
      <c r="C358" s="112" t="s">
        <v>6</v>
      </c>
      <c r="D358" s="26" t="s">
        <v>275</v>
      </c>
      <c r="E358" s="282"/>
      <c r="F358" s="289">
        <v>2500</v>
      </c>
    </row>
    <row r="359" spans="1:6" x14ac:dyDescent="0.25">
      <c r="A359" s="230">
        <v>45779</v>
      </c>
      <c r="B359" s="11" t="s">
        <v>415</v>
      </c>
      <c r="C359" s="112" t="s">
        <v>6</v>
      </c>
      <c r="D359" s="26" t="s">
        <v>420</v>
      </c>
      <c r="E359" s="282"/>
      <c r="F359" s="289">
        <v>5002500</v>
      </c>
    </row>
    <row r="360" spans="1:6" x14ac:dyDescent="0.25">
      <c r="A360" s="230">
        <v>45784</v>
      </c>
      <c r="B360" s="11" t="s">
        <v>421</v>
      </c>
      <c r="C360" s="325" t="s">
        <v>6</v>
      </c>
      <c r="D360" s="343" t="s">
        <v>422</v>
      </c>
      <c r="E360" s="282"/>
      <c r="F360" s="289">
        <v>1931000</v>
      </c>
    </row>
    <row r="361" spans="1:6" x14ac:dyDescent="0.25">
      <c r="A361" s="230">
        <v>45784</v>
      </c>
      <c r="B361" s="11" t="s">
        <v>421</v>
      </c>
      <c r="C361" s="325" t="s">
        <v>6</v>
      </c>
      <c r="D361" s="343" t="s">
        <v>423</v>
      </c>
      <c r="E361" s="282"/>
      <c r="F361" s="289">
        <v>212410</v>
      </c>
    </row>
    <row r="362" spans="1:6" x14ac:dyDescent="0.25">
      <c r="A362" s="230">
        <v>45784</v>
      </c>
      <c r="B362" s="11" t="s">
        <v>421</v>
      </c>
      <c r="C362" s="325" t="s">
        <v>6</v>
      </c>
      <c r="D362" s="343" t="s">
        <v>424</v>
      </c>
      <c r="E362" s="282"/>
      <c r="F362" s="289">
        <v>-38620</v>
      </c>
    </row>
    <row r="363" spans="1:6" x14ac:dyDescent="0.25">
      <c r="A363" s="230">
        <v>45784</v>
      </c>
      <c r="B363" s="11" t="s">
        <v>421</v>
      </c>
      <c r="C363" s="325" t="s">
        <v>6</v>
      </c>
      <c r="D363" s="343" t="s">
        <v>425</v>
      </c>
      <c r="E363" s="282"/>
      <c r="F363" s="289">
        <v>56965000</v>
      </c>
    </row>
    <row r="364" spans="1:6" x14ac:dyDescent="0.25">
      <c r="A364" s="230">
        <v>45784</v>
      </c>
      <c r="B364" s="11" t="s">
        <v>421</v>
      </c>
      <c r="C364" s="325" t="s">
        <v>6</v>
      </c>
      <c r="D364" s="343" t="s">
        <v>426</v>
      </c>
      <c r="E364" s="282"/>
      <c r="F364" s="289">
        <v>626615</v>
      </c>
    </row>
    <row r="365" spans="1:6" x14ac:dyDescent="0.25">
      <c r="A365" s="230">
        <v>45784</v>
      </c>
      <c r="B365" s="11" t="s">
        <v>421</v>
      </c>
      <c r="C365" s="325" t="s">
        <v>6</v>
      </c>
      <c r="D365" s="343" t="s">
        <v>427</v>
      </c>
      <c r="E365" s="282"/>
      <c r="F365" s="289">
        <v>-1139300</v>
      </c>
    </row>
    <row r="366" spans="1:6" x14ac:dyDescent="0.25">
      <c r="A366" s="230">
        <v>45784</v>
      </c>
      <c r="B366" s="11" t="s">
        <v>421</v>
      </c>
      <c r="C366" s="325" t="s">
        <v>6</v>
      </c>
      <c r="D366" s="343" t="s">
        <v>428</v>
      </c>
      <c r="E366" s="282"/>
      <c r="F366" s="289">
        <v>4357010</v>
      </c>
    </row>
    <row r="367" spans="1:6" x14ac:dyDescent="0.25">
      <c r="A367" s="230">
        <v>45784</v>
      </c>
      <c r="B367" s="11" t="s">
        <v>421</v>
      </c>
      <c r="C367" s="325" t="s">
        <v>6</v>
      </c>
      <c r="D367" s="343" t="s">
        <v>429</v>
      </c>
      <c r="E367" s="282"/>
      <c r="F367" s="289">
        <v>479271</v>
      </c>
    </row>
    <row r="368" spans="1:6" x14ac:dyDescent="0.25">
      <c r="A368" s="230">
        <v>45784</v>
      </c>
      <c r="B368" s="11" t="s">
        <v>421</v>
      </c>
      <c r="C368" s="325" t="s">
        <v>6</v>
      </c>
      <c r="D368" s="343" t="s">
        <v>430</v>
      </c>
      <c r="E368" s="282"/>
      <c r="F368" s="289">
        <v>-87140</v>
      </c>
    </row>
    <row r="369" spans="1:6" x14ac:dyDescent="0.25">
      <c r="A369" s="230">
        <v>45784</v>
      </c>
      <c r="B369" s="11" t="s">
        <v>421</v>
      </c>
      <c r="C369" s="325" t="s">
        <v>6</v>
      </c>
      <c r="D369" s="343" t="s">
        <v>431</v>
      </c>
      <c r="E369" s="282"/>
      <c r="F369" s="289">
        <v>2900</v>
      </c>
    </row>
    <row r="370" spans="1:6" x14ac:dyDescent="0.25">
      <c r="A370" s="230">
        <v>45790</v>
      </c>
      <c r="B370" s="11" t="s">
        <v>432</v>
      </c>
      <c r="C370" s="112" t="s">
        <v>6</v>
      </c>
      <c r="D370" s="26" t="s">
        <v>433</v>
      </c>
      <c r="E370" s="282"/>
      <c r="F370" s="289">
        <v>14242435</v>
      </c>
    </row>
    <row r="371" spans="1:6" x14ac:dyDescent="0.25">
      <c r="A371" s="230">
        <v>45790</v>
      </c>
      <c r="B371" s="11" t="s">
        <v>432</v>
      </c>
      <c r="C371" s="112" t="s">
        <v>6</v>
      </c>
      <c r="D371" s="26" t="s">
        <v>434</v>
      </c>
      <c r="E371" s="282"/>
      <c r="F371" s="289">
        <v>10139863</v>
      </c>
    </row>
    <row r="372" spans="1:6" x14ac:dyDescent="0.25">
      <c r="A372" s="230">
        <v>45790</v>
      </c>
      <c r="B372" s="11" t="s">
        <v>435</v>
      </c>
      <c r="C372" s="112" t="s">
        <v>6</v>
      </c>
      <c r="D372" s="26" t="s">
        <v>436</v>
      </c>
      <c r="E372" s="282"/>
      <c r="F372" s="289">
        <v>38000</v>
      </c>
    </row>
    <row r="373" spans="1:6" x14ac:dyDescent="0.25">
      <c r="A373" s="230">
        <v>45790</v>
      </c>
      <c r="B373" s="11" t="s">
        <v>437</v>
      </c>
      <c r="C373" s="112" t="s">
        <v>6</v>
      </c>
      <c r="D373" s="26" t="s">
        <v>438</v>
      </c>
      <c r="E373" s="282"/>
      <c r="F373" s="289">
        <v>2548000</v>
      </c>
    </row>
    <row r="374" spans="1:6" x14ac:dyDescent="0.25">
      <c r="A374" s="230">
        <v>45790</v>
      </c>
      <c r="B374" s="11" t="s">
        <v>437</v>
      </c>
      <c r="C374" s="112" t="s">
        <v>6</v>
      </c>
      <c r="D374" s="26" t="s">
        <v>275</v>
      </c>
      <c r="E374" s="282"/>
      <c r="F374" s="289">
        <v>2500</v>
      </c>
    </row>
    <row r="375" spans="1:6" x14ac:dyDescent="0.25">
      <c r="A375" s="230">
        <v>45790</v>
      </c>
      <c r="B375" s="11" t="s">
        <v>437</v>
      </c>
      <c r="C375" s="112" t="s">
        <v>6</v>
      </c>
      <c r="D375" s="26" t="s">
        <v>439</v>
      </c>
      <c r="E375" s="282"/>
      <c r="F375" s="289">
        <v>432500</v>
      </c>
    </row>
    <row r="376" spans="1:6" x14ac:dyDescent="0.25">
      <c r="A376" s="230">
        <v>45790</v>
      </c>
      <c r="B376" s="11" t="s">
        <v>437</v>
      </c>
      <c r="C376" s="112" t="s">
        <v>6</v>
      </c>
      <c r="D376" s="26" t="s">
        <v>440</v>
      </c>
      <c r="E376" s="282"/>
      <c r="F376" s="289">
        <v>300000</v>
      </c>
    </row>
    <row r="377" spans="1:6" x14ac:dyDescent="0.25">
      <c r="A377" s="230">
        <v>45790</v>
      </c>
      <c r="B377" s="11" t="s">
        <v>437</v>
      </c>
      <c r="C377" s="112" t="s">
        <v>6</v>
      </c>
      <c r="D377" s="26" t="s">
        <v>441</v>
      </c>
      <c r="E377" s="282"/>
      <c r="F377" s="289">
        <v>2971100</v>
      </c>
    </row>
    <row r="378" spans="1:6" x14ac:dyDescent="0.25">
      <c r="A378" s="230">
        <v>45790</v>
      </c>
      <c r="B378" s="11" t="s">
        <v>437</v>
      </c>
      <c r="C378" s="112" t="s">
        <v>6</v>
      </c>
      <c r="D378" s="26" t="s">
        <v>442</v>
      </c>
      <c r="E378" s="282"/>
      <c r="F378" s="289">
        <v>1480000</v>
      </c>
    </row>
    <row r="379" spans="1:6" x14ac:dyDescent="0.25">
      <c r="A379" s="230">
        <v>45790</v>
      </c>
      <c r="B379" s="11" t="s">
        <v>437</v>
      </c>
      <c r="C379" s="112" t="s">
        <v>6</v>
      </c>
      <c r="D379" s="26" t="s">
        <v>275</v>
      </c>
      <c r="E379" s="282"/>
      <c r="F379" s="289">
        <v>2500</v>
      </c>
    </row>
    <row r="380" spans="1:6" x14ac:dyDescent="0.25">
      <c r="A380" s="230">
        <v>45791</v>
      </c>
      <c r="B380" s="11" t="s">
        <v>443</v>
      </c>
      <c r="C380" s="112" t="s">
        <v>6</v>
      </c>
      <c r="D380" s="26" t="s">
        <v>444</v>
      </c>
      <c r="E380" s="282"/>
      <c r="F380" s="289">
        <v>255000</v>
      </c>
    </row>
    <row r="381" spans="1:6" x14ac:dyDescent="0.25">
      <c r="A381" s="230">
        <v>45791</v>
      </c>
      <c r="B381" s="11" t="s">
        <v>443</v>
      </c>
      <c r="C381" s="112" t="s">
        <v>6</v>
      </c>
      <c r="D381" s="26" t="s">
        <v>445</v>
      </c>
      <c r="E381" s="282"/>
      <c r="F381" s="289">
        <v>896400</v>
      </c>
    </row>
    <row r="382" spans="1:6" x14ac:dyDescent="0.25">
      <c r="A382" s="230">
        <v>45791</v>
      </c>
      <c r="B382" s="11" t="s">
        <v>443</v>
      </c>
      <c r="C382" s="112" t="s">
        <v>6</v>
      </c>
      <c r="D382" s="26" t="s">
        <v>446</v>
      </c>
      <c r="E382" s="282"/>
      <c r="F382" s="289">
        <v>113100</v>
      </c>
    </row>
    <row r="383" spans="1:6" x14ac:dyDescent="0.25">
      <c r="A383" s="230">
        <v>45791</v>
      </c>
      <c r="B383" s="11" t="s">
        <v>443</v>
      </c>
      <c r="C383" s="112" t="s">
        <v>6</v>
      </c>
      <c r="D383" s="26" t="s">
        <v>447</v>
      </c>
      <c r="E383" s="282"/>
      <c r="F383" s="289">
        <v>107000</v>
      </c>
    </row>
    <row r="384" spans="1:6" x14ac:dyDescent="0.25">
      <c r="A384" s="230">
        <v>45791</v>
      </c>
      <c r="B384" s="11" t="s">
        <v>443</v>
      </c>
      <c r="C384" s="112" t="s">
        <v>6</v>
      </c>
      <c r="D384" s="26" t="s">
        <v>448</v>
      </c>
      <c r="E384" s="282"/>
      <c r="F384" s="289">
        <v>161500</v>
      </c>
    </row>
    <row r="385" spans="1:6" x14ac:dyDescent="0.25">
      <c r="A385" s="230">
        <v>45791</v>
      </c>
      <c r="B385" s="11" t="s">
        <v>449</v>
      </c>
      <c r="C385" s="112" t="s">
        <v>6</v>
      </c>
      <c r="D385" s="26" t="s">
        <v>450</v>
      </c>
      <c r="E385" s="282"/>
      <c r="F385" s="289">
        <v>500000</v>
      </c>
    </row>
    <row r="386" spans="1:6" x14ac:dyDescent="0.25">
      <c r="A386" s="230">
        <v>45791</v>
      </c>
      <c r="B386" s="11" t="s">
        <v>449</v>
      </c>
      <c r="C386" s="112" t="s">
        <v>6</v>
      </c>
      <c r="D386" s="26" t="s">
        <v>451</v>
      </c>
      <c r="E386" s="282"/>
      <c r="F386" s="289">
        <v>100000</v>
      </c>
    </row>
    <row r="387" spans="1:6" x14ac:dyDescent="0.25">
      <c r="A387" s="230">
        <v>45791</v>
      </c>
      <c r="B387" s="11" t="s">
        <v>449</v>
      </c>
      <c r="C387" s="112" t="s">
        <v>6</v>
      </c>
      <c r="D387" s="26" t="s">
        <v>452</v>
      </c>
      <c r="E387" s="282"/>
      <c r="F387" s="289">
        <v>9000</v>
      </c>
    </row>
    <row r="388" spans="1:6" x14ac:dyDescent="0.25">
      <c r="A388" s="230">
        <v>45791</v>
      </c>
      <c r="B388" s="11" t="s">
        <v>449</v>
      </c>
      <c r="C388" s="112" t="s">
        <v>6</v>
      </c>
      <c r="D388" s="26" t="s">
        <v>453</v>
      </c>
      <c r="E388" s="282"/>
      <c r="F388" s="289">
        <v>313280</v>
      </c>
    </row>
    <row r="389" spans="1:6" x14ac:dyDescent="0.25">
      <c r="A389" s="230">
        <v>45791</v>
      </c>
      <c r="B389" s="11" t="s">
        <v>449</v>
      </c>
      <c r="C389" s="112" t="s">
        <v>6</v>
      </c>
      <c r="D389" s="26" t="s">
        <v>454</v>
      </c>
      <c r="E389" s="282"/>
      <c r="F389" s="289">
        <v>752800</v>
      </c>
    </row>
    <row r="390" spans="1:6" x14ac:dyDescent="0.25">
      <c r="A390" s="230">
        <v>45791</v>
      </c>
      <c r="B390" s="11" t="s">
        <v>449</v>
      </c>
      <c r="C390" s="112" t="s">
        <v>6</v>
      </c>
      <c r="D390" s="26" t="s">
        <v>455</v>
      </c>
      <c r="E390" s="282"/>
      <c r="F390" s="289">
        <v>18648</v>
      </c>
    </row>
    <row r="391" spans="1:6" x14ac:dyDescent="0.25">
      <c r="A391" s="230">
        <v>45791</v>
      </c>
      <c r="B391" s="11" t="s">
        <v>449</v>
      </c>
      <c r="C391" s="112" t="s">
        <v>6</v>
      </c>
      <c r="D391" s="26" t="s">
        <v>456</v>
      </c>
      <c r="E391" s="282"/>
      <c r="F391" s="289">
        <v>67000</v>
      </c>
    </row>
    <row r="392" spans="1:6" x14ac:dyDescent="0.25">
      <c r="A392" s="230">
        <v>45791</v>
      </c>
      <c r="B392" s="11" t="s">
        <v>449</v>
      </c>
      <c r="C392" s="112" t="s">
        <v>6</v>
      </c>
      <c r="D392" s="26" t="s">
        <v>457</v>
      </c>
      <c r="E392" s="282"/>
      <c r="F392" s="289">
        <v>745000</v>
      </c>
    </row>
    <row r="393" spans="1:6" x14ac:dyDescent="0.25">
      <c r="A393" s="230">
        <v>45791</v>
      </c>
      <c r="B393" s="11" t="s">
        <v>449</v>
      </c>
      <c r="C393" s="112" t="s">
        <v>6</v>
      </c>
      <c r="D393" s="26" t="s">
        <v>458</v>
      </c>
      <c r="E393" s="282"/>
      <c r="F393" s="289">
        <v>2900</v>
      </c>
    </row>
    <row r="394" spans="1:6" x14ac:dyDescent="0.25">
      <c r="A394" s="230">
        <v>45793</v>
      </c>
      <c r="B394" s="11" t="s">
        <v>459</v>
      </c>
      <c r="C394" s="112" t="s">
        <v>6</v>
      </c>
      <c r="D394" s="26" t="s">
        <v>460</v>
      </c>
      <c r="E394" s="282"/>
      <c r="F394" s="289">
        <v>193000</v>
      </c>
    </row>
    <row r="395" spans="1:6" x14ac:dyDescent="0.25">
      <c r="A395" s="230">
        <v>45793</v>
      </c>
      <c r="B395" s="11" t="s">
        <v>459</v>
      </c>
      <c r="C395" s="112" t="s">
        <v>6</v>
      </c>
      <c r="D395" s="26" t="s">
        <v>461</v>
      </c>
      <c r="E395" s="282"/>
      <c r="F395" s="289">
        <v>71000</v>
      </c>
    </row>
    <row r="396" spans="1:6" x14ac:dyDescent="0.25">
      <c r="A396" s="230">
        <v>45793</v>
      </c>
      <c r="B396" s="11" t="s">
        <v>459</v>
      </c>
      <c r="C396" s="112" t="s">
        <v>6</v>
      </c>
      <c r="D396" s="26" t="s">
        <v>462</v>
      </c>
      <c r="E396" s="282"/>
      <c r="F396" s="289">
        <v>20000</v>
      </c>
    </row>
    <row r="397" spans="1:6" x14ac:dyDescent="0.25">
      <c r="A397" s="230">
        <v>45793</v>
      </c>
      <c r="B397" s="11" t="s">
        <v>463</v>
      </c>
      <c r="C397" s="112" t="s">
        <v>6</v>
      </c>
      <c r="D397" s="26" t="s">
        <v>464</v>
      </c>
      <c r="E397" s="282"/>
      <c r="F397" s="289">
        <v>100000</v>
      </c>
    </row>
    <row r="398" spans="1:6" x14ac:dyDescent="0.25">
      <c r="A398" s="230">
        <v>45794</v>
      </c>
      <c r="B398" s="11" t="s">
        <v>465</v>
      </c>
      <c r="C398" s="112" t="s">
        <v>6</v>
      </c>
      <c r="D398" s="26" t="s">
        <v>82</v>
      </c>
      <c r="E398" s="282"/>
      <c r="F398" s="289">
        <v>21335416.670000002</v>
      </c>
    </row>
    <row r="399" spans="1:6" x14ac:dyDescent="0.25">
      <c r="A399" s="230">
        <v>45798</v>
      </c>
      <c r="B399" s="11" t="s">
        <v>466</v>
      </c>
      <c r="C399" s="112" t="s">
        <v>6</v>
      </c>
      <c r="D399" s="26" t="s">
        <v>467</v>
      </c>
      <c r="E399" s="282"/>
      <c r="F399" s="289">
        <v>21148000</v>
      </c>
    </row>
    <row r="400" spans="1:6" x14ac:dyDescent="0.25">
      <c r="A400" s="230">
        <v>45798</v>
      </c>
      <c r="B400" s="11" t="s">
        <v>466</v>
      </c>
      <c r="C400" s="112" t="s">
        <v>6</v>
      </c>
      <c r="D400" s="26" t="s">
        <v>468</v>
      </c>
      <c r="E400" s="282"/>
      <c r="F400" s="289">
        <v>232518</v>
      </c>
    </row>
    <row r="401" spans="1:6" x14ac:dyDescent="0.25">
      <c r="A401" s="230">
        <v>45798</v>
      </c>
      <c r="B401" s="11" t="s">
        <v>466</v>
      </c>
      <c r="C401" s="112" t="s">
        <v>6</v>
      </c>
      <c r="D401" s="26" t="s">
        <v>469</v>
      </c>
      <c r="E401" s="282"/>
      <c r="F401" s="289">
        <v>-422760</v>
      </c>
    </row>
    <row r="402" spans="1:6" x14ac:dyDescent="0.25">
      <c r="A402" s="230">
        <v>45798</v>
      </c>
      <c r="B402" s="11" t="s">
        <v>466</v>
      </c>
      <c r="C402" s="112" t="s">
        <v>6</v>
      </c>
      <c r="D402" s="26" t="s">
        <v>470</v>
      </c>
      <c r="E402" s="282"/>
      <c r="F402" s="289">
        <v>2900</v>
      </c>
    </row>
    <row r="403" spans="1:6" x14ac:dyDescent="0.25">
      <c r="A403" s="230">
        <v>45799</v>
      </c>
      <c r="B403" s="11" t="s">
        <v>471</v>
      </c>
      <c r="C403" s="112" t="s">
        <v>6</v>
      </c>
      <c r="D403" s="26" t="s">
        <v>472</v>
      </c>
      <c r="E403" s="282"/>
      <c r="F403" s="289">
        <v>11550000</v>
      </c>
    </row>
    <row r="404" spans="1:6" x14ac:dyDescent="0.25">
      <c r="A404" s="230">
        <v>45799</v>
      </c>
      <c r="B404" s="11" t="s">
        <v>471</v>
      </c>
      <c r="C404" s="112" t="s">
        <v>6</v>
      </c>
      <c r="D404" s="26" t="s">
        <v>473</v>
      </c>
      <c r="E404" s="282"/>
      <c r="F404" s="289">
        <v>250000</v>
      </c>
    </row>
    <row r="405" spans="1:6" x14ac:dyDescent="0.25">
      <c r="A405" s="230">
        <v>45799</v>
      </c>
      <c r="B405" s="11" t="s">
        <v>471</v>
      </c>
      <c r="C405" s="112" t="s">
        <v>6</v>
      </c>
      <c r="D405" s="26" t="s">
        <v>474</v>
      </c>
      <c r="E405" s="282"/>
      <c r="F405" s="289">
        <v>2500000</v>
      </c>
    </row>
    <row r="406" spans="1:6" x14ac:dyDescent="0.25">
      <c r="A406" s="230">
        <v>45799</v>
      </c>
      <c r="B406" s="11" t="s">
        <v>471</v>
      </c>
      <c r="C406" s="112" t="s">
        <v>6</v>
      </c>
      <c r="D406" s="26" t="s">
        <v>475</v>
      </c>
      <c r="E406" s="282"/>
      <c r="F406" s="289">
        <v>-50000</v>
      </c>
    </row>
    <row r="407" spans="1:6" x14ac:dyDescent="0.25">
      <c r="A407" s="230">
        <v>45799</v>
      </c>
      <c r="B407" s="11" t="s">
        <v>471</v>
      </c>
      <c r="C407" s="112" t="s">
        <v>6</v>
      </c>
      <c r="D407" s="26" t="s">
        <v>476</v>
      </c>
      <c r="E407" s="282"/>
      <c r="F407" s="289">
        <v>2500</v>
      </c>
    </row>
    <row r="408" spans="1:6" x14ac:dyDescent="0.25">
      <c r="A408" s="230">
        <v>45799</v>
      </c>
      <c r="B408" s="11" t="s">
        <v>471</v>
      </c>
      <c r="C408" s="112" t="s">
        <v>6</v>
      </c>
      <c r="D408" s="26" t="s">
        <v>477</v>
      </c>
      <c r="E408" s="282"/>
      <c r="F408" s="289">
        <v>269400</v>
      </c>
    </row>
    <row r="409" spans="1:6" x14ac:dyDescent="0.25">
      <c r="A409" s="230">
        <v>45800</v>
      </c>
      <c r="B409" s="11" t="s">
        <v>478</v>
      </c>
      <c r="C409" s="112" t="s">
        <v>6</v>
      </c>
      <c r="D409" s="26" t="s">
        <v>479</v>
      </c>
      <c r="E409" s="282"/>
      <c r="F409" s="289">
        <v>40000</v>
      </c>
    </row>
    <row r="410" spans="1:6" x14ac:dyDescent="0.25">
      <c r="A410" s="230">
        <v>45800</v>
      </c>
      <c r="B410" s="11" t="s">
        <v>480</v>
      </c>
      <c r="C410" s="112" t="s">
        <v>6</v>
      </c>
      <c r="D410" s="26" t="s">
        <v>481</v>
      </c>
      <c r="E410" s="282"/>
      <c r="F410" s="289">
        <v>46000</v>
      </c>
    </row>
    <row r="411" spans="1:6" x14ac:dyDescent="0.25">
      <c r="A411" s="230">
        <v>45800</v>
      </c>
      <c r="B411" s="11" t="s">
        <v>480</v>
      </c>
      <c r="C411" s="112" t="s">
        <v>6</v>
      </c>
      <c r="D411" s="26" t="s">
        <v>482</v>
      </c>
      <c r="E411" s="282"/>
      <c r="F411" s="289">
        <v>43000</v>
      </c>
    </row>
    <row r="412" spans="1:6" x14ac:dyDescent="0.25">
      <c r="A412" s="230">
        <v>45800</v>
      </c>
      <c r="B412" s="11" t="s">
        <v>483</v>
      </c>
      <c r="C412" s="112" t="s">
        <v>6</v>
      </c>
      <c r="D412" s="26" t="s">
        <v>484</v>
      </c>
      <c r="E412" s="282"/>
      <c r="F412" s="289">
        <v>53000</v>
      </c>
    </row>
    <row r="413" spans="1:6" x14ac:dyDescent="0.25">
      <c r="A413" s="230">
        <v>45800</v>
      </c>
      <c r="B413" s="11" t="s">
        <v>483</v>
      </c>
      <c r="C413" s="112" t="s">
        <v>6</v>
      </c>
      <c r="D413" s="26" t="s">
        <v>485</v>
      </c>
      <c r="E413" s="282"/>
      <c r="F413" s="289">
        <v>97500</v>
      </c>
    </row>
    <row r="414" spans="1:6" x14ac:dyDescent="0.25">
      <c r="A414" s="230">
        <v>45800</v>
      </c>
      <c r="B414" s="11" t="s">
        <v>483</v>
      </c>
      <c r="C414" s="112" t="s">
        <v>6</v>
      </c>
      <c r="D414" s="26" t="s">
        <v>486</v>
      </c>
      <c r="E414" s="282"/>
      <c r="F414" s="289">
        <v>19700</v>
      </c>
    </row>
    <row r="415" spans="1:6" x14ac:dyDescent="0.25">
      <c r="A415" s="230">
        <v>45800</v>
      </c>
      <c r="B415" s="11" t="s">
        <v>483</v>
      </c>
      <c r="C415" s="112" t="s">
        <v>6</v>
      </c>
      <c r="D415" s="26" t="s">
        <v>487</v>
      </c>
      <c r="E415" s="282"/>
      <c r="F415" s="289">
        <v>35500</v>
      </c>
    </row>
    <row r="416" spans="1:6" x14ac:dyDescent="0.25">
      <c r="A416" s="230">
        <v>45800</v>
      </c>
      <c r="B416" s="11" t="s">
        <v>488</v>
      </c>
      <c r="C416" s="112" t="s">
        <v>6</v>
      </c>
      <c r="D416" s="26" t="s">
        <v>489</v>
      </c>
      <c r="E416" s="282"/>
      <c r="F416" s="289">
        <v>746600</v>
      </c>
    </row>
    <row r="417" spans="1:6" x14ac:dyDescent="0.25">
      <c r="A417" s="230">
        <v>45800</v>
      </c>
      <c r="B417" s="11" t="s">
        <v>488</v>
      </c>
      <c r="C417" s="112" t="s">
        <v>6</v>
      </c>
      <c r="D417" s="26" t="s">
        <v>490</v>
      </c>
      <c r="E417" s="282"/>
      <c r="F417" s="289">
        <v>2900</v>
      </c>
    </row>
    <row r="418" spans="1:6" x14ac:dyDescent="0.25">
      <c r="A418" s="230">
        <v>45803</v>
      </c>
      <c r="B418" s="11" t="s">
        <v>491</v>
      </c>
      <c r="C418" s="112" t="s">
        <v>6</v>
      </c>
      <c r="D418" s="26" t="s">
        <v>492</v>
      </c>
      <c r="E418" s="282"/>
      <c r="F418" s="289">
        <v>2153350</v>
      </c>
    </row>
    <row r="419" spans="1:6" x14ac:dyDescent="0.25">
      <c r="A419" s="230">
        <v>45803</v>
      </c>
      <c r="B419" s="11" t="s">
        <v>491</v>
      </c>
      <c r="C419" s="112" t="s">
        <v>6</v>
      </c>
      <c r="D419" s="26" t="s">
        <v>493</v>
      </c>
      <c r="E419" s="282"/>
      <c r="F419" s="289">
        <v>2458600</v>
      </c>
    </row>
    <row r="420" spans="1:6" x14ac:dyDescent="0.25">
      <c r="A420" s="230">
        <v>45803</v>
      </c>
      <c r="B420" s="11" t="s">
        <v>491</v>
      </c>
      <c r="C420" s="112" t="s">
        <v>6</v>
      </c>
      <c r="D420" s="26" t="s">
        <v>494</v>
      </c>
      <c r="E420" s="282"/>
      <c r="F420" s="289">
        <v>2153350</v>
      </c>
    </row>
    <row r="421" spans="1:6" x14ac:dyDescent="0.25">
      <c r="A421" s="230">
        <v>45803</v>
      </c>
      <c r="B421" s="11" t="s">
        <v>491</v>
      </c>
      <c r="C421" s="112" t="s">
        <v>6</v>
      </c>
      <c r="D421" s="26" t="s">
        <v>495</v>
      </c>
      <c r="E421" s="282"/>
      <c r="F421" s="289">
        <v>2153350</v>
      </c>
    </row>
    <row r="422" spans="1:6" x14ac:dyDescent="0.25">
      <c r="A422" s="230">
        <v>45803</v>
      </c>
      <c r="B422" s="11" t="s">
        <v>491</v>
      </c>
      <c r="C422" s="112" t="s">
        <v>6</v>
      </c>
      <c r="D422" s="26" t="s">
        <v>496</v>
      </c>
      <c r="E422" s="282"/>
      <c r="F422" s="289">
        <v>2153350</v>
      </c>
    </row>
    <row r="423" spans="1:6" x14ac:dyDescent="0.25">
      <c r="A423" s="230">
        <v>45803</v>
      </c>
      <c r="B423" s="11" t="s">
        <v>491</v>
      </c>
      <c r="C423" s="112" t="s">
        <v>6</v>
      </c>
      <c r="D423" s="26" t="s">
        <v>497</v>
      </c>
      <c r="E423" s="282"/>
      <c r="F423" s="289">
        <v>1278850</v>
      </c>
    </row>
    <row r="424" spans="1:6" x14ac:dyDescent="0.25">
      <c r="A424" s="230">
        <v>45803</v>
      </c>
      <c r="B424" s="11" t="s">
        <v>491</v>
      </c>
      <c r="C424" s="112" t="s">
        <v>6</v>
      </c>
      <c r="D424" s="26" t="s">
        <v>498</v>
      </c>
      <c r="E424" s="282"/>
      <c r="F424" s="289">
        <v>135300</v>
      </c>
    </row>
    <row r="425" spans="1:6" x14ac:dyDescent="0.25">
      <c r="A425" s="230">
        <v>45805</v>
      </c>
      <c r="B425" s="11" t="s">
        <v>499</v>
      </c>
      <c r="C425" s="112" t="s">
        <v>500</v>
      </c>
      <c r="D425" s="26" t="s">
        <v>501</v>
      </c>
      <c r="E425" s="282"/>
      <c r="F425" s="289">
        <v>11200000</v>
      </c>
    </row>
    <row r="426" spans="1:6" x14ac:dyDescent="0.25">
      <c r="A426" s="230">
        <v>45805</v>
      </c>
      <c r="B426" s="11" t="s">
        <v>499</v>
      </c>
      <c r="C426" s="112" t="s">
        <v>500</v>
      </c>
      <c r="D426" s="26" t="s">
        <v>502</v>
      </c>
      <c r="E426" s="282"/>
      <c r="F426" s="289">
        <v>-224000</v>
      </c>
    </row>
    <row r="427" spans="1:6" x14ac:dyDescent="0.25">
      <c r="A427" s="230">
        <v>45805</v>
      </c>
      <c r="B427" s="11" t="s">
        <v>2207</v>
      </c>
      <c r="C427" s="112" t="s">
        <v>6</v>
      </c>
      <c r="D427" s="26" t="s">
        <v>2208</v>
      </c>
      <c r="E427" s="282">
        <v>135300</v>
      </c>
      <c r="F427" s="289"/>
    </row>
    <row r="428" spans="1:6" x14ac:dyDescent="0.25">
      <c r="A428" s="230">
        <v>45807</v>
      </c>
      <c r="B428" s="11" t="s">
        <v>503</v>
      </c>
      <c r="C428" s="112" t="s">
        <v>6</v>
      </c>
      <c r="D428" s="26" t="s">
        <v>504</v>
      </c>
      <c r="E428" s="282"/>
      <c r="F428" s="289">
        <v>60000</v>
      </c>
    </row>
    <row r="429" spans="1:6" x14ac:dyDescent="0.25">
      <c r="A429" s="230">
        <v>45808</v>
      </c>
      <c r="B429" s="11" t="s">
        <v>505</v>
      </c>
      <c r="C429" s="112" t="s">
        <v>6</v>
      </c>
      <c r="D429" s="26" t="s">
        <v>506</v>
      </c>
      <c r="E429" s="282"/>
      <c r="F429" s="289">
        <v>7000000</v>
      </c>
    </row>
    <row r="430" spans="1:6" x14ac:dyDescent="0.25">
      <c r="A430" s="230">
        <v>45810</v>
      </c>
      <c r="B430" s="11" t="s">
        <v>507</v>
      </c>
      <c r="C430" s="112" t="s">
        <v>6</v>
      </c>
      <c r="D430" s="26" t="s">
        <v>508</v>
      </c>
      <c r="E430" s="282"/>
      <c r="F430" s="289">
        <v>218000</v>
      </c>
    </row>
    <row r="431" spans="1:6" x14ac:dyDescent="0.25">
      <c r="A431" s="230">
        <v>45810</v>
      </c>
      <c r="B431" s="11" t="s">
        <v>507</v>
      </c>
      <c r="C431" s="112" t="s">
        <v>6</v>
      </c>
      <c r="D431" s="26" t="s">
        <v>509</v>
      </c>
      <c r="E431" s="282"/>
      <c r="F431" s="289">
        <v>2900</v>
      </c>
    </row>
    <row r="432" spans="1:6" x14ac:dyDescent="0.25">
      <c r="A432" s="230">
        <v>45812</v>
      </c>
      <c r="B432" s="11" t="s">
        <v>510</v>
      </c>
      <c r="C432" s="112" t="s">
        <v>6</v>
      </c>
      <c r="D432" s="26" t="s">
        <v>511</v>
      </c>
      <c r="E432" s="282"/>
      <c r="F432" s="289">
        <v>6750000</v>
      </c>
    </row>
    <row r="433" spans="1:6" x14ac:dyDescent="0.25">
      <c r="A433" s="230">
        <v>45819</v>
      </c>
      <c r="B433" s="11" t="s">
        <v>512</v>
      </c>
      <c r="C433" s="112" t="s">
        <v>6</v>
      </c>
      <c r="D433" s="26" t="s">
        <v>513</v>
      </c>
      <c r="E433" s="282"/>
      <c r="F433" s="289">
        <v>40000</v>
      </c>
    </row>
    <row r="434" spans="1:6" x14ac:dyDescent="0.25">
      <c r="A434" s="230">
        <v>45819</v>
      </c>
      <c r="B434" s="11" t="s">
        <v>514</v>
      </c>
      <c r="C434" s="112" t="s">
        <v>6</v>
      </c>
      <c r="D434" s="26" t="s">
        <v>515</v>
      </c>
      <c r="E434" s="282"/>
      <c r="F434" s="289">
        <v>500000</v>
      </c>
    </row>
    <row r="435" spans="1:6" x14ac:dyDescent="0.25">
      <c r="A435" s="230">
        <v>45819</v>
      </c>
      <c r="B435" s="11" t="s">
        <v>514</v>
      </c>
      <c r="C435" s="112" t="s">
        <v>6</v>
      </c>
      <c r="D435" s="26" t="s">
        <v>516</v>
      </c>
      <c r="E435" s="282"/>
      <c r="F435" s="289">
        <v>335000</v>
      </c>
    </row>
    <row r="436" spans="1:6" x14ac:dyDescent="0.25">
      <c r="A436" s="230">
        <v>45819</v>
      </c>
      <c r="B436" s="11" t="s">
        <v>514</v>
      </c>
      <c r="C436" s="112" t="s">
        <v>6</v>
      </c>
      <c r="D436" s="26" t="s">
        <v>517</v>
      </c>
      <c r="E436" s="282"/>
      <c r="F436" s="289">
        <v>993000</v>
      </c>
    </row>
    <row r="437" spans="1:6" x14ac:dyDescent="0.25">
      <c r="A437" s="230">
        <v>45819</v>
      </c>
      <c r="B437" s="11" t="s">
        <v>514</v>
      </c>
      <c r="C437" s="112" t="s">
        <v>6</v>
      </c>
      <c r="D437" s="26" t="s">
        <v>518</v>
      </c>
      <c r="E437" s="282"/>
      <c r="F437" s="289">
        <v>1436281</v>
      </c>
    </row>
    <row r="438" spans="1:6" x14ac:dyDescent="0.25">
      <c r="A438" s="230">
        <v>45819</v>
      </c>
      <c r="B438" s="11" t="s">
        <v>514</v>
      </c>
      <c r="C438" s="112" t="s">
        <v>6</v>
      </c>
      <c r="D438" s="26" t="s">
        <v>519</v>
      </c>
      <c r="E438" s="282"/>
      <c r="F438" s="289">
        <v>428000</v>
      </c>
    </row>
    <row r="439" spans="1:6" x14ac:dyDescent="0.25">
      <c r="A439" s="230">
        <v>45819</v>
      </c>
      <c r="B439" s="11" t="s">
        <v>514</v>
      </c>
      <c r="C439" s="112" t="s">
        <v>6</v>
      </c>
      <c r="D439" s="26" t="s">
        <v>520</v>
      </c>
      <c r="E439" s="282"/>
      <c r="F439" s="289">
        <v>1120530</v>
      </c>
    </row>
    <row r="440" spans="1:6" x14ac:dyDescent="0.25">
      <c r="A440" s="230">
        <v>45819</v>
      </c>
      <c r="B440" s="11" t="s">
        <v>514</v>
      </c>
      <c r="C440" s="112" t="s">
        <v>6</v>
      </c>
      <c r="D440" s="26" t="s">
        <v>521</v>
      </c>
      <c r="E440" s="282"/>
      <c r="F440" s="289">
        <v>78000</v>
      </c>
    </row>
    <row r="441" spans="1:6" x14ac:dyDescent="0.25">
      <c r="A441" s="230">
        <v>45825</v>
      </c>
      <c r="B441" s="11" t="s">
        <v>522</v>
      </c>
      <c r="C441" s="112" t="s">
        <v>6</v>
      </c>
      <c r="D441" s="26" t="s">
        <v>82</v>
      </c>
      <c r="E441" s="282"/>
      <c r="F441" s="289">
        <v>18825367.649999999</v>
      </c>
    </row>
    <row r="442" spans="1:6" x14ac:dyDescent="0.25">
      <c r="A442" s="230">
        <v>45825</v>
      </c>
      <c r="B442" s="11" t="s">
        <v>523</v>
      </c>
      <c r="C442" s="112" t="s">
        <v>6</v>
      </c>
      <c r="D442" s="26" t="s">
        <v>524</v>
      </c>
      <c r="E442" s="282"/>
      <c r="F442" s="289">
        <v>40000</v>
      </c>
    </row>
    <row r="443" spans="1:6" x14ac:dyDescent="0.25">
      <c r="A443" s="230">
        <v>45826</v>
      </c>
      <c r="B443" s="11" t="s">
        <v>525</v>
      </c>
      <c r="C443" s="112" t="s">
        <v>6</v>
      </c>
      <c r="D443" s="26" t="s">
        <v>526</v>
      </c>
      <c r="E443" s="282"/>
      <c r="F443" s="289">
        <v>1679500</v>
      </c>
    </row>
    <row r="444" spans="1:6" x14ac:dyDescent="0.25">
      <c r="A444" s="230">
        <v>45826</v>
      </c>
      <c r="B444" s="11" t="s">
        <v>525</v>
      </c>
      <c r="C444" s="112" t="s">
        <v>6</v>
      </c>
      <c r="D444" s="26" t="s">
        <v>527</v>
      </c>
      <c r="E444" s="282"/>
      <c r="F444" s="289">
        <v>-33590</v>
      </c>
    </row>
    <row r="445" spans="1:6" x14ac:dyDescent="0.25">
      <c r="A445" s="230">
        <v>45826</v>
      </c>
      <c r="B445" s="11" t="s">
        <v>525</v>
      </c>
      <c r="C445" s="112" t="s">
        <v>6</v>
      </c>
      <c r="D445" s="26" t="s">
        <v>528</v>
      </c>
      <c r="E445" s="282"/>
      <c r="F445" s="289">
        <v>1372000</v>
      </c>
    </row>
    <row r="446" spans="1:6" x14ac:dyDescent="0.25">
      <c r="A446" s="230">
        <v>45826</v>
      </c>
      <c r="B446" s="11" t="s">
        <v>525</v>
      </c>
      <c r="C446" s="112" t="s">
        <v>6</v>
      </c>
      <c r="D446" s="26" t="s">
        <v>529</v>
      </c>
      <c r="E446" s="282"/>
      <c r="F446" s="289">
        <v>-27440</v>
      </c>
    </row>
    <row r="447" spans="1:6" x14ac:dyDescent="0.25">
      <c r="A447" s="230">
        <v>45826</v>
      </c>
      <c r="B447" s="11" t="s">
        <v>525</v>
      </c>
      <c r="C447" s="112" t="s">
        <v>6</v>
      </c>
      <c r="D447" s="26" t="s">
        <v>530</v>
      </c>
      <c r="E447" s="282"/>
      <c r="F447" s="289">
        <v>1372000</v>
      </c>
    </row>
    <row r="448" spans="1:6" x14ac:dyDescent="0.25">
      <c r="A448" s="230">
        <v>45826</v>
      </c>
      <c r="B448" s="11" t="s">
        <v>525</v>
      </c>
      <c r="C448" s="112" t="s">
        <v>6</v>
      </c>
      <c r="D448" s="26" t="s">
        <v>531</v>
      </c>
      <c r="E448" s="282"/>
      <c r="F448" s="289">
        <v>-27440</v>
      </c>
    </row>
    <row r="449" spans="1:6" x14ac:dyDescent="0.25">
      <c r="A449" s="230">
        <v>45828</v>
      </c>
      <c r="B449" s="11" t="s">
        <v>532</v>
      </c>
      <c r="C449" s="112" t="s">
        <v>6</v>
      </c>
      <c r="D449" s="26" t="s">
        <v>533</v>
      </c>
      <c r="E449" s="282"/>
      <c r="F449" s="289">
        <v>82000</v>
      </c>
    </row>
    <row r="450" spans="1:6" x14ac:dyDescent="0.25">
      <c r="A450" s="230">
        <v>45842</v>
      </c>
      <c r="B450" s="11" t="s">
        <v>534</v>
      </c>
      <c r="C450" s="112" t="s">
        <v>6</v>
      </c>
      <c r="D450" s="26" t="s">
        <v>535</v>
      </c>
      <c r="E450" s="282"/>
      <c r="F450" s="289">
        <v>20000</v>
      </c>
    </row>
    <row r="451" spans="1:6" x14ac:dyDescent="0.25">
      <c r="A451" s="230">
        <v>45847</v>
      </c>
      <c r="B451" s="11" t="s">
        <v>536</v>
      </c>
      <c r="C451" s="112" t="s">
        <v>6</v>
      </c>
      <c r="D451" s="26" t="s">
        <v>537</v>
      </c>
      <c r="E451" s="282"/>
      <c r="F451" s="289">
        <v>15150000</v>
      </c>
    </row>
    <row r="452" spans="1:6" x14ac:dyDescent="0.25">
      <c r="A452" s="230">
        <v>45847</v>
      </c>
      <c r="B452" s="11" t="s">
        <v>536</v>
      </c>
      <c r="C452" s="112" t="s">
        <v>6</v>
      </c>
      <c r="D452" s="26" t="s">
        <v>538</v>
      </c>
      <c r="E452" s="282"/>
      <c r="F452" s="289">
        <v>1666500</v>
      </c>
    </row>
    <row r="453" spans="1:6" x14ac:dyDescent="0.25">
      <c r="A453" s="230">
        <v>45847</v>
      </c>
      <c r="B453" s="11" t="s">
        <v>536</v>
      </c>
      <c r="C453" s="112" t="s">
        <v>6</v>
      </c>
      <c r="D453" s="26" t="s">
        <v>539</v>
      </c>
      <c r="E453" s="282"/>
      <c r="F453" s="289">
        <v>-303000</v>
      </c>
    </row>
    <row r="454" spans="1:6" x14ac:dyDescent="0.25">
      <c r="A454" s="230">
        <v>45847</v>
      </c>
      <c r="B454" s="11" t="s">
        <v>536</v>
      </c>
      <c r="C454" s="112" t="s">
        <v>6</v>
      </c>
      <c r="D454" s="26" t="s">
        <v>540</v>
      </c>
      <c r="E454" s="282"/>
      <c r="F454" s="289">
        <v>148500000</v>
      </c>
    </row>
    <row r="455" spans="1:6" x14ac:dyDescent="0.25">
      <c r="A455" s="230">
        <v>45847</v>
      </c>
      <c r="B455" s="11" t="s">
        <v>536</v>
      </c>
      <c r="C455" s="112" t="s">
        <v>6</v>
      </c>
      <c r="D455" s="26" t="s">
        <v>541</v>
      </c>
      <c r="E455" s="282"/>
      <c r="F455" s="289">
        <v>1633500</v>
      </c>
    </row>
    <row r="456" spans="1:6" x14ac:dyDescent="0.25">
      <c r="A456" s="230">
        <v>45847</v>
      </c>
      <c r="B456" s="11" t="s">
        <v>536</v>
      </c>
      <c r="C456" s="112" t="s">
        <v>6</v>
      </c>
      <c r="D456" s="26" t="s">
        <v>542</v>
      </c>
      <c r="E456" s="282"/>
      <c r="F456" s="289">
        <v>-2970000</v>
      </c>
    </row>
    <row r="457" spans="1:6" x14ac:dyDescent="0.25">
      <c r="A457" s="230">
        <v>45847</v>
      </c>
      <c r="B457" s="11" t="s">
        <v>536</v>
      </c>
      <c r="C457" s="112" t="s">
        <v>6</v>
      </c>
      <c r="D457" s="26" t="s">
        <v>543</v>
      </c>
      <c r="E457" s="282"/>
      <c r="F457" s="289">
        <v>6458963</v>
      </c>
    </row>
    <row r="458" spans="1:6" x14ac:dyDescent="0.25">
      <c r="A458" s="230">
        <v>45847</v>
      </c>
      <c r="B458" s="11" t="s">
        <v>536</v>
      </c>
      <c r="C458" s="112" t="s">
        <v>6</v>
      </c>
      <c r="D458" s="26" t="s">
        <v>544</v>
      </c>
      <c r="E458" s="282"/>
      <c r="F458" s="289">
        <v>427262</v>
      </c>
    </row>
    <row r="459" spans="1:6" x14ac:dyDescent="0.25">
      <c r="A459" s="230">
        <v>45847</v>
      </c>
      <c r="B459" s="11" t="s">
        <v>536</v>
      </c>
      <c r="C459" s="112" t="s">
        <v>6</v>
      </c>
      <c r="D459" s="26" t="s">
        <v>545</v>
      </c>
      <c r="E459" s="282"/>
      <c r="F459" s="289">
        <v>-129179</v>
      </c>
    </row>
    <row r="460" spans="1:6" x14ac:dyDescent="0.25">
      <c r="A460" s="230">
        <v>45847</v>
      </c>
      <c r="B460" s="11" t="s">
        <v>536</v>
      </c>
      <c r="C460" s="112" t="s">
        <v>6</v>
      </c>
      <c r="D460" s="26" t="s">
        <v>431</v>
      </c>
      <c r="E460" s="282"/>
      <c r="F460" s="289">
        <v>2900</v>
      </c>
    </row>
    <row r="461" spans="1:6" x14ac:dyDescent="0.25">
      <c r="A461" s="230">
        <v>45870</v>
      </c>
      <c r="B461" s="11" t="s">
        <v>2196</v>
      </c>
      <c r="C461" s="112" t="s">
        <v>6</v>
      </c>
      <c r="D461" s="176" t="s">
        <v>3500</v>
      </c>
      <c r="E461" s="282"/>
      <c r="F461" s="283">
        <v>25000000</v>
      </c>
    </row>
    <row r="462" spans="1:6" x14ac:dyDescent="0.25">
      <c r="A462" s="230">
        <v>45870</v>
      </c>
      <c r="B462" s="11" t="s">
        <v>2196</v>
      </c>
      <c r="C462" s="112" t="s">
        <v>6</v>
      </c>
      <c r="D462" s="176" t="s">
        <v>3501</v>
      </c>
      <c r="E462" s="282"/>
      <c r="F462" s="283">
        <v>15000000</v>
      </c>
    </row>
    <row r="463" spans="1:6" x14ac:dyDescent="0.25">
      <c r="A463" s="230">
        <v>45870</v>
      </c>
      <c r="B463" s="11" t="s">
        <v>2196</v>
      </c>
      <c r="C463" s="112" t="s">
        <v>6</v>
      </c>
      <c r="D463" s="176" t="s">
        <v>3502</v>
      </c>
      <c r="E463" s="282"/>
      <c r="F463" s="283">
        <v>17750000</v>
      </c>
    </row>
    <row r="464" spans="1:6" x14ac:dyDescent="0.25">
      <c r="A464" s="230">
        <v>45859</v>
      </c>
      <c r="B464" s="11" t="s">
        <v>2197</v>
      </c>
      <c r="C464" s="113" t="s">
        <v>6</v>
      </c>
      <c r="D464" s="12" t="s">
        <v>2198</v>
      </c>
      <c r="E464" s="282"/>
      <c r="F464" s="285">
        <v>40000</v>
      </c>
    </row>
    <row r="465" spans="1:6" x14ac:dyDescent="0.25">
      <c r="A465" s="230">
        <v>45859</v>
      </c>
      <c r="B465" s="11" t="s">
        <v>2199</v>
      </c>
      <c r="C465" s="112" t="s">
        <v>6</v>
      </c>
      <c r="D465" s="12" t="s">
        <v>2200</v>
      </c>
      <c r="E465" s="282"/>
      <c r="F465" s="283">
        <v>6200000</v>
      </c>
    </row>
    <row r="466" spans="1:6" x14ac:dyDescent="0.25">
      <c r="A466" s="230">
        <v>45863</v>
      </c>
      <c r="B466" s="11" t="s">
        <v>2201</v>
      </c>
      <c r="C466" s="113" t="s">
        <v>6</v>
      </c>
      <c r="D466" s="12" t="s">
        <v>2202</v>
      </c>
      <c r="E466" s="282"/>
      <c r="F466" s="285">
        <v>20000</v>
      </c>
    </row>
    <row r="467" spans="1:6" x14ac:dyDescent="0.25">
      <c r="A467" s="230">
        <v>45863</v>
      </c>
      <c r="B467" s="11" t="s">
        <v>2203</v>
      </c>
      <c r="C467" s="112" t="s">
        <v>6</v>
      </c>
      <c r="D467" s="344" t="s">
        <v>3503</v>
      </c>
      <c r="E467" s="282"/>
      <c r="F467" s="283">
        <v>25000000</v>
      </c>
    </row>
    <row r="468" spans="1:6" x14ac:dyDescent="0.25">
      <c r="A468" s="230">
        <v>45867</v>
      </c>
      <c r="B468" s="11" t="s">
        <v>2205</v>
      </c>
      <c r="C468" s="113" t="s">
        <v>6</v>
      </c>
      <c r="D468" s="12" t="s">
        <v>2206</v>
      </c>
      <c r="E468" s="282"/>
      <c r="F468" s="285">
        <v>94352600</v>
      </c>
    </row>
    <row r="469" spans="1:6" x14ac:dyDescent="0.25">
      <c r="A469" s="230">
        <v>45869</v>
      </c>
      <c r="B469" s="11" t="s">
        <v>3504</v>
      </c>
      <c r="C469" s="112" t="s">
        <v>6</v>
      </c>
      <c r="D469" s="194" t="s">
        <v>3505</v>
      </c>
      <c r="E469" s="282"/>
      <c r="F469" s="289">
        <v>446500000</v>
      </c>
    </row>
    <row r="470" spans="1:6" x14ac:dyDescent="0.25">
      <c r="A470" s="230">
        <v>45869</v>
      </c>
      <c r="B470" s="11" t="s">
        <v>3504</v>
      </c>
      <c r="C470" s="112" t="s">
        <v>6</v>
      </c>
      <c r="D470" s="194" t="s">
        <v>3506</v>
      </c>
      <c r="E470" s="282"/>
      <c r="F470" s="289">
        <v>98800000</v>
      </c>
    </row>
    <row r="471" spans="1:6" x14ac:dyDescent="0.25">
      <c r="A471" s="230">
        <v>45869</v>
      </c>
      <c r="B471" s="11" t="s">
        <v>3504</v>
      </c>
      <c r="C471" s="112" t="s">
        <v>6</v>
      </c>
      <c r="D471" s="194" t="s">
        <v>3507</v>
      </c>
      <c r="E471" s="282"/>
      <c r="F471" s="289">
        <v>2900</v>
      </c>
    </row>
    <row r="472" spans="1:6" x14ac:dyDescent="0.25">
      <c r="A472" s="230">
        <v>45870</v>
      </c>
      <c r="B472" s="11" t="s">
        <v>3508</v>
      </c>
      <c r="C472" s="112" t="s">
        <v>6</v>
      </c>
      <c r="D472" s="194" t="s">
        <v>3509</v>
      </c>
      <c r="E472" s="282"/>
      <c r="F472" s="289">
        <v>6564600</v>
      </c>
    </row>
    <row r="473" spans="1:6" x14ac:dyDescent="0.25">
      <c r="A473" s="230">
        <v>45870</v>
      </c>
      <c r="B473" s="11" t="s">
        <v>3508</v>
      </c>
      <c r="C473" s="112" t="s">
        <v>6</v>
      </c>
      <c r="D473" s="194" t="s">
        <v>3510</v>
      </c>
      <c r="E473" s="282"/>
      <c r="F473" s="289">
        <v>2900</v>
      </c>
    </row>
    <row r="474" spans="1:6" x14ac:dyDescent="0.25">
      <c r="A474" s="230">
        <v>45870</v>
      </c>
      <c r="B474" s="11" t="s">
        <v>3511</v>
      </c>
      <c r="C474" s="112" t="s">
        <v>6</v>
      </c>
      <c r="D474" s="194" t="s">
        <v>3512</v>
      </c>
      <c r="E474" s="282"/>
      <c r="F474" s="289">
        <v>89067962</v>
      </c>
    </row>
    <row r="475" spans="1:6" x14ac:dyDescent="0.25">
      <c r="A475" s="230">
        <v>45870</v>
      </c>
      <c r="B475" s="11" t="s">
        <v>3511</v>
      </c>
      <c r="C475" s="112" t="s">
        <v>6</v>
      </c>
      <c r="D475" s="194" t="s">
        <v>3510</v>
      </c>
      <c r="E475" s="282"/>
      <c r="F475" s="289">
        <v>2900</v>
      </c>
    </row>
    <row r="476" spans="1:6" x14ac:dyDescent="0.25">
      <c r="A476" s="230">
        <v>45870</v>
      </c>
      <c r="B476" s="11" t="s">
        <v>2530</v>
      </c>
      <c r="C476" s="112" t="s">
        <v>6</v>
      </c>
      <c r="D476" s="194" t="s">
        <v>3513</v>
      </c>
      <c r="E476" s="282"/>
      <c r="F476" s="289">
        <v>62000</v>
      </c>
    </row>
    <row r="477" spans="1:6" x14ac:dyDescent="0.25">
      <c r="A477" s="230">
        <v>45874</v>
      </c>
      <c r="B477" s="11" t="s">
        <v>3514</v>
      </c>
      <c r="C477" s="112" t="s">
        <v>6</v>
      </c>
      <c r="D477" s="17" t="s">
        <v>3515</v>
      </c>
      <c r="E477" s="282"/>
      <c r="F477" s="299">
        <v>275000</v>
      </c>
    </row>
    <row r="478" spans="1:6" x14ac:dyDescent="0.25">
      <c r="A478" s="230">
        <v>45877</v>
      </c>
      <c r="B478" s="11" t="s">
        <v>2558</v>
      </c>
      <c r="C478" s="112" t="s">
        <v>6</v>
      </c>
      <c r="D478" s="194" t="s">
        <v>3516</v>
      </c>
      <c r="E478" s="282"/>
      <c r="F478" s="289">
        <v>450000</v>
      </c>
    </row>
    <row r="479" spans="1:6" x14ac:dyDescent="0.25">
      <c r="A479" s="230">
        <v>45877</v>
      </c>
      <c r="B479" s="11" t="s">
        <v>2558</v>
      </c>
      <c r="C479" s="112" t="s">
        <v>6</v>
      </c>
      <c r="D479" s="194" t="s">
        <v>2556</v>
      </c>
      <c r="E479" s="282"/>
      <c r="F479" s="289">
        <v>2500</v>
      </c>
    </row>
    <row r="480" spans="1:6" x14ac:dyDescent="0.25">
      <c r="A480" s="271">
        <v>45890</v>
      </c>
      <c r="B480" s="15" t="s">
        <v>3517</v>
      </c>
      <c r="C480" s="113" t="s">
        <v>6</v>
      </c>
      <c r="D480" s="193" t="s">
        <v>3518</v>
      </c>
      <c r="E480" s="291">
        <v>2000000</v>
      </c>
      <c r="F480" s="285"/>
    </row>
    <row r="481" spans="1:6" x14ac:dyDescent="0.25">
      <c r="A481" s="271">
        <v>45890</v>
      </c>
      <c r="B481" s="15" t="s">
        <v>3517</v>
      </c>
      <c r="C481" s="113" t="s">
        <v>6</v>
      </c>
      <c r="D481" s="193" t="s">
        <v>3519</v>
      </c>
      <c r="E481" s="291"/>
      <c r="F481" s="285">
        <v>132000</v>
      </c>
    </row>
    <row r="482" spans="1:6" x14ac:dyDescent="0.25">
      <c r="A482" s="271">
        <v>45890</v>
      </c>
      <c r="B482" s="15" t="s">
        <v>3517</v>
      </c>
      <c r="C482" s="113" t="s">
        <v>6</v>
      </c>
      <c r="D482" s="193" t="s">
        <v>3520</v>
      </c>
      <c r="E482" s="291"/>
      <c r="F482" s="285">
        <v>445580</v>
      </c>
    </row>
    <row r="483" spans="1:6" x14ac:dyDescent="0.25">
      <c r="A483" s="271">
        <v>45890</v>
      </c>
      <c r="B483" s="15" t="s">
        <v>3517</v>
      </c>
      <c r="C483" s="113" t="s">
        <v>6</v>
      </c>
      <c r="D483" s="193" t="s">
        <v>3521</v>
      </c>
      <c r="E483" s="291"/>
      <c r="F483" s="285">
        <v>7000</v>
      </c>
    </row>
    <row r="484" spans="1:6" x14ac:dyDescent="0.25">
      <c r="A484" s="271">
        <v>45890</v>
      </c>
      <c r="B484" s="15" t="s">
        <v>3517</v>
      </c>
      <c r="C484" s="113" t="s">
        <v>6</v>
      </c>
      <c r="D484" s="193" t="s">
        <v>3522</v>
      </c>
      <c r="E484" s="291"/>
      <c r="F484" s="285">
        <v>512000</v>
      </c>
    </row>
    <row r="485" spans="1:6" x14ac:dyDescent="0.25">
      <c r="A485" s="271">
        <v>45890</v>
      </c>
      <c r="B485" s="15" t="s">
        <v>3517</v>
      </c>
      <c r="C485" s="113" t="s">
        <v>6</v>
      </c>
      <c r="D485" s="193" t="s">
        <v>3523</v>
      </c>
      <c r="E485" s="291"/>
      <c r="F485" s="285">
        <v>60000</v>
      </c>
    </row>
    <row r="486" spans="1:6" x14ac:dyDescent="0.25">
      <c r="A486" s="271">
        <v>45890</v>
      </c>
      <c r="B486" s="15" t="s">
        <v>3517</v>
      </c>
      <c r="C486" s="113" t="s">
        <v>6</v>
      </c>
      <c r="D486" s="193" t="s">
        <v>3524</v>
      </c>
      <c r="E486" s="291"/>
      <c r="F486" s="285">
        <v>50000</v>
      </c>
    </row>
    <row r="487" spans="1:6" x14ac:dyDescent="0.25">
      <c r="A487" s="271">
        <v>45890</v>
      </c>
      <c r="B487" s="15" t="s">
        <v>3517</v>
      </c>
      <c r="C487" s="113" t="s">
        <v>6</v>
      </c>
      <c r="D487" s="193" t="s">
        <v>3525</v>
      </c>
      <c r="E487" s="291"/>
      <c r="F487" s="285">
        <v>561000</v>
      </c>
    </row>
    <row r="488" spans="1:6" x14ac:dyDescent="0.25">
      <c r="A488" s="230">
        <v>45902</v>
      </c>
      <c r="B488" s="11" t="s">
        <v>4532</v>
      </c>
      <c r="C488" s="112" t="s">
        <v>6</v>
      </c>
      <c r="D488" s="210" t="s">
        <v>4533</v>
      </c>
      <c r="E488" s="293"/>
      <c r="F488" s="289">
        <v>3323007</v>
      </c>
    </row>
    <row r="489" spans="1:6" x14ac:dyDescent="0.25">
      <c r="A489" s="230">
        <v>45902</v>
      </c>
      <c r="B489" s="11" t="s">
        <v>4532</v>
      </c>
      <c r="C489" s="112" t="s">
        <v>6</v>
      </c>
      <c r="D489" s="210" t="s">
        <v>4534</v>
      </c>
      <c r="E489" s="293"/>
      <c r="F489" s="289">
        <v>11734456</v>
      </c>
    </row>
    <row r="490" spans="1:6" x14ac:dyDescent="0.25">
      <c r="A490" s="230">
        <v>45902</v>
      </c>
      <c r="B490" s="11" t="s">
        <v>4532</v>
      </c>
      <c r="C490" s="112" t="s">
        <v>6</v>
      </c>
      <c r="D490" s="210" t="s">
        <v>4535</v>
      </c>
      <c r="E490" s="293"/>
      <c r="F490" s="289">
        <v>6432970</v>
      </c>
    </row>
    <row r="491" spans="1:6" x14ac:dyDescent="0.25">
      <c r="A491" s="230">
        <v>45902</v>
      </c>
      <c r="B491" s="11" t="s">
        <v>4532</v>
      </c>
      <c r="C491" s="112" t="s">
        <v>6</v>
      </c>
      <c r="D491" s="210" t="s">
        <v>4536</v>
      </c>
      <c r="E491" s="293"/>
      <c r="F491" s="289">
        <v>7710418</v>
      </c>
    </row>
    <row r="492" spans="1:6" ht="30" x14ac:dyDescent="0.25">
      <c r="A492" s="230">
        <v>45902</v>
      </c>
      <c r="B492" s="11" t="s">
        <v>4532</v>
      </c>
      <c r="C492" s="112" t="s">
        <v>6</v>
      </c>
      <c r="D492" s="210" t="s">
        <v>4537</v>
      </c>
      <c r="E492" s="293"/>
      <c r="F492" s="289">
        <v>2114678</v>
      </c>
    </row>
    <row r="493" spans="1:6" x14ac:dyDescent="0.25">
      <c r="A493" s="230">
        <v>45913</v>
      </c>
      <c r="B493" s="11" t="s">
        <v>4452</v>
      </c>
      <c r="C493" s="112" t="s">
        <v>6</v>
      </c>
      <c r="D493" s="210" t="s">
        <v>4538</v>
      </c>
      <c r="E493" s="293"/>
      <c r="F493" s="289">
        <v>14750056</v>
      </c>
    </row>
    <row r="494" spans="1:6" x14ac:dyDescent="0.25">
      <c r="A494" s="230">
        <v>45913</v>
      </c>
      <c r="B494" s="11" t="s">
        <v>4452</v>
      </c>
      <c r="C494" s="112" t="s">
        <v>6</v>
      </c>
      <c r="D494" s="210" t="s">
        <v>4539</v>
      </c>
      <c r="E494" s="293"/>
      <c r="F494" s="289">
        <v>4702867</v>
      </c>
    </row>
    <row r="495" spans="1:6" x14ac:dyDescent="0.25">
      <c r="A495" s="230">
        <v>45917</v>
      </c>
      <c r="B495" s="11" t="s">
        <v>4540</v>
      </c>
      <c r="C495" s="112" t="s">
        <v>6</v>
      </c>
      <c r="D495" s="211" t="s">
        <v>82</v>
      </c>
      <c r="E495" s="293"/>
      <c r="F495" s="289">
        <v>2318279.5699999998</v>
      </c>
    </row>
    <row r="496" spans="1:6" x14ac:dyDescent="0.25">
      <c r="A496" s="230">
        <v>45917</v>
      </c>
      <c r="B496" s="11" t="s">
        <v>4541</v>
      </c>
      <c r="C496" s="112" t="s">
        <v>6</v>
      </c>
      <c r="D496" s="210" t="s">
        <v>4542</v>
      </c>
      <c r="E496" s="293"/>
      <c r="F496" s="289">
        <v>175000000</v>
      </c>
    </row>
    <row r="497" spans="1:6" x14ac:dyDescent="0.25">
      <c r="A497" s="230">
        <v>45917</v>
      </c>
      <c r="B497" s="11" t="s">
        <v>4541</v>
      </c>
      <c r="C497" s="112" t="s">
        <v>6</v>
      </c>
      <c r="D497" s="210" t="s">
        <v>4543</v>
      </c>
      <c r="E497" s="293"/>
      <c r="F497" s="289">
        <v>19250000</v>
      </c>
    </row>
    <row r="498" spans="1:6" x14ac:dyDescent="0.25">
      <c r="A498" s="230">
        <v>45917</v>
      </c>
      <c r="B498" s="11" t="s">
        <v>4541</v>
      </c>
      <c r="C498" s="112" t="s">
        <v>6</v>
      </c>
      <c r="D498" s="210" t="s">
        <v>4544</v>
      </c>
      <c r="E498" s="293"/>
      <c r="F498" s="289">
        <v>-3500000</v>
      </c>
    </row>
    <row r="499" spans="1:6" x14ac:dyDescent="0.25">
      <c r="A499" s="230">
        <v>45917</v>
      </c>
      <c r="B499" s="11" t="s">
        <v>4541</v>
      </c>
      <c r="C499" s="112" t="s">
        <v>6</v>
      </c>
      <c r="D499" s="210" t="s">
        <v>4545</v>
      </c>
      <c r="E499" s="293"/>
      <c r="F499" s="289">
        <v>2900</v>
      </c>
    </row>
    <row r="500" spans="1:6" ht="30" x14ac:dyDescent="0.25">
      <c r="A500" s="271">
        <v>45876</v>
      </c>
      <c r="B500" s="15" t="s">
        <v>5011</v>
      </c>
      <c r="C500" s="113" t="s">
        <v>6</v>
      </c>
      <c r="D500" s="51" t="s">
        <v>5012</v>
      </c>
      <c r="E500" s="291"/>
      <c r="F500" s="292">
        <v>56938432</v>
      </c>
    </row>
    <row r="501" spans="1:6" ht="30" x14ac:dyDescent="0.25">
      <c r="A501" s="271">
        <v>45876</v>
      </c>
      <c r="B501" s="15" t="s">
        <v>5011</v>
      </c>
      <c r="C501" s="113" t="s">
        <v>6</v>
      </c>
      <c r="D501" s="51" t="s">
        <v>5013</v>
      </c>
      <c r="E501" s="291"/>
      <c r="F501" s="292">
        <v>82300</v>
      </c>
    </row>
    <row r="502" spans="1:6" ht="30" x14ac:dyDescent="0.25">
      <c r="A502" s="271">
        <v>45876</v>
      </c>
      <c r="B502" s="15" t="s">
        <v>5011</v>
      </c>
      <c r="C502" s="113" t="s">
        <v>6</v>
      </c>
      <c r="D502" s="51" t="s">
        <v>5014</v>
      </c>
      <c r="E502" s="291"/>
      <c r="F502" s="292">
        <v>329200</v>
      </c>
    </row>
    <row r="503" spans="1:6" ht="30" x14ac:dyDescent="0.25">
      <c r="A503" s="271">
        <v>45876</v>
      </c>
      <c r="B503" s="15" t="s">
        <v>5015</v>
      </c>
      <c r="C503" s="113" t="s">
        <v>6</v>
      </c>
      <c r="D503" s="51" t="s">
        <v>5016</v>
      </c>
      <c r="E503" s="291"/>
      <c r="F503" s="292">
        <v>62995712</v>
      </c>
    </row>
    <row r="504" spans="1:6" ht="30" x14ac:dyDescent="0.25">
      <c r="A504" s="271">
        <v>45876</v>
      </c>
      <c r="B504" s="15" t="s">
        <v>5015</v>
      </c>
      <c r="C504" s="113" t="s">
        <v>6</v>
      </c>
      <c r="D504" s="51" t="s">
        <v>5017</v>
      </c>
      <c r="E504" s="291"/>
      <c r="F504" s="292">
        <v>82300</v>
      </c>
    </row>
    <row r="505" spans="1:6" ht="30" x14ac:dyDescent="0.25">
      <c r="A505" s="271">
        <v>45876</v>
      </c>
      <c r="B505" s="15" t="s">
        <v>5015</v>
      </c>
      <c r="C505" s="113" t="s">
        <v>6</v>
      </c>
      <c r="D505" s="51" t="s">
        <v>5018</v>
      </c>
      <c r="E505" s="291"/>
      <c r="F505" s="292">
        <v>329200</v>
      </c>
    </row>
    <row r="506" spans="1:6" x14ac:dyDescent="0.25">
      <c r="A506" s="230">
        <v>45931</v>
      </c>
      <c r="B506" s="11" t="s">
        <v>5019</v>
      </c>
      <c r="C506" s="112" t="s">
        <v>6</v>
      </c>
      <c r="D506" s="156" t="s">
        <v>5020</v>
      </c>
      <c r="E506" s="282"/>
      <c r="F506" s="290">
        <v>739119629</v>
      </c>
    </row>
    <row r="507" spans="1:6" x14ac:dyDescent="0.25">
      <c r="A507" s="230">
        <v>45931</v>
      </c>
      <c r="B507" s="11" t="s">
        <v>5019</v>
      </c>
      <c r="C507" s="112" t="s">
        <v>6</v>
      </c>
      <c r="D507" s="156" t="s">
        <v>5021</v>
      </c>
      <c r="E507" s="282"/>
      <c r="F507" s="290">
        <v>588175</v>
      </c>
    </row>
    <row r="508" spans="1:6" x14ac:dyDescent="0.25">
      <c r="A508" s="230">
        <v>45931</v>
      </c>
      <c r="B508" s="11" t="s">
        <v>5022</v>
      </c>
      <c r="C508" s="112" t="s">
        <v>6</v>
      </c>
      <c r="D508" s="226" t="s">
        <v>5023</v>
      </c>
      <c r="E508" s="293"/>
      <c r="F508" s="289">
        <v>61500000</v>
      </c>
    </row>
    <row r="509" spans="1:6" x14ac:dyDescent="0.25">
      <c r="A509" s="230">
        <v>45931</v>
      </c>
      <c r="B509" s="11" t="s">
        <v>5022</v>
      </c>
      <c r="C509" s="112" t="s">
        <v>6</v>
      </c>
      <c r="D509" s="226" t="s">
        <v>5024</v>
      </c>
      <c r="E509" s="293"/>
      <c r="F509" s="289">
        <v>6765000</v>
      </c>
    </row>
    <row r="510" spans="1:6" x14ac:dyDescent="0.25">
      <c r="A510" s="230">
        <v>45931</v>
      </c>
      <c r="B510" s="11" t="s">
        <v>5022</v>
      </c>
      <c r="C510" s="112" t="s">
        <v>6</v>
      </c>
      <c r="D510" s="226" t="s">
        <v>5025</v>
      </c>
      <c r="E510" s="293"/>
      <c r="F510" s="289">
        <v>-1230000</v>
      </c>
    </row>
    <row r="511" spans="1:6" x14ac:dyDescent="0.25">
      <c r="A511" s="230">
        <v>45931</v>
      </c>
      <c r="B511" s="11" t="s">
        <v>5022</v>
      </c>
      <c r="C511" s="112" t="s">
        <v>6</v>
      </c>
      <c r="D511" s="226" t="s">
        <v>5026</v>
      </c>
      <c r="E511" s="293"/>
      <c r="F511" s="289">
        <v>74500000</v>
      </c>
    </row>
    <row r="512" spans="1:6" x14ac:dyDescent="0.25">
      <c r="A512" s="230">
        <v>45931</v>
      </c>
      <c r="B512" s="11" t="s">
        <v>5022</v>
      </c>
      <c r="C512" s="112" t="s">
        <v>6</v>
      </c>
      <c r="D512" s="226" t="s">
        <v>5027</v>
      </c>
      <c r="E512" s="293"/>
      <c r="F512" s="289">
        <v>819500</v>
      </c>
    </row>
    <row r="513" spans="1:6" x14ac:dyDescent="0.25">
      <c r="A513" s="230">
        <v>45931</v>
      </c>
      <c r="B513" s="11" t="s">
        <v>5022</v>
      </c>
      <c r="C513" s="112" t="s">
        <v>6</v>
      </c>
      <c r="D513" s="226" t="s">
        <v>5028</v>
      </c>
      <c r="E513" s="293"/>
      <c r="F513" s="289">
        <v>-1490000</v>
      </c>
    </row>
    <row r="514" spans="1:6" x14ac:dyDescent="0.25">
      <c r="A514" s="230">
        <v>45931</v>
      </c>
      <c r="B514" s="11" t="s">
        <v>5022</v>
      </c>
      <c r="C514" s="112" t="s">
        <v>6</v>
      </c>
      <c r="D514" s="226" t="s">
        <v>5029</v>
      </c>
      <c r="E514" s="293"/>
      <c r="F514" s="289">
        <v>10556039</v>
      </c>
    </row>
    <row r="515" spans="1:6" x14ac:dyDescent="0.25">
      <c r="A515" s="230">
        <v>45931</v>
      </c>
      <c r="B515" s="11" t="s">
        <v>5022</v>
      </c>
      <c r="C515" s="112" t="s">
        <v>6</v>
      </c>
      <c r="D515" s="226" t="s">
        <v>5030</v>
      </c>
      <c r="E515" s="293"/>
      <c r="F515" s="289">
        <v>123530</v>
      </c>
    </row>
    <row r="516" spans="1:6" x14ac:dyDescent="0.25">
      <c r="A516" s="230">
        <v>45931</v>
      </c>
      <c r="B516" s="11" t="s">
        <v>5022</v>
      </c>
      <c r="C516" s="112" t="s">
        <v>6</v>
      </c>
      <c r="D516" s="226" t="s">
        <v>5031</v>
      </c>
      <c r="E516" s="293"/>
      <c r="F516" s="289">
        <v>-22460</v>
      </c>
    </row>
    <row r="517" spans="1:6" x14ac:dyDescent="0.25">
      <c r="A517" s="230">
        <v>45931</v>
      </c>
      <c r="B517" s="11" t="s">
        <v>5022</v>
      </c>
      <c r="C517" s="112" t="s">
        <v>6</v>
      </c>
      <c r="D517" s="226" t="s">
        <v>431</v>
      </c>
      <c r="E517" s="293"/>
      <c r="F517" s="289">
        <v>2900</v>
      </c>
    </row>
    <row r="518" spans="1:6" x14ac:dyDescent="0.25">
      <c r="A518" s="230">
        <v>45938</v>
      </c>
      <c r="B518" s="11" t="s">
        <v>5032</v>
      </c>
      <c r="C518" s="112" t="s">
        <v>6</v>
      </c>
      <c r="D518" s="213" t="s">
        <v>5033</v>
      </c>
      <c r="E518" s="293"/>
      <c r="F518" s="289">
        <v>114611823</v>
      </c>
    </row>
    <row r="519" spans="1:6" x14ac:dyDescent="0.25">
      <c r="A519" s="230">
        <v>45938</v>
      </c>
      <c r="B519" s="11" t="s">
        <v>5032</v>
      </c>
      <c r="C519" s="112" t="s">
        <v>6</v>
      </c>
      <c r="D519" s="213" t="s">
        <v>5034</v>
      </c>
      <c r="E519" s="293"/>
      <c r="F519" s="289">
        <v>26048125</v>
      </c>
    </row>
    <row r="520" spans="1:6" x14ac:dyDescent="0.25">
      <c r="A520" s="230">
        <v>45939</v>
      </c>
      <c r="B520" s="11" t="s">
        <v>5035</v>
      </c>
      <c r="C520" s="341" t="s">
        <v>6</v>
      </c>
      <c r="D520" s="345" t="s">
        <v>5036</v>
      </c>
      <c r="E520" s="293"/>
      <c r="F520" s="289">
        <v>212500</v>
      </c>
    </row>
    <row r="521" spans="1:6" x14ac:dyDescent="0.25">
      <c r="A521" s="230">
        <v>45939</v>
      </c>
      <c r="B521" s="11" t="s">
        <v>5035</v>
      </c>
      <c r="C521" s="341" t="s">
        <v>6</v>
      </c>
      <c r="D521" s="345" t="s">
        <v>5037</v>
      </c>
      <c r="E521" s="293"/>
      <c r="F521" s="289">
        <v>71500</v>
      </c>
    </row>
    <row r="522" spans="1:6" x14ac:dyDescent="0.25">
      <c r="A522" s="230">
        <v>45943</v>
      </c>
      <c r="B522" s="11" t="s">
        <v>5038</v>
      </c>
      <c r="C522" s="112" t="s">
        <v>6</v>
      </c>
      <c r="D522" s="213" t="s">
        <v>5039</v>
      </c>
      <c r="E522" s="293"/>
      <c r="F522" s="289">
        <v>530000</v>
      </c>
    </row>
    <row r="523" spans="1:6" x14ac:dyDescent="0.25">
      <c r="A523" s="230">
        <v>45943</v>
      </c>
      <c r="B523" s="11" t="s">
        <v>5038</v>
      </c>
      <c r="C523" s="112" t="s">
        <v>6</v>
      </c>
      <c r="D523" s="213" t="s">
        <v>50</v>
      </c>
      <c r="E523" s="293"/>
      <c r="F523" s="289">
        <v>2500</v>
      </c>
    </row>
    <row r="524" spans="1:6" x14ac:dyDescent="0.25">
      <c r="A524" s="230">
        <v>45943</v>
      </c>
      <c r="B524" s="11" t="s">
        <v>5038</v>
      </c>
      <c r="C524" s="112" t="s">
        <v>6</v>
      </c>
      <c r="D524" s="213" t="s">
        <v>5040</v>
      </c>
      <c r="E524" s="293"/>
      <c r="F524" s="289">
        <v>2220000</v>
      </c>
    </row>
    <row r="525" spans="1:6" x14ac:dyDescent="0.25">
      <c r="A525" s="230">
        <v>45943</v>
      </c>
      <c r="B525" s="11" t="s">
        <v>5038</v>
      </c>
      <c r="C525" s="112" t="s">
        <v>6</v>
      </c>
      <c r="D525" s="213" t="s">
        <v>50</v>
      </c>
      <c r="E525" s="293"/>
      <c r="F525" s="289">
        <v>2500</v>
      </c>
    </row>
    <row r="526" spans="1:6" x14ac:dyDescent="0.25">
      <c r="A526" s="230">
        <v>45943</v>
      </c>
      <c r="B526" s="11" t="s">
        <v>5038</v>
      </c>
      <c r="C526" s="112" t="s">
        <v>6</v>
      </c>
      <c r="D526" s="213" t="s">
        <v>5041</v>
      </c>
      <c r="E526" s="293"/>
      <c r="F526" s="289">
        <v>5410000</v>
      </c>
    </row>
    <row r="527" spans="1:6" x14ac:dyDescent="0.25">
      <c r="A527" s="230">
        <v>45943</v>
      </c>
      <c r="B527" s="11" t="s">
        <v>5038</v>
      </c>
      <c r="C527" s="112" t="s">
        <v>6</v>
      </c>
      <c r="D527" s="213" t="s">
        <v>50</v>
      </c>
      <c r="E527" s="293"/>
      <c r="F527" s="289">
        <v>2500</v>
      </c>
    </row>
    <row r="528" spans="1:6" x14ac:dyDescent="0.25">
      <c r="A528" s="230">
        <v>45943</v>
      </c>
      <c r="B528" s="11" t="s">
        <v>5038</v>
      </c>
      <c r="C528" s="112" t="s">
        <v>6</v>
      </c>
      <c r="D528" s="213" t="s">
        <v>5042</v>
      </c>
      <c r="E528" s="293"/>
      <c r="F528" s="289">
        <v>1963800</v>
      </c>
    </row>
    <row r="529" spans="1:6" x14ac:dyDescent="0.25">
      <c r="A529" s="230">
        <v>45944</v>
      </c>
      <c r="B529" s="11" t="s">
        <v>4956</v>
      </c>
      <c r="C529" s="112" t="s">
        <v>6</v>
      </c>
      <c r="D529" s="213" t="s">
        <v>5043</v>
      </c>
      <c r="E529" s="293"/>
      <c r="F529" s="289">
        <v>60000</v>
      </c>
    </row>
    <row r="530" spans="1:6" x14ac:dyDescent="0.25">
      <c r="A530" s="230">
        <v>45944</v>
      </c>
      <c r="B530" s="11" t="s">
        <v>4956</v>
      </c>
      <c r="C530" s="112" t="s">
        <v>6</v>
      </c>
      <c r="D530" s="213" t="s">
        <v>3477</v>
      </c>
      <c r="E530" s="293"/>
      <c r="F530" s="289">
        <v>2500</v>
      </c>
    </row>
    <row r="531" spans="1:6" x14ac:dyDescent="0.25">
      <c r="A531" s="230">
        <v>45944</v>
      </c>
      <c r="B531" s="11" t="s">
        <v>4956</v>
      </c>
      <c r="C531" s="112" t="s">
        <v>6</v>
      </c>
      <c r="D531" s="213" t="s">
        <v>5044</v>
      </c>
      <c r="E531" s="293"/>
      <c r="F531" s="289">
        <v>1075000</v>
      </c>
    </row>
    <row r="532" spans="1:6" x14ac:dyDescent="0.25">
      <c r="A532" s="230">
        <v>45944</v>
      </c>
      <c r="B532" s="11" t="s">
        <v>4956</v>
      </c>
      <c r="C532" s="112" t="s">
        <v>6</v>
      </c>
      <c r="D532" s="213" t="s">
        <v>5045</v>
      </c>
      <c r="E532" s="293"/>
      <c r="F532" s="289">
        <v>118250</v>
      </c>
    </row>
    <row r="533" spans="1:6" x14ac:dyDescent="0.25">
      <c r="A533" s="230">
        <v>45944</v>
      </c>
      <c r="B533" s="11" t="s">
        <v>4956</v>
      </c>
      <c r="C533" s="112" t="s">
        <v>6</v>
      </c>
      <c r="D533" s="213" t="s">
        <v>5046</v>
      </c>
      <c r="E533" s="293"/>
      <c r="F533" s="289">
        <v>-21500</v>
      </c>
    </row>
    <row r="534" spans="1:6" x14ac:dyDescent="0.25">
      <c r="A534" s="230">
        <v>45944</v>
      </c>
      <c r="B534" s="11" t="s">
        <v>4956</v>
      </c>
      <c r="C534" s="112" t="s">
        <v>6</v>
      </c>
      <c r="D534" s="213" t="s">
        <v>5047</v>
      </c>
      <c r="E534" s="293"/>
      <c r="F534" s="289">
        <v>185595</v>
      </c>
    </row>
    <row r="535" spans="1:6" x14ac:dyDescent="0.25">
      <c r="A535" s="230">
        <v>45944</v>
      </c>
      <c r="B535" s="11" t="s">
        <v>4956</v>
      </c>
      <c r="C535" s="112" t="s">
        <v>6</v>
      </c>
      <c r="D535" s="213" t="s">
        <v>5048</v>
      </c>
      <c r="E535" s="293"/>
      <c r="F535" s="289">
        <v>26500</v>
      </c>
    </row>
    <row r="536" spans="1:6" x14ac:dyDescent="0.25">
      <c r="A536" s="230">
        <v>45944</v>
      </c>
      <c r="B536" s="11" t="s">
        <v>4956</v>
      </c>
      <c r="C536" s="112" t="s">
        <v>6</v>
      </c>
      <c r="D536" s="213" t="s">
        <v>3477</v>
      </c>
      <c r="E536" s="293"/>
      <c r="F536" s="289">
        <v>2500</v>
      </c>
    </row>
    <row r="537" spans="1:6" x14ac:dyDescent="0.25">
      <c r="A537" s="230">
        <v>45944</v>
      </c>
      <c r="B537" s="11" t="s">
        <v>4956</v>
      </c>
      <c r="C537" s="112" t="s">
        <v>6</v>
      </c>
      <c r="D537" s="213" t="s">
        <v>5047</v>
      </c>
      <c r="E537" s="293"/>
      <c r="F537" s="289">
        <v>154322</v>
      </c>
    </row>
    <row r="538" spans="1:6" x14ac:dyDescent="0.25">
      <c r="A538" s="230">
        <v>45944</v>
      </c>
      <c r="B538" s="11" t="s">
        <v>4956</v>
      </c>
      <c r="C538" s="112" t="s">
        <v>6</v>
      </c>
      <c r="D538" s="213" t="s">
        <v>5049</v>
      </c>
      <c r="E538" s="293"/>
      <c r="F538" s="289">
        <v>5678</v>
      </c>
    </row>
    <row r="539" spans="1:6" x14ac:dyDescent="0.25">
      <c r="A539" s="230">
        <v>45944</v>
      </c>
      <c r="B539" s="11" t="s">
        <v>4956</v>
      </c>
      <c r="C539" s="112" t="s">
        <v>6</v>
      </c>
      <c r="D539" s="213" t="s">
        <v>3477</v>
      </c>
      <c r="E539" s="293"/>
      <c r="F539" s="289">
        <v>2500</v>
      </c>
    </row>
    <row r="540" spans="1:6" ht="30" x14ac:dyDescent="0.25">
      <c r="A540" s="230">
        <v>45946</v>
      </c>
      <c r="B540" s="11" t="s">
        <v>4961</v>
      </c>
      <c r="C540" s="112" t="s">
        <v>6</v>
      </c>
      <c r="D540" s="281" t="s">
        <v>5050</v>
      </c>
      <c r="E540" s="293"/>
      <c r="F540" s="283">
        <v>6938776</v>
      </c>
    </row>
    <row r="541" spans="1:6" x14ac:dyDescent="0.25">
      <c r="A541" s="230">
        <v>45946</v>
      </c>
      <c r="B541" s="11" t="s">
        <v>4961</v>
      </c>
      <c r="C541" s="112" t="s">
        <v>6</v>
      </c>
      <c r="D541" s="281" t="s">
        <v>5051</v>
      </c>
      <c r="E541" s="293"/>
      <c r="F541" s="283">
        <v>-138776</v>
      </c>
    </row>
    <row r="542" spans="1:6" x14ac:dyDescent="0.25">
      <c r="A542" s="230">
        <v>45946</v>
      </c>
      <c r="B542" s="11" t="s">
        <v>4961</v>
      </c>
      <c r="C542" s="112" t="s">
        <v>6</v>
      </c>
      <c r="D542" s="280" t="s">
        <v>4980</v>
      </c>
      <c r="E542" s="293"/>
      <c r="F542" s="283">
        <v>2500</v>
      </c>
    </row>
    <row r="543" spans="1:6" x14ac:dyDescent="0.25">
      <c r="A543" s="230">
        <v>45946</v>
      </c>
      <c r="B543" s="11" t="s">
        <v>4961</v>
      </c>
      <c r="C543" s="112" t="s">
        <v>6</v>
      </c>
      <c r="D543" s="280" t="s">
        <v>5052</v>
      </c>
      <c r="E543" s="293"/>
      <c r="F543" s="283">
        <v>2000000</v>
      </c>
    </row>
    <row r="544" spans="1:6" x14ac:dyDescent="0.25">
      <c r="A544" s="230">
        <v>45947</v>
      </c>
      <c r="B544" s="11" t="s">
        <v>4963</v>
      </c>
      <c r="C544" s="112" t="s">
        <v>6</v>
      </c>
      <c r="D544" s="213" t="s">
        <v>5053</v>
      </c>
      <c r="E544" s="293"/>
      <c r="F544" s="289">
        <v>700000</v>
      </c>
    </row>
    <row r="545" spans="1:6" x14ac:dyDescent="0.25">
      <c r="A545" s="230">
        <v>45947</v>
      </c>
      <c r="B545" s="11" t="s">
        <v>4963</v>
      </c>
      <c r="C545" s="112" t="s">
        <v>6</v>
      </c>
      <c r="D545" s="213" t="s">
        <v>981</v>
      </c>
      <c r="E545" s="293"/>
      <c r="F545" s="289">
        <v>2500</v>
      </c>
    </row>
    <row r="546" spans="1:6" x14ac:dyDescent="0.25">
      <c r="A546" s="230">
        <v>45947</v>
      </c>
      <c r="B546" s="11" t="s">
        <v>4963</v>
      </c>
      <c r="C546" s="112" t="s">
        <v>6</v>
      </c>
      <c r="D546" s="213" t="s">
        <v>5054</v>
      </c>
      <c r="E546" s="293"/>
      <c r="F546" s="289">
        <v>405500</v>
      </c>
    </row>
    <row r="547" spans="1:6" x14ac:dyDescent="0.25">
      <c r="A547" s="230">
        <v>45947</v>
      </c>
      <c r="B547" s="11" t="s">
        <v>4963</v>
      </c>
      <c r="C547" s="112" t="s">
        <v>6</v>
      </c>
      <c r="D547" s="213" t="s">
        <v>981</v>
      </c>
      <c r="E547" s="293"/>
      <c r="F547" s="289">
        <v>2500</v>
      </c>
    </row>
    <row r="548" spans="1:6" x14ac:dyDescent="0.25">
      <c r="A548" s="230">
        <v>45951</v>
      </c>
      <c r="B548" s="11" t="s">
        <v>4973</v>
      </c>
      <c r="C548" s="112" t="s">
        <v>6</v>
      </c>
      <c r="D548" s="213" t="s">
        <v>5055</v>
      </c>
      <c r="E548" s="293"/>
      <c r="F548" s="289">
        <v>510000</v>
      </c>
    </row>
    <row r="549" spans="1:6" x14ac:dyDescent="0.25">
      <c r="A549" s="230">
        <v>45951</v>
      </c>
      <c r="B549" s="11" t="s">
        <v>4973</v>
      </c>
      <c r="C549" s="112" t="s">
        <v>6</v>
      </c>
      <c r="D549" s="213" t="s">
        <v>5056</v>
      </c>
      <c r="E549" s="293"/>
      <c r="F549" s="289">
        <v>1900000</v>
      </c>
    </row>
    <row r="550" spans="1:6" x14ac:dyDescent="0.25">
      <c r="A550" s="230">
        <v>45951</v>
      </c>
      <c r="B550" s="11" t="s">
        <v>4973</v>
      </c>
      <c r="C550" s="112" t="s">
        <v>6</v>
      </c>
      <c r="D550" s="213" t="s">
        <v>5057</v>
      </c>
      <c r="E550" s="293"/>
      <c r="F550" s="289">
        <v>62531</v>
      </c>
    </row>
    <row r="551" spans="1:6" ht="30" x14ac:dyDescent="0.25">
      <c r="A551" s="230">
        <v>45952</v>
      </c>
      <c r="B551" s="11" t="s">
        <v>5058</v>
      </c>
      <c r="C551" s="112" t="s">
        <v>6</v>
      </c>
      <c r="D551" s="213" t="s">
        <v>5059</v>
      </c>
      <c r="E551" s="293"/>
      <c r="F551" s="289">
        <v>45489000</v>
      </c>
    </row>
    <row r="552" spans="1:6" x14ac:dyDescent="0.25">
      <c r="A552" s="230">
        <v>45952</v>
      </c>
      <c r="B552" s="11" t="s">
        <v>5058</v>
      </c>
      <c r="C552" s="112" t="s">
        <v>6</v>
      </c>
      <c r="D552" s="213" t="s">
        <v>5060</v>
      </c>
      <c r="E552" s="293"/>
      <c r="F552" s="289">
        <v>2900</v>
      </c>
    </row>
    <row r="553" spans="1:6" x14ac:dyDescent="0.25">
      <c r="A553" s="230">
        <v>45952</v>
      </c>
      <c r="B553" s="11" t="s">
        <v>4975</v>
      </c>
      <c r="C553" s="112" t="s">
        <v>6</v>
      </c>
      <c r="D553" s="213" t="s">
        <v>5061</v>
      </c>
      <c r="E553" s="293"/>
      <c r="F553" s="289">
        <v>450000</v>
      </c>
    </row>
    <row r="554" spans="1:6" x14ac:dyDescent="0.25">
      <c r="A554" s="230">
        <v>45952</v>
      </c>
      <c r="B554" s="11" t="s">
        <v>4975</v>
      </c>
      <c r="C554" s="112" t="s">
        <v>6</v>
      </c>
      <c r="D554" s="213" t="s">
        <v>5062</v>
      </c>
      <c r="E554" s="293"/>
      <c r="F554" s="289">
        <v>535000</v>
      </c>
    </row>
    <row r="555" spans="1:6" x14ac:dyDescent="0.25">
      <c r="A555" s="230">
        <v>45952</v>
      </c>
      <c r="B555" s="11" t="s">
        <v>4975</v>
      </c>
      <c r="C555" s="112" t="s">
        <v>6</v>
      </c>
      <c r="D555" s="213" t="s">
        <v>5063</v>
      </c>
      <c r="E555" s="293"/>
      <c r="F555" s="289">
        <v>7200000</v>
      </c>
    </row>
    <row r="556" spans="1:6" x14ac:dyDescent="0.25">
      <c r="A556" s="230">
        <v>45952</v>
      </c>
      <c r="B556" s="11" t="s">
        <v>4975</v>
      </c>
      <c r="C556" s="112" t="s">
        <v>6</v>
      </c>
      <c r="D556" s="213" t="s">
        <v>5064</v>
      </c>
      <c r="E556" s="293"/>
      <c r="F556" s="289">
        <v>792000</v>
      </c>
    </row>
    <row r="557" spans="1:6" x14ac:dyDescent="0.25">
      <c r="A557" s="230">
        <v>45952</v>
      </c>
      <c r="B557" s="11" t="s">
        <v>4975</v>
      </c>
      <c r="C557" s="112" t="s">
        <v>6</v>
      </c>
      <c r="D557" s="213" t="s">
        <v>5065</v>
      </c>
      <c r="E557" s="293"/>
      <c r="F557" s="289">
        <v>-144000</v>
      </c>
    </row>
    <row r="558" spans="1:6" x14ac:dyDescent="0.25">
      <c r="A558" s="230">
        <v>45952</v>
      </c>
      <c r="B558" s="11" t="s">
        <v>4975</v>
      </c>
      <c r="C558" s="112" t="s">
        <v>6</v>
      </c>
      <c r="D558" s="213" t="s">
        <v>210</v>
      </c>
      <c r="E558" s="293"/>
      <c r="F558" s="289">
        <v>2500</v>
      </c>
    </row>
    <row r="559" spans="1:6" x14ac:dyDescent="0.25">
      <c r="A559" s="230">
        <v>45953</v>
      </c>
      <c r="B559" s="11" t="s">
        <v>4977</v>
      </c>
      <c r="C559" s="112" t="s">
        <v>6</v>
      </c>
      <c r="D559" s="280" t="s">
        <v>5066</v>
      </c>
      <c r="E559" s="309"/>
      <c r="F559" s="283">
        <v>889600</v>
      </c>
    </row>
    <row r="560" spans="1:6" x14ac:dyDescent="0.25">
      <c r="A560" s="230">
        <v>45953</v>
      </c>
      <c r="B560" s="11" t="s">
        <v>4977</v>
      </c>
      <c r="C560" s="112" t="s">
        <v>6</v>
      </c>
      <c r="D560" s="280" t="s">
        <v>5067</v>
      </c>
      <c r="E560" s="309"/>
      <c r="F560" s="283">
        <v>324190</v>
      </c>
    </row>
    <row r="561" spans="1:6" x14ac:dyDescent="0.25">
      <c r="A561" s="230">
        <v>45953</v>
      </c>
      <c r="B561" s="11" t="s">
        <v>4977</v>
      </c>
      <c r="C561" s="112" t="s">
        <v>6</v>
      </c>
      <c r="D561" s="280" t="s">
        <v>5068</v>
      </c>
      <c r="E561" s="309"/>
      <c r="F561" s="283">
        <v>406200</v>
      </c>
    </row>
    <row r="562" spans="1:6" x14ac:dyDescent="0.25">
      <c r="A562" s="230">
        <v>45954</v>
      </c>
      <c r="B562" s="11" t="s">
        <v>5069</v>
      </c>
      <c r="C562" s="112" t="s">
        <v>6</v>
      </c>
      <c r="D562" s="213" t="s">
        <v>5070</v>
      </c>
      <c r="E562" s="293"/>
      <c r="F562" s="289">
        <v>168000</v>
      </c>
    </row>
    <row r="563" spans="1:6" x14ac:dyDescent="0.25">
      <c r="A563" s="230">
        <v>45954</v>
      </c>
      <c r="B563" s="11" t="s">
        <v>5069</v>
      </c>
      <c r="C563" s="112" t="s">
        <v>6</v>
      </c>
      <c r="D563" s="213" t="s">
        <v>481</v>
      </c>
      <c r="E563" s="293"/>
      <c r="F563" s="289">
        <v>650000</v>
      </c>
    </row>
    <row r="564" spans="1:6" x14ac:dyDescent="0.25">
      <c r="A564" s="230">
        <v>45954</v>
      </c>
      <c r="B564" s="11" t="s">
        <v>5069</v>
      </c>
      <c r="C564" s="112" t="s">
        <v>6</v>
      </c>
      <c r="D564" s="213" t="s">
        <v>953</v>
      </c>
      <c r="E564" s="293"/>
      <c r="F564" s="289">
        <v>554500</v>
      </c>
    </row>
    <row r="565" spans="1:6" x14ac:dyDescent="0.25">
      <c r="A565" s="230">
        <v>45954</v>
      </c>
      <c r="B565" s="11" t="s">
        <v>5069</v>
      </c>
      <c r="C565" s="112" t="s">
        <v>6</v>
      </c>
      <c r="D565" s="213" t="s">
        <v>5071</v>
      </c>
      <c r="E565" s="293"/>
      <c r="F565" s="289">
        <v>12000</v>
      </c>
    </row>
    <row r="566" spans="1:6" x14ac:dyDescent="0.25">
      <c r="A566" s="230">
        <v>45954</v>
      </c>
      <c r="B566" s="11" t="s">
        <v>5069</v>
      </c>
      <c r="C566" s="112" t="s">
        <v>6</v>
      </c>
      <c r="D566" s="213" t="s">
        <v>5072</v>
      </c>
      <c r="E566" s="293"/>
      <c r="F566" s="289">
        <v>1807400</v>
      </c>
    </row>
    <row r="567" spans="1:6" x14ac:dyDescent="0.25">
      <c r="A567" s="230">
        <v>45954</v>
      </c>
      <c r="B567" s="11" t="s">
        <v>5069</v>
      </c>
      <c r="C567" s="112" t="s">
        <v>6</v>
      </c>
      <c r="D567" s="213" t="s">
        <v>5073</v>
      </c>
      <c r="E567" s="293"/>
      <c r="F567" s="289">
        <v>134000</v>
      </c>
    </row>
    <row r="568" spans="1:6" x14ac:dyDescent="0.25">
      <c r="A568" s="230">
        <v>45954</v>
      </c>
      <c r="B568" s="11" t="s">
        <v>5069</v>
      </c>
      <c r="C568" s="112" t="s">
        <v>6</v>
      </c>
      <c r="D568" s="213" t="s">
        <v>5074</v>
      </c>
      <c r="E568" s="293"/>
      <c r="F568" s="289">
        <v>29400</v>
      </c>
    </row>
    <row r="569" spans="1:6" x14ac:dyDescent="0.25">
      <c r="A569" s="230">
        <v>45954</v>
      </c>
      <c r="B569" s="11" t="s">
        <v>5069</v>
      </c>
      <c r="C569" s="112" t="s">
        <v>6</v>
      </c>
      <c r="D569" s="213" t="s">
        <v>5075</v>
      </c>
      <c r="E569" s="293"/>
      <c r="F569" s="289">
        <v>103500</v>
      </c>
    </row>
    <row r="570" spans="1:6" x14ac:dyDescent="0.25">
      <c r="A570" s="230">
        <v>45954</v>
      </c>
      <c r="B570" s="11" t="s">
        <v>5069</v>
      </c>
      <c r="C570" s="112" t="s">
        <v>6</v>
      </c>
      <c r="D570" s="213" t="s">
        <v>5076</v>
      </c>
      <c r="E570" s="293"/>
      <c r="F570" s="289">
        <v>175000</v>
      </c>
    </row>
    <row r="571" spans="1:6" x14ac:dyDescent="0.25">
      <c r="A571" s="230">
        <v>45954</v>
      </c>
      <c r="B571" s="11" t="s">
        <v>5077</v>
      </c>
      <c r="C571" s="112" t="s">
        <v>6</v>
      </c>
      <c r="D571" s="213" t="s">
        <v>5078</v>
      </c>
      <c r="E571" s="293"/>
      <c r="F571" s="289">
        <v>201000</v>
      </c>
    </row>
    <row r="572" spans="1:6" x14ac:dyDescent="0.25">
      <c r="A572" s="230">
        <v>45954</v>
      </c>
      <c r="B572" s="11" t="s">
        <v>5077</v>
      </c>
      <c r="C572" s="112" t="s">
        <v>6</v>
      </c>
      <c r="D572" s="213" t="s">
        <v>5079</v>
      </c>
      <c r="E572" s="293"/>
      <c r="F572" s="289">
        <v>220000</v>
      </c>
    </row>
    <row r="573" spans="1:6" x14ac:dyDescent="0.25">
      <c r="A573" s="230">
        <v>45954</v>
      </c>
      <c r="B573" s="11" t="s">
        <v>5077</v>
      </c>
      <c r="C573" s="112" t="s">
        <v>6</v>
      </c>
      <c r="D573" s="213" t="s">
        <v>5080</v>
      </c>
      <c r="E573" s="293"/>
      <c r="F573" s="289">
        <v>252000</v>
      </c>
    </row>
    <row r="574" spans="1:6" x14ac:dyDescent="0.25">
      <c r="A574" s="230">
        <v>45954</v>
      </c>
      <c r="B574" s="11" t="s">
        <v>5077</v>
      </c>
      <c r="C574" s="112" t="s">
        <v>6</v>
      </c>
      <c r="D574" s="213" t="s">
        <v>5081</v>
      </c>
      <c r="E574" s="293"/>
      <c r="F574" s="289">
        <v>2900</v>
      </c>
    </row>
    <row r="575" spans="1:6" x14ac:dyDescent="0.25">
      <c r="A575" s="230">
        <v>45954</v>
      </c>
      <c r="B575" s="11" t="s">
        <v>5082</v>
      </c>
      <c r="C575" s="112" t="s">
        <v>6</v>
      </c>
      <c r="D575" s="213" t="s">
        <v>5083</v>
      </c>
      <c r="E575" s="293"/>
      <c r="F575" s="289">
        <v>78000</v>
      </c>
    </row>
    <row r="576" spans="1:6" x14ac:dyDescent="0.25">
      <c r="A576" s="230">
        <v>45909</v>
      </c>
      <c r="B576" s="11" t="s">
        <v>5105</v>
      </c>
      <c r="C576" s="113" t="s">
        <v>6</v>
      </c>
      <c r="D576" s="227" t="s">
        <v>5106</v>
      </c>
      <c r="E576" s="282"/>
      <c r="F576" s="290">
        <v>1243204334</v>
      </c>
    </row>
    <row r="577" spans="1:6" x14ac:dyDescent="0.25">
      <c r="A577" s="230">
        <v>45909</v>
      </c>
      <c r="B577" s="11" t="s">
        <v>5105</v>
      </c>
      <c r="C577" s="113" t="s">
        <v>6</v>
      </c>
      <c r="D577" s="227" t="s">
        <v>5107</v>
      </c>
      <c r="E577" s="282"/>
      <c r="F577" s="290">
        <v>13967208</v>
      </c>
    </row>
    <row r="578" spans="1:6" x14ac:dyDescent="0.25">
      <c r="A578" s="230">
        <v>45957</v>
      </c>
      <c r="B578" s="11" t="s">
        <v>5403</v>
      </c>
      <c r="C578" s="112" t="s">
        <v>6</v>
      </c>
      <c r="D578" s="213" t="s">
        <v>5404</v>
      </c>
      <c r="E578" s="293"/>
      <c r="F578" s="289">
        <v>800000</v>
      </c>
    </row>
    <row r="579" spans="1:6" x14ac:dyDescent="0.25">
      <c r="A579" s="230">
        <v>45957</v>
      </c>
      <c r="B579" s="11" t="s">
        <v>5403</v>
      </c>
      <c r="C579" s="112" t="s">
        <v>6</v>
      </c>
      <c r="D579" s="213" t="s">
        <v>981</v>
      </c>
      <c r="E579" s="293"/>
      <c r="F579" s="289">
        <v>2500</v>
      </c>
    </row>
    <row r="580" spans="1:6" x14ac:dyDescent="0.25">
      <c r="A580" s="230">
        <v>45957</v>
      </c>
      <c r="B580" s="11" t="s">
        <v>5403</v>
      </c>
      <c r="C580" s="112" t="s">
        <v>6</v>
      </c>
      <c r="D580" s="213" t="s">
        <v>5405</v>
      </c>
      <c r="E580" s="293"/>
      <c r="F580" s="289">
        <v>512000</v>
      </c>
    </row>
    <row r="581" spans="1:6" x14ac:dyDescent="0.25">
      <c r="A581" s="230">
        <v>45957</v>
      </c>
      <c r="B581" s="11" t="s">
        <v>5403</v>
      </c>
      <c r="C581" s="112" t="s">
        <v>6</v>
      </c>
      <c r="D581" s="213" t="s">
        <v>981</v>
      </c>
      <c r="E581" s="293"/>
      <c r="F581" s="289">
        <v>2500</v>
      </c>
    </row>
    <row r="582" spans="1:6" x14ac:dyDescent="0.25">
      <c r="A582" s="230">
        <v>45957</v>
      </c>
      <c r="B582" s="11" t="s">
        <v>5403</v>
      </c>
      <c r="C582" s="112" t="s">
        <v>6</v>
      </c>
      <c r="D582" s="213" t="s">
        <v>5406</v>
      </c>
      <c r="E582" s="293"/>
      <c r="F582" s="289">
        <v>249800</v>
      </c>
    </row>
    <row r="583" spans="1:6" x14ac:dyDescent="0.25">
      <c r="A583" s="230">
        <v>45957</v>
      </c>
      <c r="B583" s="11" t="s">
        <v>5403</v>
      </c>
      <c r="C583" s="112" t="s">
        <v>6</v>
      </c>
      <c r="D583" s="213" t="s">
        <v>5407</v>
      </c>
      <c r="E583" s="293"/>
      <c r="F583" s="289">
        <v>675000</v>
      </c>
    </row>
    <row r="584" spans="1:6" x14ac:dyDescent="0.25">
      <c r="A584" s="230">
        <v>45957</v>
      </c>
      <c r="B584" s="11" t="s">
        <v>5403</v>
      </c>
      <c r="C584" s="112" t="s">
        <v>6</v>
      </c>
      <c r="D584" s="213" t="s">
        <v>5408</v>
      </c>
      <c r="E584" s="293"/>
      <c r="F584" s="289">
        <v>480000</v>
      </c>
    </row>
    <row r="585" spans="1:6" x14ac:dyDescent="0.25">
      <c r="A585" s="230">
        <v>45957</v>
      </c>
      <c r="B585" s="11" t="s">
        <v>5403</v>
      </c>
      <c r="C585" s="112" t="s">
        <v>6</v>
      </c>
      <c r="D585" s="213" t="s">
        <v>981</v>
      </c>
      <c r="E585" s="293"/>
      <c r="F585" s="289">
        <v>2500</v>
      </c>
    </row>
    <row r="586" spans="1:6" x14ac:dyDescent="0.25">
      <c r="A586" s="230">
        <v>45957</v>
      </c>
      <c r="B586" s="11" t="s">
        <v>5409</v>
      </c>
      <c r="C586" s="112" t="s">
        <v>6</v>
      </c>
      <c r="D586" s="213" t="s">
        <v>5410</v>
      </c>
      <c r="E586" s="293"/>
      <c r="F586" s="289">
        <v>485000</v>
      </c>
    </row>
    <row r="587" spans="1:6" x14ac:dyDescent="0.25">
      <c r="A587" s="230">
        <v>45957</v>
      </c>
      <c r="B587" s="11" t="s">
        <v>5411</v>
      </c>
      <c r="C587" s="112" t="s">
        <v>6</v>
      </c>
      <c r="D587" s="213" t="s">
        <v>5412</v>
      </c>
      <c r="E587" s="293"/>
      <c r="F587" s="289">
        <v>146100</v>
      </c>
    </row>
    <row r="588" spans="1:6" x14ac:dyDescent="0.25">
      <c r="A588" s="230">
        <v>45957</v>
      </c>
      <c r="B588" s="11" t="s">
        <v>5411</v>
      </c>
      <c r="C588" s="112" t="s">
        <v>6</v>
      </c>
      <c r="D588" s="213" t="s">
        <v>5413</v>
      </c>
      <c r="E588" s="293"/>
      <c r="F588" s="289">
        <v>150000</v>
      </c>
    </row>
    <row r="589" spans="1:6" x14ac:dyDescent="0.25">
      <c r="A589" s="230">
        <v>45957</v>
      </c>
      <c r="B589" s="11" t="s">
        <v>5411</v>
      </c>
      <c r="C589" s="112" t="s">
        <v>6</v>
      </c>
      <c r="D589" s="213" t="s">
        <v>5414</v>
      </c>
      <c r="E589" s="293"/>
      <c r="F589" s="289">
        <v>490000</v>
      </c>
    </row>
    <row r="590" spans="1:6" x14ac:dyDescent="0.25">
      <c r="A590" s="230">
        <v>45957</v>
      </c>
      <c r="B590" s="11" t="s">
        <v>5411</v>
      </c>
      <c r="C590" s="112" t="s">
        <v>6</v>
      </c>
      <c r="D590" s="213" t="s">
        <v>5415</v>
      </c>
      <c r="E590" s="293"/>
      <c r="F590" s="289">
        <v>189500</v>
      </c>
    </row>
    <row r="591" spans="1:6" x14ac:dyDescent="0.25">
      <c r="A591" s="230">
        <v>45958</v>
      </c>
      <c r="B591" s="11" t="s">
        <v>5416</v>
      </c>
      <c r="C591" s="112" t="s">
        <v>6</v>
      </c>
      <c r="D591" s="213" t="s">
        <v>5417</v>
      </c>
      <c r="E591" s="293"/>
      <c r="F591" s="289">
        <v>6428571</v>
      </c>
    </row>
    <row r="592" spans="1:6" x14ac:dyDescent="0.25">
      <c r="A592" s="230">
        <v>45958</v>
      </c>
      <c r="B592" s="11" t="s">
        <v>5416</v>
      </c>
      <c r="C592" s="112" t="s">
        <v>6</v>
      </c>
      <c r="D592" s="213" t="s">
        <v>5418</v>
      </c>
      <c r="E592" s="293"/>
      <c r="F592" s="289">
        <v>-128571</v>
      </c>
    </row>
    <row r="593" spans="1:6" x14ac:dyDescent="0.25">
      <c r="A593" s="230">
        <v>45958</v>
      </c>
      <c r="B593" s="11" t="s">
        <v>5416</v>
      </c>
      <c r="C593" s="112" t="s">
        <v>6</v>
      </c>
      <c r="D593" s="213" t="s">
        <v>2372</v>
      </c>
      <c r="E593" s="293"/>
      <c r="F593" s="289">
        <v>2500</v>
      </c>
    </row>
    <row r="594" spans="1:6" x14ac:dyDescent="0.25">
      <c r="A594" s="230">
        <v>45958</v>
      </c>
      <c r="B594" s="11" t="s">
        <v>5416</v>
      </c>
      <c r="C594" s="112" t="s">
        <v>6</v>
      </c>
      <c r="D594" s="213" t="s">
        <v>5419</v>
      </c>
      <c r="E594" s="293"/>
      <c r="F594" s="289">
        <v>45000</v>
      </c>
    </row>
    <row r="595" spans="1:6" x14ac:dyDescent="0.25">
      <c r="A595" s="230">
        <v>45958</v>
      </c>
      <c r="B595" s="11" t="s">
        <v>5416</v>
      </c>
      <c r="C595" s="112" t="s">
        <v>6</v>
      </c>
      <c r="D595" s="213" t="s">
        <v>5420</v>
      </c>
      <c r="E595" s="293"/>
      <c r="F595" s="289">
        <v>219400</v>
      </c>
    </row>
    <row r="596" spans="1:6" x14ac:dyDescent="0.25">
      <c r="A596" s="230">
        <v>45958</v>
      </c>
      <c r="B596" s="11" t="s">
        <v>5416</v>
      </c>
      <c r="C596" s="112" t="s">
        <v>6</v>
      </c>
      <c r="D596" s="213" t="s">
        <v>5421</v>
      </c>
      <c r="E596" s="293"/>
      <c r="F596" s="289">
        <v>103000</v>
      </c>
    </row>
    <row r="597" spans="1:6" x14ac:dyDescent="0.25">
      <c r="A597" s="230">
        <v>45958</v>
      </c>
      <c r="B597" s="11" t="s">
        <v>5416</v>
      </c>
      <c r="C597" s="112" t="s">
        <v>6</v>
      </c>
      <c r="D597" s="213" t="s">
        <v>5422</v>
      </c>
      <c r="E597" s="293"/>
      <c r="F597" s="289">
        <v>1693700</v>
      </c>
    </row>
    <row r="598" spans="1:6" x14ac:dyDescent="0.25">
      <c r="A598" s="230">
        <v>45958</v>
      </c>
      <c r="B598" s="11" t="s">
        <v>5416</v>
      </c>
      <c r="C598" s="112" t="s">
        <v>6</v>
      </c>
      <c r="D598" s="213" t="s">
        <v>5423</v>
      </c>
      <c r="E598" s="293"/>
      <c r="F598" s="289">
        <v>90000</v>
      </c>
    </row>
    <row r="599" spans="1:6" x14ac:dyDescent="0.25">
      <c r="A599" s="230">
        <v>45958</v>
      </c>
      <c r="B599" s="11" t="s">
        <v>5416</v>
      </c>
      <c r="C599" s="112" t="s">
        <v>6</v>
      </c>
      <c r="D599" s="213" t="s">
        <v>5424</v>
      </c>
      <c r="E599" s="293"/>
      <c r="F599" s="289">
        <v>708000</v>
      </c>
    </row>
    <row r="600" spans="1:6" x14ac:dyDescent="0.25">
      <c r="A600" s="230">
        <v>45958</v>
      </c>
      <c r="B600" s="11" t="s">
        <v>5416</v>
      </c>
      <c r="C600" s="112" t="s">
        <v>6</v>
      </c>
      <c r="D600" s="213" t="s">
        <v>5425</v>
      </c>
      <c r="E600" s="293"/>
      <c r="F600" s="289">
        <v>100000</v>
      </c>
    </row>
    <row r="601" spans="1:6" x14ac:dyDescent="0.25">
      <c r="A601" s="230">
        <v>45958</v>
      </c>
      <c r="B601" s="11" t="s">
        <v>5416</v>
      </c>
      <c r="C601" s="112" t="s">
        <v>6</v>
      </c>
      <c r="D601" s="213" t="s">
        <v>5426</v>
      </c>
      <c r="E601" s="293"/>
      <c r="F601" s="289">
        <v>600000</v>
      </c>
    </row>
    <row r="602" spans="1:6" x14ac:dyDescent="0.25">
      <c r="A602" s="230">
        <v>45958</v>
      </c>
      <c r="B602" s="11" t="s">
        <v>5416</v>
      </c>
      <c r="C602" s="112" t="s">
        <v>6</v>
      </c>
      <c r="D602" s="213" t="s">
        <v>5427</v>
      </c>
      <c r="E602" s="293"/>
      <c r="F602" s="289">
        <v>214000</v>
      </c>
    </row>
    <row r="603" spans="1:6" x14ac:dyDescent="0.25">
      <c r="A603" s="230">
        <v>45958</v>
      </c>
      <c r="B603" s="11" t="s">
        <v>5416</v>
      </c>
      <c r="C603" s="112" t="s">
        <v>6</v>
      </c>
      <c r="D603" s="213" t="s">
        <v>5428</v>
      </c>
      <c r="E603" s="293"/>
      <c r="F603" s="289">
        <v>630000</v>
      </c>
    </row>
    <row r="604" spans="1:6" x14ac:dyDescent="0.25">
      <c r="A604" s="230">
        <v>45958</v>
      </c>
      <c r="B604" s="11" t="s">
        <v>5416</v>
      </c>
      <c r="C604" s="112" t="s">
        <v>6</v>
      </c>
      <c r="D604" s="213" t="s">
        <v>5429</v>
      </c>
      <c r="E604" s="293"/>
      <c r="F604" s="289">
        <v>154000</v>
      </c>
    </row>
    <row r="605" spans="1:6" x14ac:dyDescent="0.25">
      <c r="A605" s="230">
        <v>45958</v>
      </c>
      <c r="B605" s="11" t="s">
        <v>5416</v>
      </c>
      <c r="C605" s="112" t="s">
        <v>6</v>
      </c>
      <c r="D605" s="213" t="s">
        <v>5430</v>
      </c>
      <c r="E605" s="293"/>
      <c r="F605" s="289">
        <v>60500</v>
      </c>
    </row>
    <row r="606" spans="1:6" x14ac:dyDescent="0.25">
      <c r="A606" s="230">
        <v>45958</v>
      </c>
      <c r="B606" s="11" t="s">
        <v>5416</v>
      </c>
      <c r="C606" s="112" t="s">
        <v>6</v>
      </c>
      <c r="D606" s="213" t="s">
        <v>5431</v>
      </c>
      <c r="E606" s="293"/>
      <c r="F606" s="289">
        <v>374164</v>
      </c>
    </row>
    <row r="607" spans="1:6" x14ac:dyDescent="0.25">
      <c r="A607" s="230">
        <v>45959</v>
      </c>
      <c r="B607" s="11" t="s">
        <v>5432</v>
      </c>
      <c r="C607" s="112" t="s">
        <v>6</v>
      </c>
      <c r="D607" s="213" t="s">
        <v>5433</v>
      </c>
      <c r="E607" s="293"/>
      <c r="F607" s="289">
        <v>46000</v>
      </c>
    </row>
    <row r="608" spans="1:6" x14ac:dyDescent="0.25">
      <c r="A608" s="230">
        <v>45959</v>
      </c>
      <c r="B608" s="11" t="s">
        <v>5432</v>
      </c>
      <c r="C608" s="112" t="s">
        <v>6</v>
      </c>
      <c r="D608" s="213" t="s">
        <v>5434</v>
      </c>
      <c r="E608" s="293"/>
      <c r="F608" s="289">
        <v>695700</v>
      </c>
    </row>
    <row r="609" spans="1:6" ht="30" x14ac:dyDescent="0.25">
      <c r="A609" s="230">
        <v>45959</v>
      </c>
      <c r="B609" s="11" t="s">
        <v>5435</v>
      </c>
      <c r="C609" s="112" t="s">
        <v>6</v>
      </c>
      <c r="D609" s="213" t="s">
        <v>5436</v>
      </c>
      <c r="E609" s="293"/>
      <c r="F609" s="289">
        <v>60000000</v>
      </c>
    </row>
    <row r="610" spans="1:6" x14ac:dyDescent="0.25">
      <c r="A610" s="230">
        <v>45959</v>
      </c>
      <c r="B610" s="11" t="s">
        <v>5435</v>
      </c>
      <c r="C610" s="112" t="s">
        <v>6</v>
      </c>
      <c r="D610" s="213" t="s">
        <v>5437</v>
      </c>
      <c r="E610" s="293"/>
      <c r="F610" s="289">
        <v>2900</v>
      </c>
    </row>
    <row r="611" spans="1:6" x14ac:dyDescent="0.25">
      <c r="A611" s="230">
        <v>45959</v>
      </c>
      <c r="B611" s="11" t="s">
        <v>5438</v>
      </c>
      <c r="C611" s="112" t="s">
        <v>6</v>
      </c>
      <c r="D611" s="213" t="s">
        <v>5439</v>
      </c>
      <c r="E611" s="293"/>
      <c r="F611" s="289">
        <v>1670000</v>
      </c>
    </row>
    <row r="612" spans="1:6" ht="30" x14ac:dyDescent="0.25">
      <c r="A612" s="230">
        <v>45959</v>
      </c>
      <c r="B612" s="11" t="s">
        <v>5438</v>
      </c>
      <c r="C612" s="112" t="s">
        <v>5440</v>
      </c>
      <c r="D612" s="213" t="s">
        <v>5441</v>
      </c>
      <c r="E612" s="293"/>
      <c r="F612" s="289">
        <v>-80800</v>
      </c>
    </row>
    <row r="613" spans="1:6" x14ac:dyDescent="0.25">
      <c r="A613" s="230">
        <v>45960</v>
      </c>
      <c r="B613" s="11" t="s">
        <v>5442</v>
      </c>
      <c r="C613" s="112" t="s">
        <v>6</v>
      </c>
      <c r="D613" s="281" t="s">
        <v>5443</v>
      </c>
      <c r="E613" s="293"/>
      <c r="F613" s="283">
        <v>255000</v>
      </c>
    </row>
    <row r="614" spans="1:6" x14ac:dyDescent="0.25">
      <c r="A614" s="230">
        <v>45960</v>
      </c>
      <c r="B614" s="11" t="s">
        <v>5442</v>
      </c>
      <c r="C614" s="112" t="s">
        <v>6</v>
      </c>
      <c r="D614" s="280" t="s">
        <v>5444</v>
      </c>
      <c r="E614" s="293"/>
      <c r="F614" s="283">
        <v>197500</v>
      </c>
    </row>
    <row r="615" spans="1:6" x14ac:dyDescent="0.25">
      <c r="A615" s="230">
        <v>45960</v>
      </c>
      <c r="B615" s="11" t="s">
        <v>5442</v>
      </c>
      <c r="C615" s="112" t="s">
        <v>6</v>
      </c>
      <c r="D615" s="280" t="s">
        <v>5445</v>
      </c>
      <c r="E615" s="293"/>
      <c r="F615" s="283">
        <v>150500</v>
      </c>
    </row>
    <row r="616" spans="1:6" x14ac:dyDescent="0.25">
      <c r="A616" s="230">
        <v>45960</v>
      </c>
      <c r="B616" s="11" t="s">
        <v>5442</v>
      </c>
      <c r="C616" s="112" t="s">
        <v>6</v>
      </c>
      <c r="D616" s="281" t="s">
        <v>5446</v>
      </c>
      <c r="E616" s="293"/>
      <c r="F616" s="283">
        <v>917100</v>
      </c>
    </row>
    <row r="617" spans="1:6" x14ac:dyDescent="0.25">
      <c r="A617" s="230">
        <v>45960</v>
      </c>
      <c r="B617" s="11" t="s">
        <v>5442</v>
      </c>
      <c r="C617" s="112" t="s">
        <v>6</v>
      </c>
      <c r="D617" s="281" t="s">
        <v>5447</v>
      </c>
      <c r="E617" s="293"/>
      <c r="F617" s="283">
        <v>1000000</v>
      </c>
    </row>
    <row r="618" spans="1:6" x14ac:dyDescent="0.25">
      <c r="A618" s="230">
        <v>45960</v>
      </c>
      <c r="B618" s="11" t="s">
        <v>5442</v>
      </c>
      <c r="C618" s="112" t="s">
        <v>6</v>
      </c>
      <c r="D618" s="281" t="s">
        <v>5448</v>
      </c>
      <c r="E618" s="293"/>
      <c r="F618" s="283">
        <v>-20000</v>
      </c>
    </row>
    <row r="619" spans="1:6" x14ac:dyDescent="0.25">
      <c r="A619" s="230">
        <v>45960</v>
      </c>
      <c r="B619" s="11" t="s">
        <v>5442</v>
      </c>
      <c r="C619" s="112" t="s">
        <v>6</v>
      </c>
      <c r="D619" s="280" t="s">
        <v>4980</v>
      </c>
      <c r="E619" s="293"/>
      <c r="F619" s="283">
        <v>2500</v>
      </c>
    </row>
    <row r="620" spans="1:6" x14ac:dyDescent="0.25">
      <c r="A620" s="230">
        <v>45960</v>
      </c>
      <c r="B620" s="11" t="s">
        <v>5442</v>
      </c>
      <c r="C620" s="112" t="s">
        <v>6</v>
      </c>
      <c r="D620" s="280" t="s">
        <v>5449</v>
      </c>
      <c r="E620" s="293"/>
      <c r="F620" s="283">
        <v>249326</v>
      </c>
    </row>
    <row r="621" spans="1:6" x14ac:dyDescent="0.25">
      <c r="A621" s="230">
        <v>45960</v>
      </c>
      <c r="B621" s="11" t="s">
        <v>5450</v>
      </c>
      <c r="C621" s="112" t="s">
        <v>6</v>
      </c>
      <c r="D621" s="280" t="s">
        <v>5451</v>
      </c>
      <c r="E621" s="293"/>
      <c r="F621" s="283">
        <v>918000</v>
      </c>
    </row>
    <row r="622" spans="1:6" x14ac:dyDescent="0.25">
      <c r="A622" s="230">
        <v>45960</v>
      </c>
      <c r="B622" s="11" t="s">
        <v>5450</v>
      </c>
      <c r="C622" s="112" t="s">
        <v>6</v>
      </c>
      <c r="D622" s="280" t="s">
        <v>5452</v>
      </c>
      <c r="E622" s="293"/>
      <c r="F622" s="283">
        <v>105000</v>
      </c>
    </row>
    <row r="623" spans="1:6" x14ac:dyDescent="0.25">
      <c r="A623" s="230">
        <v>45960</v>
      </c>
      <c r="B623" s="11" t="s">
        <v>5450</v>
      </c>
      <c r="C623" s="112" t="s">
        <v>6</v>
      </c>
      <c r="D623" s="280" t="s">
        <v>2539</v>
      </c>
      <c r="E623" s="293"/>
      <c r="F623" s="283">
        <v>2500</v>
      </c>
    </row>
    <row r="624" spans="1:6" x14ac:dyDescent="0.25">
      <c r="A624" s="230">
        <v>45960</v>
      </c>
      <c r="B624" s="11" t="s">
        <v>5450</v>
      </c>
      <c r="C624" s="112" t="s">
        <v>6</v>
      </c>
      <c r="D624" s="280" t="s">
        <v>5453</v>
      </c>
      <c r="E624" s="293"/>
      <c r="F624" s="283">
        <v>616000</v>
      </c>
    </row>
    <row r="625" spans="1:6" x14ac:dyDescent="0.25">
      <c r="A625" s="230">
        <v>45960</v>
      </c>
      <c r="B625" s="11" t="s">
        <v>5450</v>
      </c>
      <c r="C625" s="112" t="s">
        <v>6</v>
      </c>
      <c r="D625" s="280" t="s">
        <v>5454</v>
      </c>
      <c r="E625" s="293"/>
      <c r="F625" s="283">
        <v>3600000</v>
      </c>
    </row>
    <row r="626" spans="1:6" x14ac:dyDescent="0.25">
      <c r="A626" s="230">
        <v>45960</v>
      </c>
      <c r="B626" s="11" t="s">
        <v>5450</v>
      </c>
      <c r="C626" s="112" t="s">
        <v>6</v>
      </c>
      <c r="D626" s="280" t="s">
        <v>2539</v>
      </c>
      <c r="E626" s="293"/>
      <c r="F626" s="283">
        <v>2500</v>
      </c>
    </row>
    <row r="627" spans="1:6" x14ac:dyDescent="0.25">
      <c r="A627" s="230">
        <v>45960</v>
      </c>
      <c r="B627" s="11" t="s">
        <v>5455</v>
      </c>
      <c r="C627" s="112" t="s">
        <v>6</v>
      </c>
      <c r="D627" s="280" t="s">
        <v>5456</v>
      </c>
      <c r="E627" s="293"/>
      <c r="F627" s="283">
        <v>2142857</v>
      </c>
    </row>
    <row r="628" spans="1:6" x14ac:dyDescent="0.25">
      <c r="A628" s="230">
        <v>45960</v>
      </c>
      <c r="B628" s="11" t="s">
        <v>5455</v>
      </c>
      <c r="C628" s="112" t="s">
        <v>6</v>
      </c>
      <c r="D628" s="280" t="s">
        <v>5457</v>
      </c>
      <c r="E628" s="293"/>
      <c r="F628" s="283">
        <v>-42857</v>
      </c>
    </row>
    <row r="629" spans="1:6" x14ac:dyDescent="0.25">
      <c r="A629" s="230">
        <v>45960</v>
      </c>
      <c r="B629" s="11" t="s">
        <v>5455</v>
      </c>
      <c r="C629" s="112" t="s">
        <v>6</v>
      </c>
      <c r="D629" s="280" t="s">
        <v>5458</v>
      </c>
      <c r="E629" s="293"/>
      <c r="F629" s="283">
        <v>580000</v>
      </c>
    </row>
    <row r="630" spans="1:6" x14ac:dyDescent="0.25">
      <c r="A630" s="230">
        <v>45960</v>
      </c>
      <c r="B630" s="11" t="s">
        <v>5455</v>
      </c>
      <c r="C630" s="112" t="s">
        <v>6</v>
      </c>
      <c r="D630" s="280" t="s">
        <v>2539</v>
      </c>
      <c r="E630" s="293"/>
      <c r="F630" s="283">
        <v>2500</v>
      </c>
    </row>
    <row r="631" spans="1:6" x14ac:dyDescent="0.25">
      <c r="A631" s="230">
        <v>45960</v>
      </c>
      <c r="B631" s="11" t="s">
        <v>5455</v>
      </c>
      <c r="C631" s="112" t="s">
        <v>6</v>
      </c>
      <c r="D631" s="280" t="s">
        <v>5459</v>
      </c>
      <c r="E631" s="293"/>
      <c r="F631" s="283">
        <v>220000</v>
      </c>
    </row>
    <row r="632" spans="1:6" x14ac:dyDescent="0.25">
      <c r="A632" s="230">
        <v>45960</v>
      </c>
      <c r="B632" s="11" t="s">
        <v>5455</v>
      </c>
      <c r="C632" s="112" t="s">
        <v>6</v>
      </c>
      <c r="D632" s="280" t="s">
        <v>5460</v>
      </c>
      <c r="E632" s="293"/>
      <c r="F632" s="283">
        <v>182400</v>
      </c>
    </row>
    <row r="633" spans="1:6" x14ac:dyDescent="0.25">
      <c r="A633" s="230">
        <v>45961</v>
      </c>
      <c r="B633" s="11" t="s">
        <v>5461</v>
      </c>
      <c r="C633" s="112" t="s">
        <v>6</v>
      </c>
      <c r="D633" s="213" t="s">
        <v>5462</v>
      </c>
      <c r="E633" s="293"/>
      <c r="F633" s="289">
        <v>60000</v>
      </c>
    </row>
    <row r="634" spans="1:6" ht="30" x14ac:dyDescent="0.25">
      <c r="A634" s="230">
        <v>45961</v>
      </c>
      <c r="B634" s="11" t="s">
        <v>5463</v>
      </c>
      <c r="C634" s="112" t="s">
        <v>6</v>
      </c>
      <c r="D634" s="213" t="s">
        <v>5464</v>
      </c>
      <c r="E634" s="293"/>
      <c r="F634" s="289">
        <v>4290000</v>
      </c>
    </row>
    <row r="635" spans="1:6" ht="30" x14ac:dyDescent="0.25">
      <c r="A635" s="230">
        <v>45961</v>
      </c>
      <c r="B635" s="11" t="s">
        <v>5463</v>
      </c>
      <c r="C635" s="112" t="s">
        <v>6</v>
      </c>
      <c r="D635" s="213" t="s">
        <v>5465</v>
      </c>
      <c r="E635" s="293"/>
      <c r="F635" s="289">
        <v>710000</v>
      </c>
    </row>
    <row r="636" spans="1:6" x14ac:dyDescent="0.25">
      <c r="A636" s="230">
        <v>45961</v>
      </c>
      <c r="B636" s="11" t="s">
        <v>5463</v>
      </c>
      <c r="C636" s="112" t="s">
        <v>6</v>
      </c>
      <c r="D636" s="213" t="s">
        <v>5466</v>
      </c>
      <c r="E636" s="293"/>
      <c r="F636" s="289">
        <v>2900</v>
      </c>
    </row>
    <row r="637" spans="1:6" x14ac:dyDescent="0.25">
      <c r="A637" s="230">
        <v>45961</v>
      </c>
      <c r="B637" s="11" t="s">
        <v>5467</v>
      </c>
      <c r="C637" s="112" t="s">
        <v>6</v>
      </c>
      <c r="D637" s="213" t="s">
        <v>5468</v>
      </c>
      <c r="E637" s="293"/>
      <c r="F637" s="289">
        <v>125059</v>
      </c>
    </row>
    <row r="638" spans="1:6" x14ac:dyDescent="0.25">
      <c r="A638" s="230">
        <v>45961</v>
      </c>
      <c r="B638" s="11" t="s">
        <v>5467</v>
      </c>
      <c r="C638" s="112" t="s">
        <v>6</v>
      </c>
      <c r="D638" s="213" t="s">
        <v>981</v>
      </c>
      <c r="E638" s="293"/>
      <c r="F638" s="289">
        <v>2500</v>
      </c>
    </row>
    <row r="639" spans="1:6" x14ac:dyDescent="0.25">
      <c r="A639" s="230">
        <v>45961</v>
      </c>
      <c r="B639" s="11" t="s">
        <v>5467</v>
      </c>
      <c r="C639" s="112" t="s">
        <v>6</v>
      </c>
      <c r="D639" s="213" t="s">
        <v>5469</v>
      </c>
      <c r="E639" s="293"/>
      <c r="F639" s="289">
        <v>76000</v>
      </c>
    </row>
    <row r="640" spans="1:6" x14ac:dyDescent="0.25">
      <c r="A640" s="230">
        <v>45961</v>
      </c>
      <c r="B640" s="11" t="s">
        <v>5467</v>
      </c>
      <c r="C640" s="112" t="s">
        <v>6</v>
      </c>
      <c r="D640" s="213" t="s">
        <v>5470</v>
      </c>
      <c r="E640" s="293"/>
      <c r="F640" s="289">
        <v>224400</v>
      </c>
    </row>
    <row r="641" spans="1:6" x14ac:dyDescent="0.25">
      <c r="A641" s="230">
        <v>45961</v>
      </c>
      <c r="B641" s="11" t="s">
        <v>5467</v>
      </c>
      <c r="C641" s="112" t="s">
        <v>6</v>
      </c>
      <c r="D641" s="213" t="s">
        <v>5471</v>
      </c>
      <c r="E641" s="293"/>
      <c r="F641" s="289">
        <v>457980</v>
      </c>
    </row>
    <row r="642" spans="1:6" x14ac:dyDescent="0.25">
      <c r="A642" s="230">
        <v>45961</v>
      </c>
      <c r="B642" s="11" t="s">
        <v>5467</v>
      </c>
      <c r="C642" s="112" t="s">
        <v>6</v>
      </c>
      <c r="D642" s="213" t="s">
        <v>981</v>
      </c>
      <c r="E642" s="293"/>
      <c r="F642" s="289">
        <v>2500</v>
      </c>
    </row>
    <row r="643" spans="1:6" x14ac:dyDescent="0.25">
      <c r="A643" s="230">
        <v>45961</v>
      </c>
      <c r="B643" s="11" t="s">
        <v>5467</v>
      </c>
      <c r="C643" s="112" t="s">
        <v>6</v>
      </c>
      <c r="D643" s="213" t="s">
        <v>5472</v>
      </c>
      <c r="E643" s="293"/>
      <c r="F643" s="289">
        <v>1850000</v>
      </c>
    </row>
    <row r="644" spans="1:6" x14ac:dyDescent="0.25">
      <c r="A644" s="230">
        <v>45961</v>
      </c>
      <c r="B644" s="11" t="s">
        <v>5467</v>
      </c>
      <c r="C644" s="112" t="s">
        <v>6</v>
      </c>
      <c r="D644" s="213" t="s">
        <v>981</v>
      </c>
      <c r="E644" s="293"/>
      <c r="F644" s="289">
        <v>2500</v>
      </c>
    </row>
    <row r="645" spans="1:6" x14ac:dyDescent="0.25">
      <c r="A645" s="230">
        <v>45961</v>
      </c>
      <c r="B645" s="11" t="s">
        <v>5467</v>
      </c>
      <c r="C645" s="112" t="s">
        <v>6</v>
      </c>
      <c r="D645" s="213" t="s">
        <v>5473</v>
      </c>
      <c r="E645" s="293"/>
      <c r="F645" s="289">
        <v>595000</v>
      </c>
    </row>
    <row r="646" spans="1:6" x14ac:dyDescent="0.25">
      <c r="A646" s="230">
        <v>45961</v>
      </c>
      <c r="B646" s="11" t="s">
        <v>5467</v>
      </c>
      <c r="C646" s="112" t="s">
        <v>6</v>
      </c>
      <c r="D646" s="213" t="s">
        <v>5474</v>
      </c>
      <c r="E646" s="293"/>
      <c r="F646" s="289">
        <v>175000</v>
      </c>
    </row>
    <row r="647" spans="1:6" x14ac:dyDescent="0.25">
      <c r="A647" s="230">
        <v>45964</v>
      </c>
      <c r="B647" s="11" t="s">
        <v>5386</v>
      </c>
      <c r="C647" s="112" t="s">
        <v>6</v>
      </c>
      <c r="D647" s="281" t="s">
        <v>5475</v>
      </c>
      <c r="E647" s="293"/>
      <c r="F647" s="283">
        <v>2448980</v>
      </c>
    </row>
    <row r="648" spans="1:6" x14ac:dyDescent="0.25">
      <c r="A648" s="230">
        <v>45964</v>
      </c>
      <c r="B648" s="11" t="s">
        <v>5386</v>
      </c>
      <c r="C648" s="112" t="s">
        <v>6</v>
      </c>
      <c r="D648" s="281" t="s">
        <v>5476</v>
      </c>
      <c r="E648" s="293"/>
      <c r="F648" s="283">
        <v>-48980</v>
      </c>
    </row>
    <row r="649" spans="1:6" x14ac:dyDescent="0.25">
      <c r="A649" s="230">
        <v>45964</v>
      </c>
      <c r="B649" s="11" t="s">
        <v>5386</v>
      </c>
      <c r="C649" s="112" t="s">
        <v>6</v>
      </c>
      <c r="D649" s="281" t="s">
        <v>981</v>
      </c>
      <c r="E649" s="293"/>
      <c r="F649" s="283">
        <v>2500</v>
      </c>
    </row>
    <row r="650" spans="1:6" x14ac:dyDescent="0.25">
      <c r="A650" s="230">
        <v>45964</v>
      </c>
      <c r="B650" s="11" t="s">
        <v>5386</v>
      </c>
      <c r="C650" s="112" t="s">
        <v>6</v>
      </c>
      <c r="D650" s="281" t="s">
        <v>5477</v>
      </c>
      <c r="E650" s="293"/>
      <c r="F650" s="283">
        <v>4970601</v>
      </c>
    </row>
    <row r="651" spans="1:6" x14ac:dyDescent="0.25">
      <c r="A651" s="230">
        <v>45964</v>
      </c>
      <c r="B651" s="11" t="s">
        <v>5386</v>
      </c>
      <c r="C651" s="112" t="s">
        <v>6</v>
      </c>
      <c r="D651" s="281" t="s">
        <v>981</v>
      </c>
      <c r="E651" s="293"/>
      <c r="F651" s="283">
        <v>2500</v>
      </c>
    </row>
    <row r="652" spans="1:6" x14ac:dyDescent="0.25">
      <c r="A652" s="230">
        <v>45964</v>
      </c>
      <c r="B652" s="11" t="s">
        <v>5386</v>
      </c>
      <c r="C652" s="112" t="s">
        <v>6</v>
      </c>
      <c r="D652" s="281" t="s">
        <v>5478</v>
      </c>
      <c r="E652" s="293"/>
      <c r="F652" s="283">
        <v>551000</v>
      </c>
    </row>
    <row r="653" spans="1:6" x14ac:dyDescent="0.25">
      <c r="A653" s="230">
        <v>45964</v>
      </c>
      <c r="B653" s="11" t="s">
        <v>5386</v>
      </c>
      <c r="C653" s="112" t="s">
        <v>6</v>
      </c>
      <c r="D653" s="281" t="s">
        <v>5479</v>
      </c>
      <c r="E653" s="293"/>
      <c r="F653" s="283">
        <v>395310</v>
      </c>
    </row>
    <row r="654" spans="1:6" x14ac:dyDescent="0.25">
      <c r="A654" s="230">
        <v>45964</v>
      </c>
      <c r="B654" s="11" t="s">
        <v>5386</v>
      </c>
      <c r="C654" s="112" t="s">
        <v>6</v>
      </c>
      <c r="D654" s="281" t="s">
        <v>5480</v>
      </c>
      <c r="E654" s="293"/>
      <c r="F654" s="283">
        <v>165000</v>
      </c>
    </row>
    <row r="655" spans="1:6" x14ac:dyDescent="0.25">
      <c r="A655" s="230">
        <v>45965</v>
      </c>
      <c r="B655" s="11" t="s">
        <v>5391</v>
      </c>
      <c r="C655" s="112" t="s">
        <v>6</v>
      </c>
      <c r="D655" s="213" t="s">
        <v>5481</v>
      </c>
      <c r="E655" s="293"/>
      <c r="F655" s="289">
        <v>3622449</v>
      </c>
    </row>
    <row r="656" spans="1:6" x14ac:dyDescent="0.25">
      <c r="A656" s="230">
        <v>45965</v>
      </c>
      <c r="B656" s="11" t="s">
        <v>5391</v>
      </c>
      <c r="C656" s="112" t="s">
        <v>6</v>
      </c>
      <c r="D656" s="213" t="s">
        <v>5482</v>
      </c>
      <c r="E656" s="293"/>
      <c r="F656" s="289">
        <v>-72449</v>
      </c>
    </row>
    <row r="657" spans="1:6" x14ac:dyDescent="0.25">
      <c r="A657" s="230">
        <v>45965</v>
      </c>
      <c r="B657" s="11" t="s">
        <v>5391</v>
      </c>
      <c r="C657" s="112" t="s">
        <v>6</v>
      </c>
      <c r="D657" s="281" t="s">
        <v>2041</v>
      </c>
      <c r="E657" s="293"/>
      <c r="F657" s="289">
        <v>2500</v>
      </c>
    </row>
    <row r="658" spans="1:6" x14ac:dyDescent="0.25">
      <c r="A658" s="230">
        <v>45965</v>
      </c>
      <c r="B658" s="11" t="s">
        <v>5391</v>
      </c>
      <c r="C658" s="112" t="s">
        <v>6</v>
      </c>
      <c r="D658" s="213" t="s">
        <v>5483</v>
      </c>
      <c r="E658" s="293"/>
      <c r="F658" s="289">
        <v>470000</v>
      </c>
    </row>
    <row r="659" spans="1:6" x14ac:dyDescent="0.25">
      <c r="A659" s="230">
        <v>45965</v>
      </c>
      <c r="B659" s="11" t="s">
        <v>5391</v>
      </c>
      <c r="C659" s="112" t="s">
        <v>6</v>
      </c>
      <c r="D659" s="281" t="s">
        <v>2041</v>
      </c>
      <c r="E659" s="293"/>
      <c r="F659" s="289">
        <v>2500</v>
      </c>
    </row>
    <row r="660" spans="1:6" x14ac:dyDescent="0.25">
      <c r="A660" s="230">
        <v>45965</v>
      </c>
      <c r="B660" s="11" t="s">
        <v>5391</v>
      </c>
      <c r="C660" s="112" t="s">
        <v>6</v>
      </c>
      <c r="D660" s="213" t="s">
        <v>5484</v>
      </c>
      <c r="E660" s="293"/>
      <c r="F660" s="289">
        <v>110000</v>
      </c>
    </row>
    <row r="661" spans="1:6" x14ac:dyDescent="0.25">
      <c r="A661" s="230">
        <v>45965</v>
      </c>
      <c r="B661" s="11" t="s">
        <v>5391</v>
      </c>
      <c r="C661" s="112" t="s">
        <v>6</v>
      </c>
      <c r="D661" s="213" t="s">
        <v>5485</v>
      </c>
      <c r="E661" s="293"/>
      <c r="F661" s="289">
        <v>383900</v>
      </c>
    </row>
    <row r="662" spans="1:6" x14ac:dyDescent="0.25">
      <c r="A662" s="230">
        <v>45965</v>
      </c>
      <c r="B662" s="11" t="s">
        <v>5391</v>
      </c>
      <c r="C662" s="112" t="s">
        <v>6</v>
      </c>
      <c r="D662" s="213" t="s">
        <v>5486</v>
      </c>
      <c r="E662" s="293"/>
      <c r="F662" s="289">
        <v>100000</v>
      </c>
    </row>
    <row r="663" spans="1:6" x14ac:dyDescent="0.25">
      <c r="A663" s="230">
        <v>45965</v>
      </c>
      <c r="B663" s="11" t="s">
        <v>5391</v>
      </c>
      <c r="C663" s="112" t="s">
        <v>6</v>
      </c>
      <c r="D663" s="213" t="s">
        <v>5487</v>
      </c>
      <c r="E663" s="293"/>
      <c r="F663" s="289">
        <v>949500</v>
      </c>
    </row>
    <row r="664" spans="1:6" x14ac:dyDescent="0.25">
      <c r="A664" s="230">
        <v>45965</v>
      </c>
      <c r="B664" s="11" t="s">
        <v>5391</v>
      </c>
      <c r="C664" s="112" t="s">
        <v>6</v>
      </c>
      <c r="D664" s="213" t="s">
        <v>5488</v>
      </c>
      <c r="E664" s="293"/>
      <c r="F664" s="289">
        <v>66000</v>
      </c>
    </row>
    <row r="665" spans="1:6" x14ac:dyDescent="0.25">
      <c r="A665" s="230">
        <v>45965</v>
      </c>
      <c r="B665" s="11" t="s">
        <v>5391</v>
      </c>
      <c r="C665" s="112" t="s">
        <v>6</v>
      </c>
      <c r="D665" s="213" t="s">
        <v>5489</v>
      </c>
      <c r="E665" s="293"/>
      <c r="F665" s="289">
        <v>44500</v>
      </c>
    </row>
    <row r="666" spans="1:6" x14ac:dyDescent="0.25">
      <c r="A666" s="230">
        <v>45965</v>
      </c>
      <c r="B666" s="11" t="s">
        <v>5391</v>
      </c>
      <c r="C666" s="112" t="s">
        <v>6</v>
      </c>
      <c r="D666" s="213" t="s">
        <v>5490</v>
      </c>
      <c r="E666" s="293"/>
      <c r="F666" s="289">
        <v>1000000</v>
      </c>
    </row>
    <row r="667" spans="1:6" x14ac:dyDescent="0.25">
      <c r="A667" s="230">
        <v>45965</v>
      </c>
      <c r="B667" s="11" t="s">
        <v>5391</v>
      </c>
      <c r="C667" s="112" t="s">
        <v>6</v>
      </c>
      <c r="D667" s="213" t="s">
        <v>5491</v>
      </c>
      <c r="E667" s="293"/>
      <c r="F667" s="289">
        <v>154000</v>
      </c>
    </row>
    <row r="668" spans="1:6" x14ac:dyDescent="0.25">
      <c r="A668" s="230">
        <v>45965</v>
      </c>
      <c r="B668" s="11" t="s">
        <v>5391</v>
      </c>
      <c r="C668" s="112" t="s">
        <v>6</v>
      </c>
      <c r="D668" s="213" t="s">
        <v>5492</v>
      </c>
      <c r="E668" s="293"/>
      <c r="F668" s="289">
        <v>609000</v>
      </c>
    </row>
    <row r="669" spans="1:6" x14ac:dyDescent="0.25">
      <c r="A669" s="230">
        <v>45965</v>
      </c>
      <c r="B669" s="11" t="s">
        <v>5391</v>
      </c>
      <c r="C669" s="112" t="s">
        <v>6</v>
      </c>
      <c r="D669" s="213" t="s">
        <v>5493</v>
      </c>
      <c r="E669" s="293"/>
      <c r="F669" s="289">
        <v>250000</v>
      </c>
    </row>
    <row r="670" spans="1:6" x14ac:dyDescent="0.25">
      <c r="A670" s="230">
        <v>45965</v>
      </c>
      <c r="B670" s="11" t="s">
        <v>5395</v>
      </c>
      <c r="C670" s="112" t="s">
        <v>6</v>
      </c>
      <c r="D670" s="213" t="s">
        <v>5494</v>
      </c>
      <c r="E670" s="293"/>
      <c r="F670" s="289">
        <v>-4484516</v>
      </c>
    </row>
    <row r="671" spans="1:6" x14ac:dyDescent="0.25">
      <c r="A671" s="230">
        <v>45966</v>
      </c>
      <c r="B671" s="11" t="s">
        <v>5495</v>
      </c>
      <c r="C671" s="112" t="s">
        <v>6</v>
      </c>
      <c r="D671" s="213" t="s">
        <v>5496</v>
      </c>
      <c r="E671" s="293"/>
      <c r="F671" s="289">
        <v>1500000</v>
      </c>
    </row>
    <row r="672" spans="1:6" x14ac:dyDescent="0.25">
      <c r="A672" s="230">
        <v>45966</v>
      </c>
      <c r="B672" s="11" t="s">
        <v>5495</v>
      </c>
      <c r="C672" s="112" t="s">
        <v>6</v>
      </c>
      <c r="D672" s="213" t="s">
        <v>5497</v>
      </c>
      <c r="E672" s="293"/>
      <c r="F672" s="289">
        <v>670000</v>
      </c>
    </row>
    <row r="673" spans="1:6" x14ac:dyDescent="0.25">
      <c r="A673" s="230">
        <v>45966</v>
      </c>
      <c r="B673" s="11" t="s">
        <v>5495</v>
      </c>
      <c r="C673" s="112" t="s">
        <v>6</v>
      </c>
      <c r="D673" s="213" t="s">
        <v>50</v>
      </c>
      <c r="E673" s="293"/>
      <c r="F673" s="289">
        <v>6500</v>
      </c>
    </row>
    <row r="674" spans="1:6" x14ac:dyDescent="0.25">
      <c r="A674" s="230">
        <v>45966</v>
      </c>
      <c r="B674" s="11" t="s">
        <v>5495</v>
      </c>
      <c r="C674" s="112" t="s">
        <v>6</v>
      </c>
      <c r="D674" s="213" t="s">
        <v>5498</v>
      </c>
      <c r="E674" s="293"/>
      <c r="F674" s="289">
        <v>350000</v>
      </c>
    </row>
    <row r="675" spans="1:6" x14ac:dyDescent="0.25">
      <c r="A675" s="230">
        <v>45966</v>
      </c>
      <c r="B675" s="11" t="s">
        <v>5499</v>
      </c>
      <c r="C675" s="262" t="s">
        <v>6</v>
      </c>
      <c r="D675" s="254" t="s">
        <v>5500</v>
      </c>
      <c r="E675" s="310"/>
      <c r="F675" s="311">
        <v>25000000</v>
      </c>
    </row>
    <row r="676" spans="1:6" x14ac:dyDescent="0.25">
      <c r="A676" s="230">
        <v>45966</v>
      </c>
      <c r="B676" s="11" t="s">
        <v>5499</v>
      </c>
      <c r="C676" s="262" t="s">
        <v>6</v>
      </c>
      <c r="D676" s="254" t="s">
        <v>5501</v>
      </c>
      <c r="E676" s="310"/>
      <c r="F676" s="311">
        <v>2750000</v>
      </c>
    </row>
    <row r="677" spans="1:6" x14ac:dyDescent="0.25">
      <c r="A677" s="230">
        <v>45966</v>
      </c>
      <c r="B677" s="11" t="s">
        <v>5499</v>
      </c>
      <c r="C677" s="262" t="s">
        <v>6</v>
      </c>
      <c r="D677" s="254" t="s">
        <v>5502</v>
      </c>
      <c r="E677" s="310"/>
      <c r="F677" s="311">
        <v>-500000</v>
      </c>
    </row>
    <row r="678" spans="1:6" x14ac:dyDescent="0.25">
      <c r="A678" s="230">
        <v>45966</v>
      </c>
      <c r="B678" s="11" t="s">
        <v>5499</v>
      </c>
      <c r="C678" s="262" t="s">
        <v>6</v>
      </c>
      <c r="D678" s="254" t="s">
        <v>5503</v>
      </c>
      <c r="E678" s="310"/>
      <c r="F678" s="311">
        <v>2900</v>
      </c>
    </row>
    <row r="679" spans="1:6" x14ac:dyDescent="0.25">
      <c r="A679" s="230">
        <v>45967</v>
      </c>
      <c r="B679" s="11" t="s">
        <v>5504</v>
      </c>
      <c r="C679" s="112" t="s">
        <v>6</v>
      </c>
      <c r="D679" s="280" t="s">
        <v>5505</v>
      </c>
      <c r="E679" s="310"/>
      <c r="F679" s="283">
        <v>40000</v>
      </c>
    </row>
    <row r="680" spans="1:6" x14ac:dyDescent="0.25">
      <c r="A680" s="230">
        <v>45967</v>
      </c>
      <c r="B680" s="11" t="s">
        <v>5504</v>
      </c>
      <c r="C680" s="112" t="s">
        <v>6</v>
      </c>
      <c r="D680" s="281" t="s">
        <v>5506</v>
      </c>
      <c r="E680" s="310"/>
      <c r="F680" s="283">
        <v>2016100</v>
      </c>
    </row>
    <row r="681" spans="1:6" x14ac:dyDescent="0.25">
      <c r="A681" s="230">
        <v>45968</v>
      </c>
      <c r="B681" s="11" t="s">
        <v>5507</v>
      </c>
      <c r="C681" s="262" t="s">
        <v>6</v>
      </c>
      <c r="D681" s="254" t="s">
        <v>1389</v>
      </c>
      <c r="E681" s="310"/>
      <c r="F681" s="311">
        <v>428000</v>
      </c>
    </row>
    <row r="682" spans="1:6" x14ac:dyDescent="0.25">
      <c r="A682" s="230">
        <v>45968</v>
      </c>
      <c r="B682" s="11" t="s">
        <v>5507</v>
      </c>
      <c r="C682" s="262" t="s">
        <v>6</v>
      </c>
      <c r="D682" s="254" t="s">
        <v>5508</v>
      </c>
      <c r="E682" s="310"/>
      <c r="F682" s="311">
        <v>6000</v>
      </c>
    </row>
    <row r="683" spans="1:6" x14ac:dyDescent="0.25">
      <c r="A683" s="230">
        <v>45968</v>
      </c>
      <c r="B683" s="11" t="s">
        <v>5507</v>
      </c>
      <c r="C683" s="262" t="s">
        <v>6</v>
      </c>
      <c r="D683" s="254" t="s">
        <v>5509</v>
      </c>
      <c r="E683" s="310"/>
      <c r="F683" s="311">
        <v>1156850</v>
      </c>
    </row>
    <row r="684" spans="1:6" x14ac:dyDescent="0.25">
      <c r="A684" s="230">
        <v>45968</v>
      </c>
      <c r="B684" s="11" t="s">
        <v>5507</v>
      </c>
      <c r="C684" s="262" t="s">
        <v>6</v>
      </c>
      <c r="D684" s="254" t="s">
        <v>5510</v>
      </c>
      <c r="E684" s="310"/>
      <c r="F684" s="311">
        <v>841000</v>
      </c>
    </row>
    <row r="685" spans="1:6" x14ac:dyDescent="0.25">
      <c r="A685" s="230">
        <v>45968</v>
      </c>
      <c r="B685" s="11" t="s">
        <v>5507</v>
      </c>
      <c r="C685" s="262" t="s">
        <v>6</v>
      </c>
      <c r="D685" s="254" t="s">
        <v>5511</v>
      </c>
      <c r="E685" s="310"/>
      <c r="F685" s="311">
        <v>307481</v>
      </c>
    </row>
    <row r="686" spans="1:6" x14ac:dyDescent="0.25">
      <c r="A686" s="230">
        <v>45968</v>
      </c>
      <c r="B686" s="11" t="s">
        <v>5507</v>
      </c>
      <c r="C686" s="262" t="s">
        <v>6</v>
      </c>
      <c r="D686" s="254" t="s">
        <v>5512</v>
      </c>
      <c r="E686" s="310"/>
      <c r="F686" s="311">
        <v>180000</v>
      </c>
    </row>
    <row r="687" spans="1:6" x14ac:dyDescent="0.25">
      <c r="A687" s="230">
        <v>45968</v>
      </c>
      <c r="B687" s="11" t="s">
        <v>5507</v>
      </c>
      <c r="C687" s="262" t="s">
        <v>6</v>
      </c>
      <c r="D687" s="254" t="s">
        <v>1495</v>
      </c>
      <c r="E687" s="310"/>
      <c r="F687" s="311">
        <v>2900</v>
      </c>
    </row>
    <row r="688" spans="1:6" x14ac:dyDescent="0.25">
      <c r="A688" s="230">
        <v>45972</v>
      </c>
      <c r="B688" s="11" t="s">
        <v>5513</v>
      </c>
      <c r="C688" s="112" t="s">
        <v>6</v>
      </c>
      <c r="D688" s="213" t="s">
        <v>5514</v>
      </c>
      <c r="E688" s="293"/>
      <c r="F688" s="290">
        <v>328000</v>
      </c>
    </row>
    <row r="689" spans="1:6" x14ac:dyDescent="0.25">
      <c r="A689" s="230">
        <v>45972</v>
      </c>
      <c r="B689" s="11" t="s">
        <v>5513</v>
      </c>
      <c r="C689" s="112" t="s">
        <v>6</v>
      </c>
      <c r="D689" s="213" t="s">
        <v>2372</v>
      </c>
      <c r="E689" s="293"/>
      <c r="F689" s="290">
        <v>2500</v>
      </c>
    </row>
    <row r="690" spans="1:6" x14ac:dyDescent="0.25">
      <c r="A690" s="230">
        <v>45974</v>
      </c>
      <c r="B690" s="11" t="s">
        <v>5515</v>
      </c>
      <c r="C690" s="112" t="s">
        <v>6</v>
      </c>
      <c r="D690" s="280" t="s">
        <v>5516</v>
      </c>
      <c r="E690" s="293"/>
      <c r="F690" s="283">
        <v>1850500</v>
      </c>
    </row>
    <row r="691" spans="1:6" x14ac:dyDescent="0.25">
      <c r="A691" s="230">
        <v>45975</v>
      </c>
      <c r="B691" s="253" t="s">
        <v>5517</v>
      </c>
      <c r="C691" s="262" t="s">
        <v>6</v>
      </c>
      <c r="D691" s="254" t="s">
        <v>5518</v>
      </c>
      <c r="E691" s="310"/>
      <c r="F691" s="311">
        <v>278000</v>
      </c>
    </row>
    <row r="692" spans="1:6" x14ac:dyDescent="0.25">
      <c r="A692" s="230">
        <v>45975</v>
      </c>
      <c r="B692" s="253" t="s">
        <v>5517</v>
      </c>
      <c r="C692" s="262" t="s">
        <v>6</v>
      </c>
      <c r="D692" s="254" t="s">
        <v>5519</v>
      </c>
      <c r="E692" s="310"/>
      <c r="F692" s="311">
        <v>201000</v>
      </c>
    </row>
    <row r="693" spans="1:6" x14ac:dyDescent="0.25">
      <c r="A693" s="230">
        <v>45975</v>
      </c>
      <c r="B693" s="253" t="s">
        <v>5517</v>
      </c>
      <c r="C693" s="262" t="s">
        <v>6</v>
      </c>
      <c r="D693" s="254" t="s">
        <v>5520</v>
      </c>
      <c r="E693" s="310"/>
      <c r="F693" s="311">
        <v>324919</v>
      </c>
    </row>
    <row r="694" spans="1:6" x14ac:dyDescent="0.25">
      <c r="A694" s="230">
        <v>45975</v>
      </c>
      <c r="B694" s="253" t="s">
        <v>5517</v>
      </c>
      <c r="C694" s="262" t="s">
        <v>6</v>
      </c>
      <c r="D694" s="254" t="s">
        <v>5521</v>
      </c>
      <c r="E694" s="310"/>
      <c r="F694" s="311">
        <v>196500</v>
      </c>
    </row>
    <row r="695" spans="1:6" x14ac:dyDescent="0.25">
      <c r="A695" s="230">
        <v>45975</v>
      </c>
      <c r="B695" s="253" t="s">
        <v>5517</v>
      </c>
      <c r="C695" s="262" t="s">
        <v>6</v>
      </c>
      <c r="D695" s="254" t="s">
        <v>5522</v>
      </c>
      <c r="E695" s="310"/>
      <c r="F695" s="311">
        <v>75000</v>
      </c>
    </row>
    <row r="696" spans="1:6" x14ac:dyDescent="0.25">
      <c r="A696" s="230">
        <v>45975</v>
      </c>
      <c r="B696" s="253" t="s">
        <v>5517</v>
      </c>
      <c r="C696" s="262" t="s">
        <v>6</v>
      </c>
      <c r="D696" s="254" t="s">
        <v>5523</v>
      </c>
      <c r="E696" s="310"/>
      <c r="F696" s="311">
        <v>16500</v>
      </c>
    </row>
    <row r="697" spans="1:6" x14ac:dyDescent="0.25">
      <c r="A697" s="230">
        <v>45975</v>
      </c>
      <c r="B697" s="253" t="s">
        <v>5401</v>
      </c>
      <c r="C697" s="262" t="s">
        <v>6</v>
      </c>
      <c r="D697" s="254" t="s">
        <v>5524</v>
      </c>
      <c r="E697" s="310"/>
      <c r="F697" s="311">
        <v>40000</v>
      </c>
    </row>
    <row r="698" spans="1:6" x14ac:dyDescent="0.25">
      <c r="A698" s="230">
        <v>45980</v>
      </c>
      <c r="B698" s="253" t="s">
        <v>5525</v>
      </c>
      <c r="C698" s="262" t="s">
        <v>6</v>
      </c>
      <c r="D698" s="254" t="s">
        <v>5526</v>
      </c>
      <c r="E698" s="310"/>
      <c r="F698" s="311">
        <v>125000000</v>
      </c>
    </row>
    <row r="699" spans="1:6" x14ac:dyDescent="0.25">
      <c r="A699" s="230">
        <v>45980</v>
      </c>
      <c r="B699" s="253" t="s">
        <v>5525</v>
      </c>
      <c r="C699" s="262" t="s">
        <v>6</v>
      </c>
      <c r="D699" s="254" t="s">
        <v>5501</v>
      </c>
      <c r="E699" s="310"/>
      <c r="F699" s="311">
        <v>13750000</v>
      </c>
    </row>
    <row r="700" spans="1:6" x14ac:dyDescent="0.25">
      <c r="A700" s="230">
        <v>45980</v>
      </c>
      <c r="B700" s="253" t="s">
        <v>5525</v>
      </c>
      <c r="C700" s="262" t="s">
        <v>6</v>
      </c>
      <c r="D700" s="254" t="s">
        <v>5527</v>
      </c>
      <c r="E700" s="310"/>
      <c r="F700" s="311">
        <v>-2500000</v>
      </c>
    </row>
    <row r="701" spans="1:6" x14ac:dyDescent="0.25">
      <c r="A701" s="230">
        <v>45980</v>
      </c>
      <c r="B701" s="253" t="s">
        <v>5525</v>
      </c>
      <c r="C701" s="262" t="s">
        <v>6</v>
      </c>
      <c r="D701" s="254" t="s">
        <v>5528</v>
      </c>
      <c r="E701" s="310"/>
      <c r="F701" s="311">
        <v>2900</v>
      </c>
    </row>
    <row r="702" spans="1:6" x14ac:dyDescent="0.25">
      <c r="A702" s="230">
        <v>45981</v>
      </c>
      <c r="B702" s="11" t="s">
        <v>5719</v>
      </c>
      <c r="C702" s="112" t="s">
        <v>6</v>
      </c>
      <c r="D702" s="28" t="s">
        <v>5762</v>
      </c>
      <c r="E702" s="293"/>
      <c r="F702" s="290">
        <v>371270</v>
      </c>
    </row>
    <row r="703" spans="1:6" x14ac:dyDescent="0.25">
      <c r="A703" s="230">
        <v>45982</v>
      </c>
      <c r="B703" s="11" t="s">
        <v>5763</v>
      </c>
      <c r="C703" s="112" t="s">
        <v>6</v>
      </c>
      <c r="D703" s="28" t="s">
        <v>4547</v>
      </c>
      <c r="E703" s="293"/>
      <c r="F703" s="290">
        <v>500000</v>
      </c>
    </row>
    <row r="704" spans="1:6" x14ac:dyDescent="0.25">
      <c r="A704" s="230">
        <v>45985</v>
      </c>
      <c r="B704" s="11" t="s">
        <v>5764</v>
      </c>
      <c r="C704" s="112" t="s">
        <v>6</v>
      </c>
      <c r="D704" s="28" t="s">
        <v>5765</v>
      </c>
      <c r="E704" s="293"/>
      <c r="F704" s="290">
        <v>118000</v>
      </c>
    </row>
    <row r="705" spans="1:6" x14ac:dyDescent="0.25">
      <c r="A705" s="230">
        <v>45987</v>
      </c>
      <c r="B705" s="11" t="s">
        <v>5766</v>
      </c>
      <c r="C705" s="262" t="s">
        <v>6</v>
      </c>
      <c r="D705" s="258" t="s">
        <v>5767</v>
      </c>
      <c r="E705" s="310"/>
      <c r="F705" s="311">
        <v>25000000</v>
      </c>
    </row>
    <row r="706" spans="1:6" x14ac:dyDescent="0.25">
      <c r="A706" s="230">
        <v>45987</v>
      </c>
      <c r="B706" s="11" t="s">
        <v>5768</v>
      </c>
      <c r="C706" s="112" t="s">
        <v>6</v>
      </c>
      <c r="D706" s="28" t="s">
        <v>5769</v>
      </c>
      <c r="E706" s="293"/>
      <c r="F706" s="290">
        <v>18510000</v>
      </c>
    </row>
    <row r="707" spans="1:6" x14ac:dyDescent="0.25">
      <c r="A707" s="230">
        <v>45987</v>
      </c>
      <c r="B707" s="11" t="s">
        <v>5768</v>
      </c>
      <c r="C707" s="112" t="s">
        <v>6</v>
      </c>
      <c r="D707" s="28" t="s">
        <v>5770</v>
      </c>
      <c r="E707" s="293"/>
      <c r="F707" s="290">
        <v>203500</v>
      </c>
    </row>
    <row r="708" spans="1:6" x14ac:dyDescent="0.25">
      <c r="A708" s="230">
        <v>45987</v>
      </c>
      <c r="B708" s="11" t="s">
        <v>5768</v>
      </c>
      <c r="C708" s="112" t="s">
        <v>6</v>
      </c>
      <c r="D708" s="28" t="s">
        <v>5771</v>
      </c>
      <c r="E708" s="293"/>
      <c r="F708" s="290">
        <v>-370000</v>
      </c>
    </row>
    <row r="709" spans="1:6" x14ac:dyDescent="0.25">
      <c r="A709" s="230">
        <v>45987</v>
      </c>
      <c r="B709" s="11" t="s">
        <v>5768</v>
      </c>
      <c r="C709" s="112" t="s">
        <v>6</v>
      </c>
      <c r="D709" s="28" t="s">
        <v>5772</v>
      </c>
      <c r="E709" s="293"/>
      <c r="F709" s="290">
        <v>2900</v>
      </c>
    </row>
    <row r="710" spans="1:6" ht="15.6" x14ac:dyDescent="0.3">
      <c r="A710" s="230">
        <v>45995</v>
      </c>
      <c r="B710" s="11" t="s">
        <v>5773</v>
      </c>
      <c r="C710" s="262" t="s">
        <v>6</v>
      </c>
      <c r="D710" s="258" t="s">
        <v>5774</v>
      </c>
      <c r="E710" s="312"/>
      <c r="F710" s="311">
        <v>13800000</v>
      </c>
    </row>
    <row r="711" spans="1:6" ht="15.6" x14ac:dyDescent="0.3">
      <c r="A711" s="230">
        <v>45995</v>
      </c>
      <c r="B711" s="11" t="s">
        <v>5773</v>
      </c>
      <c r="C711" s="262" t="s">
        <v>6</v>
      </c>
      <c r="D711" s="258" t="s">
        <v>5775</v>
      </c>
      <c r="E711" s="312"/>
      <c r="F711" s="311">
        <v>1518000</v>
      </c>
    </row>
    <row r="712" spans="1:6" ht="15.6" x14ac:dyDescent="0.3">
      <c r="A712" s="230">
        <v>45995</v>
      </c>
      <c r="B712" s="11" t="s">
        <v>5773</v>
      </c>
      <c r="C712" s="262" t="s">
        <v>6</v>
      </c>
      <c r="D712" s="258" t="s">
        <v>5776</v>
      </c>
      <c r="E712" s="312"/>
      <c r="F712" s="311">
        <v>-276000</v>
      </c>
    </row>
    <row r="713" spans="1:6" ht="15.6" x14ac:dyDescent="0.3">
      <c r="A713" s="230">
        <v>45995</v>
      </c>
      <c r="B713" s="11" t="s">
        <v>5773</v>
      </c>
      <c r="C713" s="262" t="s">
        <v>6</v>
      </c>
      <c r="D713" s="258" t="s">
        <v>5777</v>
      </c>
      <c r="E713" s="312"/>
      <c r="F713" s="311">
        <v>89000000</v>
      </c>
    </row>
    <row r="714" spans="1:6" ht="15.6" x14ac:dyDescent="0.3">
      <c r="A714" s="230">
        <v>45995</v>
      </c>
      <c r="B714" s="11" t="s">
        <v>5773</v>
      </c>
      <c r="C714" s="262" t="s">
        <v>6</v>
      </c>
      <c r="D714" s="258" t="s">
        <v>5778</v>
      </c>
      <c r="E714" s="312"/>
      <c r="F714" s="311">
        <v>979000</v>
      </c>
    </row>
    <row r="715" spans="1:6" ht="15.6" x14ac:dyDescent="0.3">
      <c r="A715" s="230">
        <v>45995</v>
      </c>
      <c r="B715" s="11" t="s">
        <v>5773</v>
      </c>
      <c r="C715" s="262" t="s">
        <v>6</v>
      </c>
      <c r="D715" s="258" t="s">
        <v>5779</v>
      </c>
      <c r="E715" s="312"/>
      <c r="F715" s="311">
        <v>-1780000</v>
      </c>
    </row>
    <row r="716" spans="1:6" ht="15.6" x14ac:dyDescent="0.3">
      <c r="A716" s="230">
        <v>45995</v>
      </c>
      <c r="B716" s="11" t="s">
        <v>5773</v>
      </c>
      <c r="C716" s="262" t="s">
        <v>6</v>
      </c>
      <c r="D716" s="258" t="s">
        <v>5780</v>
      </c>
      <c r="E716" s="354"/>
      <c r="F716" s="353">
        <v>7252083</v>
      </c>
    </row>
    <row r="717" spans="1:6" ht="15.6" x14ac:dyDescent="0.3">
      <c r="A717" s="105">
        <v>45995</v>
      </c>
      <c r="B717" s="112" t="s">
        <v>5773</v>
      </c>
      <c r="C717" s="253" t="s">
        <v>6</v>
      </c>
      <c r="D717" s="258" t="s">
        <v>5781</v>
      </c>
      <c r="E717" s="354"/>
      <c r="F717" s="311">
        <v>455312</v>
      </c>
    </row>
    <row r="718" spans="1:6" ht="15.6" x14ac:dyDescent="0.3">
      <c r="A718" s="105">
        <v>45995</v>
      </c>
      <c r="B718" s="112" t="s">
        <v>5773</v>
      </c>
      <c r="C718" s="253" t="s">
        <v>6</v>
      </c>
      <c r="D718" s="258" t="s">
        <v>5782</v>
      </c>
      <c r="E718" s="354"/>
      <c r="F718" s="311">
        <v>-145042</v>
      </c>
    </row>
    <row r="719" spans="1:6" ht="15.6" x14ac:dyDescent="0.3">
      <c r="A719" s="33">
        <v>45995</v>
      </c>
      <c r="B719" s="351" t="s">
        <v>5773</v>
      </c>
      <c r="C719" s="352" t="s">
        <v>6</v>
      </c>
      <c r="D719" s="349" t="s">
        <v>431</v>
      </c>
      <c r="E719" s="355"/>
      <c r="F719" s="350">
        <v>2900</v>
      </c>
    </row>
    <row r="720" spans="1:6" x14ac:dyDescent="0.25">
      <c r="A720" s="588">
        <v>45996</v>
      </c>
      <c r="B720" s="589" t="s">
        <v>6159</v>
      </c>
      <c r="C720" s="590" t="s">
        <v>6</v>
      </c>
      <c r="D720" s="580" t="s">
        <v>6163</v>
      </c>
      <c r="E720" s="591"/>
      <c r="F720" s="582">
        <v>600000</v>
      </c>
    </row>
    <row r="721" spans="1:6" x14ac:dyDescent="0.25">
      <c r="A721" s="588">
        <v>45996</v>
      </c>
      <c r="B721" s="589" t="s">
        <v>6159</v>
      </c>
      <c r="C721" s="590" t="s">
        <v>6</v>
      </c>
      <c r="D721" s="580" t="s">
        <v>6164</v>
      </c>
      <c r="E721" s="591"/>
      <c r="F721" s="582">
        <v>1200000</v>
      </c>
    </row>
    <row r="722" spans="1:6" x14ac:dyDescent="0.25">
      <c r="A722" s="588">
        <v>45996</v>
      </c>
      <c r="B722" s="589" t="s">
        <v>6159</v>
      </c>
      <c r="C722" s="590" t="s">
        <v>6</v>
      </c>
      <c r="D722" s="580" t="s">
        <v>105</v>
      </c>
      <c r="E722" s="591"/>
      <c r="F722" s="582">
        <v>2500</v>
      </c>
    </row>
    <row r="723" spans="1:6" x14ac:dyDescent="0.25">
      <c r="A723" s="588">
        <v>45996</v>
      </c>
      <c r="B723" s="589" t="s">
        <v>6159</v>
      </c>
      <c r="C723" s="590" t="s">
        <v>6</v>
      </c>
      <c r="D723" s="580" t="s">
        <v>105</v>
      </c>
      <c r="E723" s="591"/>
      <c r="F723" s="582">
        <v>2500</v>
      </c>
    </row>
    <row r="724" spans="1:6" x14ac:dyDescent="0.25">
      <c r="A724" s="588">
        <v>46022</v>
      </c>
      <c r="B724" s="589" t="s">
        <v>6161</v>
      </c>
      <c r="C724" s="590" t="s">
        <v>6</v>
      </c>
      <c r="D724" s="580" t="s">
        <v>6165</v>
      </c>
      <c r="E724" s="591"/>
      <c r="F724" s="582">
        <v>8000000</v>
      </c>
    </row>
    <row r="725" spans="1:6" ht="30" x14ac:dyDescent="0.25">
      <c r="A725" s="592">
        <v>46020</v>
      </c>
      <c r="B725" s="593" t="s">
        <v>6166</v>
      </c>
      <c r="C725" s="594" t="s">
        <v>6</v>
      </c>
      <c r="D725" s="595" t="s">
        <v>6167</v>
      </c>
      <c r="E725" s="453"/>
      <c r="F725" s="453">
        <v>150000000</v>
      </c>
    </row>
    <row r="726" spans="1:6" x14ac:dyDescent="0.25">
      <c r="A726" s="588">
        <v>45995</v>
      </c>
      <c r="B726" s="578" t="s">
        <v>6168</v>
      </c>
      <c r="C726" s="577" t="s">
        <v>6</v>
      </c>
      <c r="D726" s="579" t="s">
        <v>6169</v>
      </c>
      <c r="E726" s="560"/>
      <c r="F726" s="290">
        <v>3829400</v>
      </c>
    </row>
    <row r="727" spans="1:6" x14ac:dyDescent="0.25">
      <c r="A727" s="588">
        <v>45995</v>
      </c>
      <c r="B727" s="578" t="s">
        <v>6168</v>
      </c>
      <c r="C727" s="577" t="s">
        <v>6</v>
      </c>
      <c r="D727" s="579" t="s">
        <v>6170</v>
      </c>
      <c r="E727" s="560"/>
      <c r="F727" s="290">
        <v>1000</v>
      </c>
    </row>
    <row r="728" spans="1:6" x14ac:dyDescent="0.25">
      <c r="A728" s="588">
        <v>45995</v>
      </c>
      <c r="B728" s="578" t="s">
        <v>6168</v>
      </c>
      <c r="C728" s="577" t="s">
        <v>6</v>
      </c>
      <c r="D728" s="579" t="s">
        <v>6171</v>
      </c>
      <c r="E728" s="560"/>
      <c r="F728" s="290">
        <v>132000</v>
      </c>
    </row>
    <row r="729" spans="1:6" x14ac:dyDescent="0.25">
      <c r="A729" s="588">
        <v>45995</v>
      </c>
      <c r="B729" s="578" t="s">
        <v>6168</v>
      </c>
      <c r="C729" s="577" t="s">
        <v>6</v>
      </c>
      <c r="D729" s="579" t="s">
        <v>6170</v>
      </c>
      <c r="E729" s="560"/>
      <c r="F729" s="290">
        <v>2500</v>
      </c>
    </row>
    <row r="730" spans="1:6" x14ac:dyDescent="0.25">
      <c r="A730" s="588">
        <v>45995</v>
      </c>
      <c r="B730" s="578" t="s">
        <v>6168</v>
      </c>
      <c r="C730" s="577" t="s">
        <v>6</v>
      </c>
      <c r="D730" s="579" t="s">
        <v>6169</v>
      </c>
      <c r="E730" s="560"/>
      <c r="F730" s="290">
        <v>1535400</v>
      </c>
    </row>
    <row r="731" spans="1:6" x14ac:dyDescent="0.25">
      <c r="A731" s="588">
        <v>45995</v>
      </c>
      <c r="B731" s="578" t="s">
        <v>6168</v>
      </c>
      <c r="C731" s="577" t="s">
        <v>6</v>
      </c>
      <c r="D731" s="579" t="s">
        <v>6170</v>
      </c>
      <c r="E731" s="560"/>
      <c r="F731" s="290">
        <v>1000</v>
      </c>
    </row>
    <row r="732" spans="1:6" x14ac:dyDescent="0.25">
      <c r="A732" s="588">
        <v>45995</v>
      </c>
      <c r="B732" s="578" t="s">
        <v>6168</v>
      </c>
      <c r="C732" s="577" t="s">
        <v>6</v>
      </c>
      <c r="D732" s="579" t="s">
        <v>6172</v>
      </c>
      <c r="E732" s="560"/>
      <c r="F732" s="290">
        <v>237500</v>
      </c>
    </row>
    <row r="733" spans="1:6" x14ac:dyDescent="0.25">
      <c r="A733" s="588">
        <v>45995</v>
      </c>
      <c r="B733" s="578" t="s">
        <v>6168</v>
      </c>
      <c r="C733" s="577" t="s">
        <v>6</v>
      </c>
      <c r="D733" s="579" t="s">
        <v>50</v>
      </c>
      <c r="E733" s="560"/>
      <c r="F733" s="290">
        <v>2500</v>
      </c>
    </row>
    <row r="734" spans="1:6" x14ac:dyDescent="0.25">
      <c r="A734" s="588">
        <v>46008</v>
      </c>
      <c r="B734" s="578" t="s">
        <v>6173</v>
      </c>
      <c r="C734" s="577" t="s">
        <v>6</v>
      </c>
      <c r="D734" s="579" t="s">
        <v>4550</v>
      </c>
      <c r="E734" s="311"/>
      <c r="F734" s="311">
        <v>8983333.3300000001</v>
      </c>
    </row>
    <row r="735" spans="1:6" ht="15.6" x14ac:dyDescent="0.3">
      <c r="A735" s="588">
        <v>46022</v>
      </c>
      <c r="B735" s="578" t="s">
        <v>6174</v>
      </c>
      <c r="C735" s="590" t="s">
        <v>6</v>
      </c>
      <c r="D735" s="579" t="s">
        <v>6175</v>
      </c>
      <c r="E735" s="354"/>
      <c r="F735" s="311">
        <v>200000</v>
      </c>
    </row>
    <row r="736" spans="1:6" x14ac:dyDescent="0.25">
      <c r="A736" s="607">
        <v>46041</v>
      </c>
      <c r="B736" s="128" t="s">
        <v>6437</v>
      </c>
      <c r="C736" s="608" t="s">
        <v>6</v>
      </c>
      <c r="D736" s="609" t="s">
        <v>6438</v>
      </c>
      <c r="E736" s="610"/>
      <c r="F736" s="611">
        <v>1850072</v>
      </c>
    </row>
    <row r="737" spans="1:6" x14ac:dyDescent="0.25">
      <c r="A737" s="600">
        <v>46041</v>
      </c>
      <c r="B737" s="126" t="s">
        <v>6437</v>
      </c>
      <c r="C737" s="601" t="s">
        <v>6</v>
      </c>
      <c r="D737" s="602" t="s">
        <v>6439</v>
      </c>
      <c r="E737" s="603"/>
      <c r="F737" s="612">
        <v>642000</v>
      </c>
    </row>
    <row r="738" spans="1:6" x14ac:dyDescent="0.25">
      <c r="A738" s="600">
        <v>46041</v>
      </c>
      <c r="B738" s="126" t="s">
        <v>6437</v>
      </c>
      <c r="C738" s="601" t="s">
        <v>6</v>
      </c>
      <c r="D738" s="602" t="s">
        <v>6440</v>
      </c>
      <c r="E738" s="603"/>
      <c r="F738" s="612">
        <v>17000</v>
      </c>
    </row>
    <row r="739" spans="1:6" x14ac:dyDescent="0.25">
      <c r="A739" s="600">
        <v>46041</v>
      </c>
      <c r="B739" s="126" t="s">
        <v>6437</v>
      </c>
      <c r="C739" s="601" t="s">
        <v>6</v>
      </c>
      <c r="D739" s="602" t="s">
        <v>6441</v>
      </c>
      <c r="E739" s="603"/>
      <c r="F739" s="612">
        <v>1888000</v>
      </c>
    </row>
    <row r="740" spans="1:6" x14ac:dyDescent="0.25">
      <c r="A740" s="600">
        <v>46041</v>
      </c>
      <c r="B740" s="126" t="s">
        <v>6437</v>
      </c>
      <c r="C740" s="601" t="s">
        <v>6</v>
      </c>
      <c r="D740" s="602" t="s">
        <v>6442</v>
      </c>
      <c r="E740" s="603"/>
      <c r="F740" s="612">
        <v>500000</v>
      </c>
    </row>
    <row r="741" spans="1:6" x14ac:dyDescent="0.25">
      <c r="A741" s="127">
        <v>46041</v>
      </c>
      <c r="B741" s="132" t="s">
        <v>6437</v>
      </c>
      <c r="C741" s="604" t="s">
        <v>6</v>
      </c>
      <c r="D741" s="605" t="s">
        <v>6443</v>
      </c>
      <c r="E741" s="606"/>
      <c r="F741" s="613">
        <v>410800</v>
      </c>
    </row>
  </sheetData>
  <autoFilter ref="A2:F468" xr:uid="{3D6ED688-D447-4691-8816-016B4D517EC4}"/>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CC84A-FC90-435F-84B2-6A5404EC9A98}">
  <dimension ref="A2:F300"/>
  <sheetViews>
    <sheetView workbookViewId="0">
      <pane xSplit="3" ySplit="2" topLeftCell="D286" activePane="bottomRight" state="frozen"/>
      <selection pane="topRight" activeCell="D1" sqref="D1"/>
      <selection pane="bottomLeft" activeCell="A3" sqref="A3"/>
      <selection pane="bottomRight" activeCell="D304" sqref="D304"/>
    </sheetView>
  </sheetViews>
  <sheetFormatPr defaultRowHeight="14.4" x14ac:dyDescent="0.3"/>
  <cols>
    <col min="1" max="3" width="13.88671875" customWidth="1"/>
    <col min="4" max="4" width="111.21875" customWidth="1"/>
    <col min="5" max="6" width="18.88671875" style="378" customWidth="1"/>
  </cols>
  <sheetData>
    <row r="2" spans="1:6" ht="15.6" x14ac:dyDescent="0.3">
      <c r="A2" s="101" t="s">
        <v>0</v>
      </c>
      <c r="B2" s="109" t="s">
        <v>1</v>
      </c>
      <c r="C2" s="102" t="s">
        <v>2</v>
      </c>
      <c r="D2" s="109" t="s">
        <v>3</v>
      </c>
      <c r="E2" s="178" t="s">
        <v>4</v>
      </c>
      <c r="F2" s="365" t="s">
        <v>5</v>
      </c>
    </row>
    <row r="3" spans="1:6" ht="15" x14ac:dyDescent="0.3">
      <c r="A3" s="198">
        <v>45656</v>
      </c>
      <c r="B3" s="316">
        <v>519</v>
      </c>
      <c r="C3" s="38" t="s">
        <v>546</v>
      </c>
      <c r="D3" s="358" t="s">
        <v>547</v>
      </c>
      <c r="E3" s="366"/>
      <c r="F3" s="367">
        <v>646000000</v>
      </c>
    </row>
    <row r="4" spans="1:6" ht="15" x14ac:dyDescent="0.3">
      <c r="A4" s="105">
        <v>45656</v>
      </c>
      <c r="B4" s="112">
        <v>519</v>
      </c>
      <c r="C4" s="11" t="s">
        <v>546</v>
      </c>
      <c r="D4" s="118" t="s">
        <v>548</v>
      </c>
      <c r="E4" s="289"/>
      <c r="F4" s="368">
        <v>77000000</v>
      </c>
    </row>
    <row r="5" spans="1:6" ht="15" x14ac:dyDescent="0.3">
      <c r="A5" s="105">
        <v>45656</v>
      </c>
      <c r="B5" s="112">
        <v>519</v>
      </c>
      <c r="C5" s="11" t="s">
        <v>546</v>
      </c>
      <c r="D5" s="118" t="s">
        <v>549</v>
      </c>
      <c r="E5" s="289"/>
      <c r="F5" s="368">
        <v>2900</v>
      </c>
    </row>
    <row r="6" spans="1:6" ht="15" x14ac:dyDescent="0.3">
      <c r="A6" s="105">
        <v>45523</v>
      </c>
      <c r="B6" s="112" t="s">
        <v>550</v>
      </c>
      <c r="C6" s="11" t="s">
        <v>546</v>
      </c>
      <c r="D6" s="122" t="s">
        <v>551</v>
      </c>
      <c r="E6" s="289"/>
      <c r="F6" s="369">
        <v>11379000</v>
      </c>
    </row>
    <row r="7" spans="1:6" ht="15" x14ac:dyDescent="0.3">
      <c r="A7" s="105">
        <v>45523</v>
      </c>
      <c r="B7" s="112" t="s">
        <v>550</v>
      </c>
      <c r="C7" s="11" t="s">
        <v>546</v>
      </c>
      <c r="D7" s="122" t="s">
        <v>552</v>
      </c>
      <c r="E7" s="289"/>
      <c r="F7" s="369">
        <v>2900</v>
      </c>
    </row>
    <row r="8" spans="1:6" ht="15" x14ac:dyDescent="0.3">
      <c r="A8" s="105">
        <v>45523</v>
      </c>
      <c r="B8" s="112" t="s">
        <v>553</v>
      </c>
      <c r="C8" s="15" t="s">
        <v>546</v>
      </c>
      <c r="D8" s="119" t="s">
        <v>554</v>
      </c>
      <c r="E8" s="289"/>
      <c r="F8" s="369">
        <v>191000</v>
      </c>
    </row>
    <row r="9" spans="1:6" ht="15" x14ac:dyDescent="0.3">
      <c r="A9" s="105">
        <v>45637</v>
      </c>
      <c r="B9" s="112" t="s">
        <v>555</v>
      </c>
      <c r="C9" s="11" t="s">
        <v>546</v>
      </c>
      <c r="D9" s="118" t="s">
        <v>549</v>
      </c>
      <c r="E9" s="289"/>
      <c r="F9" s="369">
        <v>2900</v>
      </c>
    </row>
    <row r="10" spans="1:6" ht="15" x14ac:dyDescent="0.3">
      <c r="A10" s="105">
        <v>45639</v>
      </c>
      <c r="B10" s="112" t="s">
        <v>556</v>
      </c>
      <c r="C10" s="11" t="s">
        <v>546</v>
      </c>
      <c r="D10" s="118" t="s">
        <v>557</v>
      </c>
      <c r="E10" s="289"/>
      <c r="F10" s="369">
        <v>278700</v>
      </c>
    </row>
    <row r="11" spans="1:6" ht="15" x14ac:dyDescent="0.3">
      <c r="A11" s="105">
        <v>45639</v>
      </c>
      <c r="B11" s="112" t="s">
        <v>556</v>
      </c>
      <c r="C11" s="11" t="s">
        <v>546</v>
      </c>
      <c r="D11" s="118" t="s">
        <v>558</v>
      </c>
      <c r="E11" s="289"/>
      <c r="F11" s="369">
        <v>5500</v>
      </c>
    </row>
    <row r="12" spans="1:6" ht="15" x14ac:dyDescent="0.3">
      <c r="A12" s="105">
        <v>45639</v>
      </c>
      <c r="B12" s="112" t="s">
        <v>556</v>
      </c>
      <c r="C12" s="11" t="s">
        <v>546</v>
      </c>
      <c r="D12" s="118" t="s">
        <v>559</v>
      </c>
      <c r="E12" s="289"/>
      <c r="F12" s="369">
        <v>118500</v>
      </c>
    </row>
    <row r="13" spans="1:6" ht="15" x14ac:dyDescent="0.3">
      <c r="A13" s="105">
        <v>45645</v>
      </c>
      <c r="B13" s="112" t="s">
        <v>560</v>
      </c>
      <c r="C13" s="11" t="s">
        <v>546</v>
      </c>
      <c r="D13" s="118" t="s">
        <v>561</v>
      </c>
      <c r="E13" s="289"/>
      <c r="F13" s="369">
        <v>9122512</v>
      </c>
    </row>
    <row r="14" spans="1:6" ht="15" x14ac:dyDescent="0.3">
      <c r="A14" s="105">
        <v>45645</v>
      </c>
      <c r="B14" s="112" t="s">
        <v>560</v>
      </c>
      <c r="C14" s="11" t="s">
        <v>546</v>
      </c>
      <c r="D14" s="118" t="s">
        <v>562</v>
      </c>
      <c r="E14" s="289"/>
      <c r="F14" s="369">
        <v>409375</v>
      </c>
    </row>
    <row r="15" spans="1:6" ht="15" x14ac:dyDescent="0.3">
      <c r="A15" s="105">
        <v>45650</v>
      </c>
      <c r="B15" s="112" t="s">
        <v>563</v>
      </c>
      <c r="C15" s="11" t="s">
        <v>546</v>
      </c>
      <c r="D15" s="118" t="s">
        <v>564</v>
      </c>
      <c r="E15" s="289"/>
      <c r="F15" s="369">
        <v>50432928</v>
      </c>
    </row>
    <row r="16" spans="1:6" ht="15" x14ac:dyDescent="0.3">
      <c r="A16" s="105">
        <v>45650</v>
      </c>
      <c r="B16" s="112" t="s">
        <v>563</v>
      </c>
      <c r="C16" s="11" t="s">
        <v>546</v>
      </c>
      <c r="D16" s="118" t="s">
        <v>72</v>
      </c>
      <c r="E16" s="289"/>
      <c r="F16" s="369">
        <v>407875</v>
      </c>
    </row>
    <row r="17" spans="1:6" ht="15" x14ac:dyDescent="0.3">
      <c r="A17" s="105">
        <v>45519</v>
      </c>
      <c r="B17" s="112" t="s">
        <v>565</v>
      </c>
      <c r="C17" s="11" t="s">
        <v>546</v>
      </c>
      <c r="D17" s="117" t="s">
        <v>566</v>
      </c>
      <c r="E17" s="289"/>
      <c r="F17" s="369">
        <v>4005833</v>
      </c>
    </row>
    <row r="18" spans="1:6" ht="15" x14ac:dyDescent="0.3">
      <c r="A18" s="105">
        <v>45519</v>
      </c>
      <c r="B18" s="112" t="s">
        <v>565</v>
      </c>
      <c r="C18" s="11" t="s">
        <v>546</v>
      </c>
      <c r="D18" s="117" t="s">
        <v>567</v>
      </c>
      <c r="E18" s="289"/>
      <c r="F18" s="369">
        <v>10000</v>
      </c>
    </row>
    <row r="19" spans="1:6" ht="15" x14ac:dyDescent="0.3">
      <c r="A19" s="105">
        <v>45537</v>
      </c>
      <c r="B19" s="112" t="s">
        <v>568</v>
      </c>
      <c r="C19" s="15" t="s">
        <v>546</v>
      </c>
      <c r="D19" s="118" t="s">
        <v>569</v>
      </c>
      <c r="E19" s="289"/>
      <c r="F19" s="369">
        <v>1809286</v>
      </c>
    </row>
    <row r="20" spans="1:6" ht="15" x14ac:dyDescent="0.3">
      <c r="A20" s="105">
        <v>45537</v>
      </c>
      <c r="B20" s="112" t="s">
        <v>568</v>
      </c>
      <c r="C20" s="15" t="s">
        <v>546</v>
      </c>
      <c r="D20" s="118" t="s">
        <v>570</v>
      </c>
      <c r="E20" s="289"/>
      <c r="F20" s="369">
        <v>4795132</v>
      </c>
    </row>
    <row r="21" spans="1:6" ht="15" x14ac:dyDescent="0.3">
      <c r="A21" s="105">
        <v>45537</v>
      </c>
      <c r="B21" s="112" t="s">
        <v>568</v>
      </c>
      <c r="C21" s="15" t="s">
        <v>546</v>
      </c>
      <c r="D21" s="118" t="s">
        <v>571</v>
      </c>
      <c r="E21" s="289"/>
      <c r="F21" s="369">
        <v>4568789</v>
      </c>
    </row>
    <row r="22" spans="1:6" ht="15" x14ac:dyDescent="0.3">
      <c r="A22" s="105">
        <v>45574</v>
      </c>
      <c r="B22" s="112" t="s">
        <v>101</v>
      </c>
      <c r="C22" s="15" t="s">
        <v>546</v>
      </c>
      <c r="D22" s="118" t="s">
        <v>572</v>
      </c>
      <c r="E22" s="289"/>
      <c r="F22" s="369">
        <v>62000</v>
      </c>
    </row>
    <row r="23" spans="1:6" ht="15" x14ac:dyDescent="0.3">
      <c r="A23" s="105">
        <v>45588</v>
      </c>
      <c r="B23" s="112" t="s">
        <v>573</v>
      </c>
      <c r="C23" s="15" t="s">
        <v>546</v>
      </c>
      <c r="D23" s="118" t="s">
        <v>574</v>
      </c>
      <c r="E23" s="289">
        <v>4220000</v>
      </c>
      <c r="F23" s="370"/>
    </row>
    <row r="24" spans="1:6" ht="15" x14ac:dyDescent="0.3">
      <c r="A24" s="105">
        <v>45588</v>
      </c>
      <c r="B24" s="112" t="s">
        <v>573</v>
      </c>
      <c r="C24" s="15" t="s">
        <v>546</v>
      </c>
      <c r="D24" s="118" t="s">
        <v>575</v>
      </c>
      <c r="E24" s="289"/>
      <c r="F24" s="371">
        <v>200000</v>
      </c>
    </row>
    <row r="25" spans="1:6" ht="15" x14ac:dyDescent="0.3">
      <c r="A25" s="105">
        <v>45588</v>
      </c>
      <c r="B25" s="112" t="s">
        <v>573</v>
      </c>
      <c r="C25" s="15" t="s">
        <v>546</v>
      </c>
      <c r="D25" s="118" t="s">
        <v>576</v>
      </c>
      <c r="E25" s="289"/>
      <c r="F25" s="371">
        <v>42000</v>
      </c>
    </row>
    <row r="26" spans="1:6" ht="15" x14ac:dyDescent="0.3">
      <c r="A26" s="105">
        <v>45588</v>
      </c>
      <c r="B26" s="112" t="s">
        <v>573</v>
      </c>
      <c r="C26" s="15" t="s">
        <v>546</v>
      </c>
      <c r="D26" s="118" t="s">
        <v>577</v>
      </c>
      <c r="E26" s="289"/>
      <c r="F26" s="371">
        <v>185500</v>
      </c>
    </row>
    <row r="27" spans="1:6" ht="15" x14ac:dyDescent="0.3">
      <c r="A27" s="105">
        <v>45588</v>
      </c>
      <c r="B27" s="112" t="s">
        <v>573</v>
      </c>
      <c r="C27" s="15" t="s">
        <v>546</v>
      </c>
      <c r="D27" s="118" t="s">
        <v>578</v>
      </c>
      <c r="E27" s="289"/>
      <c r="F27" s="371">
        <v>130080</v>
      </c>
    </row>
    <row r="28" spans="1:6" ht="15" x14ac:dyDescent="0.3">
      <c r="A28" s="105">
        <v>45588</v>
      </c>
      <c r="B28" s="112" t="s">
        <v>573</v>
      </c>
      <c r="C28" s="15" t="s">
        <v>546</v>
      </c>
      <c r="D28" s="118" t="s">
        <v>579</v>
      </c>
      <c r="E28" s="289"/>
      <c r="F28" s="371">
        <v>20000</v>
      </c>
    </row>
    <row r="29" spans="1:6" ht="15" x14ac:dyDescent="0.3">
      <c r="A29" s="105">
        <v>45588</v>
      </c>
      <c r="B29" s="112" t="s">
        <v>573</v>
      </c>
      <c r="C29" s="15" t="s">
        <v>546</v>
      </c>
      <c r="D29" s="118" t="s">
        <v>580</v>
      </c>
      <c r="E29" s="289"/>
      <c r="F29" s="371">
        <v>3047103</v>
      </c>
    </row>
    <row r="30" spans="1:6" ht="15" x14ac:dyDescent="0.3">
      <c r="A30" s="105">
        <v>45588</v>
      </c>
      <c r="B30" s="112" t="s">
        <v>573</v>
      </c>
      <c r="C30" s="15" t="s">
        <v>546</v>
      </c>
      <c r="D30" s="118" t="s">
        <v>581</v>
      </c>
      <c r="E30" s="289"/>
      <c r="F30" s="371">
        <v>129600</v>
      </c>
    </row>
    <row r="31" spans="1:6" ht="15" x14ac:dyDescent="0.3">
      <c r="A31" s="105">
        <v>45588</v>
      </c>
      <c r="B31" s="112" t="s">
        <v>582</v>
      </c>
      <c r="C31" s="15" t="s">
        <v>546</v>
      </c>
      <c r="D31" s="118" t="s">
        <v>583</v>
      </c>
      <c r="E31" s="289"/>
      <c r="F31" s="371">
        <v>17090000</v>
      </c>
    </row>
    <row r="32" spans="1:6" ht="15" x14ac:dyDescent="0.3">
      <c r="A32" s="105">
        <v>45588</v>
      </c>
      <c r="B32" s="112" t="s">
        <v>582</v>
      </c>
      <c r="C32" s="15" t="s">
        <v>546</v>
      </c>
      <c r="D32" s="118" t="s">
        <v>584</v>
      </c>
      <c r="E32" s="289"/>
      <c r="F32" s="371">
        <v>1879900</v>
      </c>
    </row>
    <row r="33" spans="1:6" ht="15" x14ac:dyDescent="0.3">
      <c r="A33" s="105">
        <v>45588</v>
      </c>
      <c r="B33" s="112" t="s">
        <v>582</v>
      </c>
      <c r="C33" s="15" t="s">
        <v>546</v>
      </c>
      <c r="D33" s="118" t="s">
        <v>585</v>
      </c>
      <c r="E33" s="289"/>
      <c r="F33" s="371">
        <v>2900</v>
      </c>
    </row>
    <row r="34" spans="1:6" ht="15" x14ac:dyDescent="0.3">
      <c r="A34" s="105">
        <v>45621</v>
      </c>
      <c r="B34" s="112" t="s">
        <v>151</v>
      </c>
      <c r="C34" s="15" t="s">
        <v>546</v>
      </c>
      <c r="D34" s="120" t="s">
        <v>152</v>
      </c>
      <c r="E34" s="285"/>
      <c r="F34" s="371">
        <v>68000</v>
      </c>
    </row>
    <row r="35" spans="1:6" ht="15" x14ac:dyDescent="0.3">
      <c r="A35" s="105">
        <v>45625</v>
      </c>
      <c r="B35" s="112" t="s">
        <v>586</v>
      </c>
      <c r="C35" s="15" t="s">
        <v>546</v>
      </c>
      <c r="D35" s="118" t="s">
        <v>587</v>
      </c>
      <c r="E35" s="285"/>
      <c r="F35" s="371">
        <v>42123600</v>
      </c>
    </row>
    <row r="36" spans="1:6" ht="15" x14ac:dyDescent="0.3">
      <c r="A36" s="105">
        <v>45625</v>
      </c>
      <c r="B36" s="112" t="s">
        <v>586</v>
      </c>
      <c r="C36" s="15" t="s">
        <v>546</v>
      </c>
      <c r="D36" s="118" t="s">
        <v>588</v>
      </c>
      <c r="E36" s="285"/>
      <c r="F36" s="371">
        <v>4633596</v>
      </c>
    </row>
    <row r="37" spans="1:6" ht="15" x14ac:dyDescent="0.3">
      <c r="A37" s="105">
        <v>45625</v>
      </c>
      <c r="B37" s="112" t="s">
        <v>586</v>
      </c>
      <c r="C37" s="15" t="s">
        <v>546</v>
      </c>
      <c r="D37" s="118" t="s">
        <v>589</v>
      </c>
      <c r="E37" s="285"/>
      <c r="F37" s="371">
        <v>2900</v>
      </c>
    </row>
    <row r="38" spans="1:6" ht="15" x14ac:dyDescent="0.3">
      <c r="A38" s="105">
        <v>45630</v>
      </c>
      <c r="B38" s="112" t="s">
        <v>590</v>
      </c>
      <c r="C38" s="11" t="s">
        <v>546</v>
      </c>
      <c r="D38" s="121" t="s">
        <v>549</v>
      </c>
      <c r="E38" s="289"/>
      <c r="F38" s="370">
        <v>2900</v>
      </c>
    </row>
    <row r="39" spans="1:6" ht="15" x14ac:dyDescent="0.3">
      <c r="A39" s="105">
        <v>45643</v>
      </c>
      <c r="B39" s="112" t="s">
        <v>591</v>
      </c>
      <c r="C39" s="11" t="s">
        <v>546</v>
      </c>
      <c r="D39" s="121" t="s">
        <v>82</v>
      </c>
      <c r="E39" s="289"/>
      <c r="F39" s="370">
        <v>24992916.670000002</v>
      </c>
    </row>
    <row r="40" spans="1:6" ht="15" x14ac:dyDescent="0.3">
      <c r="A40" s="105">
        <v>45644</v>
      </c>
      <c r="B40" s="112" t="s">
        <v>592</v>
      </c>
      <c r="C40" s="11" t="s">
        <v>546</v>
      </c>
      <c r="D40" s="117" t="s">
        <v>593</v>
      </c>
      <c r="E40" s="289"/>
      <c r="F40" s="370">
        <v>4650000</v>
      </c>
    </row>
    <row r="41" spans="1:6" ht="15" x14ac:dyDescent="0.3">
      <c r="A41" s="105">
        <v>45644</v>
      </c>
      <c r="B41" s="112" t="s">
        <v>592</v>
      </c>
      <c r="C41" s="11" t="s">
        <v>546</v>
      </c>
      <c r="D41" s="117" t="s">
        <v>594</v>
      </c>
      <c r="E41" s="289"/>
      <c r="F41" s="370">
        <v>2500</v>
      </c>
    </row>
    <row r="42" spans="1:6" ht="15" x14ac:dyDescent="0.3">
      <c r="A42" s="105">
        <v>45646</v>
      </c>
      <c r="B42" s="112" t="s">
        <v>595</v>
      </c>
      <c r="C42" s="11" t="s">
        <v>546</v>
      </c>
      <c r="D42" s="121" t="s">
        <v>67</v>
      </c>
      <c r="E42" s="289"/>
      <c r="F42" s="370">
        <v>168500</v>
      </c>
    </row>
    <row r="43" spans="1:6" ht="15" x14ac:dyDescent="0.3">
      <c r="A43" s="105">
        <v>45649</v>
      </c>
      <c r="B43" s="112" t="s">
        <v>596</v>
      </c>
      <c r="C43" s="11" t="s">
        <v>546</v>
      </c>
      <c r="D43" s="117" t="s">
        <v>597</v>
      </c>
      <c r="E43" s="289"/>
      <c r="F43" s="370">
        <v>189718900</v>
      </c>
    </row>
    <row r="44" spans="1:6" ht="15" x14ac:dyDescent="0.3">
      <c r="A44" s="105">
        <v>45649</v>
      </c>
      <c r="B44" s="112" t="s">
        <v>596</v>
      </c>
      <c r="C44" s="11" t="s">
        <v>546</v>
      </c>
      <c r="D44" s="117" t="s">
        <v>598</v>
      </c>
      <c r="E44" s="289"/>
      <c r="F44" s="370">
        <v>2900</v>
      </c>
    </row>
    <row r="45" spans="1:6" ht="15" x14ac:dyDescent="0.3">
      <c r="A45" s="105">
        <v>45653</v>
      </c>
      <c r="B45" s="112" t="s">
        <v>599</v>
      </c>
      <c r="C45" s="15" t="s">
        <v>546</v>
      </c>
      <c r="D45" s="118" t="s">
        <v>600</v>
      </c>
      <c r="E45" s="289"/>
      <c r="F45" s="371">
        <v>20000</v>
      </c>
    </row>
    <row r="46" spans="1:6" ht="15" x14ac:dyDescent="0.3">
      <c r="A46" s="105">
        <v>45656</v>
      </c>
      <c r="B46" s="112" t="s">
        <v>601</v>
      </c>
      <c r="C46" s="15" t="s">
        <v>546</v>
      </c>
      <c r="D46" s="118" t="s">
        <v>602</v>
      </c>
      <c r="E46" s="289"/>
      <c r="F46" s="371">
        <v>898000</v>
      </c>
    </row>
    <row r="47" spans="1:6" ht="15" x14ac:dyDescent="0.3">
      <c r="A47" s="105">
        <v>45656</v>
      </c>
      <c r="B47" s="112" t="s">
        <v>601</v>
      </c>
      <c r="C47" s="15" t="s">
        <v>546</v>
      </c>
      <c r="D47" s="118" t="s">
        <v>603</v>
      </c>
      <c r="E47" s="289"/>
      <c r="F47" s="371">
        <v>1414402</v>
      </c>
    </row>
    <row r="48" spans="1:6" ht="15" x14ac:dyDescent="0.3">
      <c r="A48" s="105">
        <v>45656</v>
      </c>
      <c r="B48" s="112" t="s">
        <v>601</v>
      </c>
      <c r="C48" s="15" t="s">
        <v>546</v>
      </c>
      <c r="D48" s="118" t="s">
        <v>604</v>
      </c>
      <c r="E48" s="289"/>
      <c r="F48" s="371">
        <v>160000</v>
      </c>
    </row>
    <row r="49" spans="1:6" ht="15" x14ac:dyDescent="0.3">
      <c r="A49" s="105">
        <v>45656</v>
      </c>
      <c r="B49" s="112" t="s">
        <v>601</v>
      </c>
      <c r="C49" s="15" t="s">
        <v>546</v>
      </c>
      <c r="D49" s="118" t="s">
        <v>605</v>
      </c>
      <c r="E49" s="289"/>
      <c r="F49" s="371">
        <v>17600</v>
      </c>
    </row>
    <row r="50" spans="1:6" ht="15" x14ac:dyDescent="0.3">
      <c r="A50" s="105">
        <v>45656</v>
      </c>
      <c r="B50" s="112" t="s">
        <v>601</v>
      </c>
      <c r="C50" s="15" t="s">
        <v>546</v>
      </c>
      <c r="D50" s="118" t="s">
        <v>606</v>
      </c>
      <c r="E50" s="289"/>
      <c r="F50" s="371">
        <v>-3200</v>
      </c>
    </row>
    <row r="51" spans="1:6" ht="15" x14ac:dyDescent="0.3">
      <c r="A51" s="105">
        <v>45656</v>
      </c>
      <c r="B51" s="112" t="s">
        <v>601</v>
      </c>
      <c r="C51" s="15" t="s">
        <v>546</v>
      </c>
      <c r="D51" s="118" t="s">
        <v>607</v>
      </c>
      <c r="E51" s="289"/>
      <c r="F51" s="371">
        <v>3200</v>
      </c>
    </row>
    <row r="52" spans="1:6" ht="15" x14ac:dyDescent="0.3">
      <c r="A52" s="105">
        <v>45526</v>
      </c>
      <c r="B52" s="112" t="s">
        <v>172</v>
      </c>
      <c r="C52" s="11" t="s">
        <v>546</v>
      </c>
      <c r="D52" s="122" t="s">
        <v>608</v>
      </c>
      <c r="E52" s="289"/>
      <c r="F52" s="369">
        <v>3232373</v>
      </c>
    </row>
    <row r="53" spans="1:6" ht="15" x14ac:dyDescent="0.3">
      <c r="A53" s="105">
        <v>45544</v>
      </c>
      <c r="B53" s="112" t="s">
        <v>191</v>
      </c>
      <c r="C53" s="27" t="s">
        <v>546</v>
      </c>
      <c r="D53" s="123" t="s">
        <v>609</v>
      </c>
      <c r="E53" s="289"/>
      <c r="F53" s="369">
        <v>22000</v>
      </c>
    </row>
    <row r="54" spans="1:6" ht="15" x14ac:dyDescent="0.3">
      <c r="A54" s="105">
        <v>45546</v>
      </c>
      <c r="B54" s="112" t="s">
        <v>610</v>
      </c>
      <c r="C54" s="15" t="s">
        <v>546</v>
      </c>
      <c r="D54" s="119" t="s">
        <v>611</v>
      </c>
      <c r="E54" s="289"/>
      <c r="F54" s="369">
        <v>1632653</v>
      </c>
    </row>
    <row r="55" spans="1:6" ht="15" x14ac:dyDescent="0.3">
      <c r="A55" s="105">
        <v>45546</v>
      </c>
      <c r="B55" s="112" t="s">
        <v>610</v>
      </c>
      <c r="C55" s="15" t="s">
        <v>546</v>
      </c>
      <c r="D55" s="119" t="s">
        <v>612</v>
      </c>
      <c r="E55" s="289"/>
      <c r="F55" s="369">
        <v>-32653</v>
      </c>
    </row>
    <row r="56" spans="1:6" ht="15" x14ac:dyDescent="0.3">
      <c r="A56" s="105">
        <v>45546</v>
      </c>
      <c r="B56" s="112" t="s">
        <v>610</v>
      </c>
      <c r="C56" s="15" t="s">
        <v>546</v>
      </c>
      <c r="D56" s="119" t="s">
        <v>50</v>
      </c>
      <c r="E56" s="289"/>
      <c r="F56" s="369">
        <v>2500</v>
      </c>
    </row>
    <row r="57" spans="1:6" ht="15" x14ac:dyDescent="0.3">
      <c r="A57" s="105">
        <v>45548</v>
      </c>
      <c r="B57" s="112" t="s">
        <v>193</v>
      </c>
      <c r="C57" s="15" t="s">
        <v>546</v>
      </c>
      <c r="D57" s="118" t="s">
        <v>613</v>
      </c>
      <c r="E57" s="289"/>
      <c r="F57" s="369">
        <v>44000</v>
      </c>
    </row>
    <row r="58" spans="1:6" ht="15" x14ac:dyDescent="0.3">
      <c r="A58" s="105">
        <v>45555</v>
      </c>
      <c r="B58" s="112" t="s">
        <v>614</v>
      </c>
      <c r="C58" s="15" t="s">
        <v>546</v>
      </c>
      <c r="D58" s="118" t="s">
        <v>615</v>
      </c>
      <c r="E58" s="289"/>
      <c r="F58" s="369">
        <v>20000</v>
      </c>
    </row>
    <row r="59" spans="1:6" ht="15" x14ac:dyDescent="0.3">
      <c r="A59" s="105">
        <v>45763</v>
      </c>
      <c r="B59" s="112" t="s">
        <v>616</v>
      </c>
      <c r="C59" s="15" t="s">
        <v>546</v>
      </c>
      <c r="D59" s="118" t="s">
        <v>617</v>
      </c>
      <c r="E59" s="372"/>
      <c r="F59" s="371">
        <v>2000000</v>
      </c>
    </row>
    <row r="60" spans="1:6" ht="15" x14ac:dyDescent="0.3">
      <c r="A60" s="105">
        <v>45763</v>
      </c>
      <c r="B60" s="112" t="s">
        <v>616</v>
      </c>
      <c r="C60" s="15" t="s">
        <v>546</v>
      </c>
      <c r="D60" s="118" t="s">
        <v>210</v>
      </c>
      <c r="E60" s="372"/>
      <c r="F60" s="371">
        <v>2500</v>
      </c>
    </row>
    <row r="61" spans="1:6" ht="15" x14ac:dyDescent="0.3">
      <c r="A61" s="105">
        <v>45769</v>
      </c>
      <c r="B61" s="112" t="s">
        <v>618</v>
      </c>
      <c r="C61" s="11" t="s">
        <v>546</v>
      </c>
      <c r="D61" s="117" t="s">
        <v>619</v>
      </c>
      <c r="E61" s="289"/>
      <c r="F61" s="368">
        <v>4500000</v>
      </c>
    </row>
    <row r="62" spans="1:6" ht="15" x14ac:dyDescent="0.3">
      <c r="A62" s="105">
        <v>45769</v>
      </c>
      <c r="B62" s="112" t="s">
        <v>620</v>
      </c>
      <c r="C62" s="11" t="s">
        <v>546</v>
      </c>
      <c r="D62" s="117" t="s">
        <v>621</v>
      </c>
      <c r="E62" s="289"/>
      <c r="F62" s="368">
        <v>915700</v>
      </c>
    </row>
    <row r="63" spans="1:6" ht="15" x14ac:dyDescent="0.3">
      <c r="A63" s="105">
        <v>45769</v>
      </c>
      <c r="B63" s="112" t="s">
        <v>620</v>
      </c>
      <c r="C63" s="11" t="s">
        <v>546</v>
      </c>
      <c r="D63" s="117" t="s">
        <v>404</v>
      </c>
      <c r="E63" s="289"/>
      <c r="F63" s="368">
        <v>126000</v>
      </c>
    </row>
    <row r="64" spans="1:6" ht="15" x14ac:dyDescent="0.3">
      <c r="A64" s="105">
        <v>45769</v>
      </c>
      <c r="B64" s="112" t="s">
        <v>620</v>
      </c>
      <c r="C64" s="11" t="s">
        <v>546</v>
      </c>
      <c r="D64" s="117" t="s">
        <v>622</v>
      </c>
      <c r="E64" s="289"/>
      <c r="F64" s="368">
        <v>461801</v>
      </c>
    </row>
    <row r="65" spans="1:6" ht="15" x14ac:dyDescent="0.3">
      <c r="A65" s="105">
        <v>45791</v>
      </c>
      <c r="B65" s="112" t="s">
        <v>623</v>
      </c>
      <c r="C65" s="11" t="s">
        <v>546</v>
      </c>
      <c r="D65" s="129" t="s">
        <v>624</v>
      </c>
      <c r="E65" s="372"/>
      <c r="F65" s="368">
        <v>97000</v>
      </c>
    </row>
    <row r="66" spans="1:6" ht="15" x14ac:dyDescent="0.3">
      <c r="A66" s="105">
        <v>45791</v>
      </c>
      <c r="B66" s="112" t="s">
        <v>623</v>
      </c>
      <c r="C66" s="11" t="s">
        <v>546</v>
      </c>
      <c r="D66" s="129" t="s">
        <v>625</v>
      </c>
      <c r="E66" s="285"/>
      <c r="F66" s="368">
        <v>100000</v>
      </c>
    </row>
    <row r="67" spans="1:6" ht="15" x14ac:dyDescent="0.3">
      <c r="A67" s="105">
        <v>45791</v>
      </c>
      <c r="B67" s="112" t="s">
        <v>623</v>
      </c>
      <c r="C67" s="11" t="s">
        <v>546</v>
      </c>
      <c r="D67" s="129" t="s">
        <v>626</v>
      </c>
      <c r="E67" s="285"/>
      <c r="F67" s="368">
        <v>50000</v>
      </c>
    </row>
    <row r="68" spans="1:6" ht="15" x14ac:dyDescent="0.3">
      <c r="A68" s="105">
        <v>45791</v>
      </c>
      <c r="B68" s="112" t="s">
        <v>623</v>
      </c>
      <c r="C68" s="11" t="s">
        <v>546</v>
      </c>
      <c r="D68" s="129" t="s">
        <v>627</v>
      </c>
      <c r="E68" s="285"/>
      <c r="F68" s="368">
        <v>30000</v>
      </c>
    </row>
    <row r="69" spans="1:6" ht="15" x14ac:dyDescent="0.3">
      <c r="A69" s="105">
        <v>45791</v>
      </c>
      <c r="B69" s="113" t="s">
        <v>628</v>
      </c>
      <c r="C69" s="11" t="s">
        <v>546</v>
      </c>
      <c r="D69" s="117" t="s">
        <v>629</v>
      </c>
      <c r="E69" s="372"/>
      <c r="F69" s="368">
        <v>1862245</v>
      </c>
    </row>
    <row r="70" spans="1:6" ht="15" x14ac:dyDescent="0.3">
      <c r="A70" s="105">
        <v>45791</v>
      </c>
      <c r="B70" s="113" t="s">
        <v>628</v>
      </c>
      <c r="C70" s="11" t="s">
        <v>546</v>
      </c>
      <c r="D70" s="117" t="s">
        <v>630</v>
      </c>
      <c r="E70" s="372"/>
      <c r="F70" s="368">
        <v>-37245</v>
      </c>
    </row>
    <row r="71" spans="1:6" ht="15" x14ac:dyDescent="0.3">
      <c r="A71" s="105">
        <v>45791</v>
      </c>
      <c r="B71" s="113" t="s">
        <v>628</v>
      </c>
      <c r="C71" s="11" t="s">
        <v>546</v>
      </c>
      <c r="D71" s="117" t="s">
        <v>476</v>
      </c>
      <c r="E71" s="372"/>
      <c r="F71" s="368">
        <v>2500</v>
      </c>
    </row>
    <row r="72" spans="1:6" ht="15" x14ac:dyDescent="0.3">
      <c r="A72" s="105">
        <v>45793</v>
      </c>
      <c r="B72" s="113" t="s">
        <v>631</v>
      </c>
      <c r="C72" s="11" t="s">
        <v>546</v>
      </c>
      <c r="D72" s="129" t="s">
        <v>625</v>
      </c>
      <c r="E72" s="289"/>
      <c r="F72" s="368">
        <v>300000</v>
      </c>
    </row>
    <row r="73" spans="1:6" ht="15" x14ac:dyDescent="0.3">
      <c r="A73" s="105">
        <v>45793</v>
      </c>
      <c r="B73" s="113" t="s">
        <v>631</v>
      </c>
      <c r="C73" s="11" t="s">
        <v>546</v>
      </c>
      <c r="D73" s="129" t="s">
        <v>624</v>
      </c>
      <c r="E73" s="372"/>
      <c r="F73" s="368">
        <v>119000</v>
      </c>
    </row>
    <row r="74" spans="1:6" ht="15" x14ac:dyDescent="0.3">
      <c r="A74" s="105">
        <v>45795</v>
      </c>
      <c r="B74" s="112" t="s">
        <v>632</v>
      </c>
      <c r="C74" s="15" t="s">
        <v>633</v>
      </c>
      <c r="D74" s="118" t="s">
        <v>634</v>
      </c>
      <c r="E74" s="289"/>
      <c r="F74" s="371">
        <v>550000</v>
      </c>
    </row>
    <row r="75" spans="1:6" ht="15" x14ac:dyDescent="0.3">
      <c r="A75" s="105">
        <v>45795</v>
      </c>
      <c r="B75" s="112" t="s">
        <v>632</v>
      </c>
      <c r="C75" s="15" t="s">
        <v>633</v>
      </c>
      <c r="D75" s="118" t="s">
        <v>635</v>
      </c>
      <c r="E75" s="289"/>
      <c r="F75" s="371">
        <v>827000</v>
      </c>
    </row>
    <row r="76" spans="1:6" ht="15" x14ac:dyDescent="0.3">
      <c r="A76" s="105">
        <v>45795</v>
      </c>
      <c r="B76" s="112" t="s">
        <v>632</v>
      </c>
      <c r="C76" s="15" t="s">
        <v>633</v>
      </c>
      <c r="D76" s="118" t="s">
        <v>210</v>
      </c>
      <c r="E76" s="289"/>
      <c r="F76" s="371">
        <v>2500</v>
      </c>
    </row>
    <row r="77" spans="1:6" ht="15" x14ac:dyDescent="0.3">
      <c r="A77" s="105">
        <v>45687</v>
      </c>
      <c r="B77" s="112" t="s">
        <v>636</v>
      </c>
      <c r="C77" s="11" t="s">
        <v>546</v>
      </c>
      <c r="D77" s="117" t="s">
        <v>637</v>
      </c>
      <c r="E77" s="289"/>
      <c r="F77" s="369">
        <v>6450000</v>
      </c>
    </row>
    <row r="78" spans="1:6" ht="15" x14ac:dyDescent="0.3">
      <c r="A78" s="105">
        <v>45698</v>
      </c>
      <c r="B78" s="112" t="s">
        <v>638</v>
      </c>
      <c r="C78" s="11" t="s">
        <v>546</v>
      </c>
      <c r="D78" s="117" t="s">
        <v>639</v>
      </c>
      <c r="E78" s="289"/>
      <c r="F78" s="369">
        <v>129877869</v>
      </c>
    </row>
    <row r="79" spans="1:6" ht="15" x14ac:dyDescent="0.3">
      <c r="A79" s="105">
        <v>45715</v>
      </c>
      <c r="B79" s="112" t="s">
        <v>640</v>
      </c>
      <c r="C79" s="11" t="s">
        <v>546</v>
      </c>
      <c r="D79" s="117" t="s">
        <v>641</v>
      </c>
      <c r="E79" s="289"/>
      <c r="F79" s="369">
        <v>954795015</v>
      </c>
    </row>
    <row r="80" spans="1:6" ht="15" x14ac:dyDescent="0.3">
      <c r="A80" s="105">
        <v>45715</v>
      </c>
      <c r="B80" s="112" t="s">
        <v>640</v>
      </c>
      <c r="C80" s="11" t="s">
        <v>546</v>
      </c>
      <c r="D80" s="117" t="s">
        <v>642</v>
      </c>
      <c r="E80" s="289"/>
      <c r="F80" s="369">
        <v>578725</v>
      </c>
    </row>
    <row r="81" spans="1:6" ht="15" x14ac:dyDescent="0.3">
      <c r="A81" s="105">
        <v>45665</v>
      </c>
      <c r="B81" s="112" t="s">
        <v>643</v>
      </c>
      <c r="C81" s="15" t="s">
        <v>546</v>
      </c>
      <c r="D81" s="118" t="s">
        <v>644</v>
      </c>
      <c r="E81" s="289"/>
      <c r="F81" s="371">
        <v>225000</v>
      </c>
    </row>
    <row r="82" spans="1:6" ht="15" x14ac:dyDescent="0.3">
      <c r="A82" s="105">
        <v>45666</v>
      </c>
      <c r="B82" s="112" t="s">
        <v>645</v>
      </c>
      <c r="C82" s="11" t="s">
        <v>546</v>
      </c>
      <c r="D82" s="118" t="s">
        <v>646</v>
      </c>
      <c r="E82" s="289"/>
      <c r="F82" s="369">
        <v>98288400</v>
      </c>
    </row>
    <row r="83" spans="1:6" ht="15" x14ac:dyDescent="0.3">
      <c r="A83" s="105">
        <v>45666</v>
      </c>
      <c r="B83" s="112" t="s">
        <v>645</v>
      </c>
      <c r="C83" s="11" t="s">
        <v>546</v>
      </c>
      <c r="D83" s="118" t="s">
        <v>647</v>
      </c>
      <c r="E83" s="289"/>
      <c r="F83" s="369">
        <v>10811724</v>
      </c>
    </row>
    <row r="84" spans="1:6" ht="15" x14ac:dyDescent="0.3">
      <c r="A84" s="105">
        <v>45666</v>
      </c>
      <c r="B84" s="112" t="s">
        <v>645</v>
      </c>
      <c r="C84" s="11" t="s">
        <v>546</v>
      </c>
      <c r="D84" s="118" t="s">
        <v>589</v>
      </c>
      <c r="E84" s="289"/>
      <c r="F84" s="369">
        <v>2900</v>
      </c>
    </row>
    <row r="85" spans="1:6" ht="15" x14ac:dyDescent="0.3">
      <c r="A85" s="105">
        <v>45666</v>
      </c>
      <c r="B85" s="112" t="s">
        <v>648</v>
      </c>
      <c r="C85" s="11" t="s">
        <v>546</v>
      </c>
      <c r="D85" s="118" t="s">
        <v>649</v>
      </c>
      <c r="E85" s="289"/>
      <c r="F85" s="369">
        <v>3469700</v>
      </c>
    </row>
    <row r="86" spans="1:6" ht="15" x14ac:dyDescent="0.3">
      <c r="A86" s="105">
        <v>45666</v>
      </c>
      <c r="B86" s="112" t="s">
        <v>648</v>
      </c>
      <c r="C86" s="11" t="s">
        <v>546</v>
      </c>
      <c r="D86" s="118" t="s">
        <v>650</v>
      </c>
      <c r="E86" s="289"/>
      <c r="F86" s="369">
        <v>2900</v>
      </c>
    </row>
    <row r="87" spans="1:6" ht="15" x14ac:dyDescent="0.3">
      <c r="A87" s="105">
        <v>45667</v>
      </c>
      <c r="B87" s="112" t="s">
        <v>230</v>
      </c>
      <c r="C87" s="15" t="s">
        <v>546</v>
      </c>
      <c r="D87" s="118" t="s">
        <v>651</v>
      </c>
      <c r="E87" s="289"/>
      <c r="F87" s="371">
        <v>84000</v>
      </c>
    </row>
    <row r="88" spans="1:6" ht="15" x14ac:dyDescent="0.3">
      <c r="A88" s="105">
        <v>45667</v>
      </c>
      <c r="B88" s="112" t="s">
        <v>652</v>
      </c>
      <c r="C88" s="11" t="s">
        <v>546</v>
      </c>
      <c r="D88" s="117" t="s">
        <v>653</v>
      </c>
      <c r="E88" s="289"/>
      <c r="F88" s="369">
        <v>1250000</v>
      </c>
    </row>
    <row r="89" spans="1:6" ht="15" x14ac:dyDescent="0.3">
      <c r="A89" s="105">
        <v>45667</v>
      </c>
      <c r="B89" s="112" t="s">
        <v>652</v>
      </c>
      <c r="C89" s="11" t="s">
        <v>546</v>
      </c>
      <c r="D89" s="117" t="s">
        <v>118</v>
      </c>
      <c r="E89" s="289"/>
      <c r="F89" s="369">
        <v>2900</v>
      </c>
    </row>
    <row r="90" spans="1:6" ht="15" x14ac:dyDescent="0.3">
      <c r="A90" s="105">
        <v>45667</v>
      </c>
      <c r="B90" s="112" t="s">
        <v>654</v>
      </c>
      <c r="C90" s="11" t="s">
        <v>546</v>
      </c>
      <c r="D90" s="117" t="s">
        <v>150</v>
      </c>
      <c r="E90" s="289"/>
      <c r="F90" s="369">
        <v>300000</v>
      </c>
    </row>
    <row r="91" spans="1:6" ht="15" x14ac:dyDescent="0.3">
      <c r="A91" s="105">
        <v>45667</v>
      </c>
      <c r="B91" s="112" t="s">
        <v>654</v>
      </c>
      <c r="C91" s="11" t="s">
        <v>546</v>
      </c>
      <c r="D91" s="117" t="s">
        <v>655</v>
      </c>
      <c r="E91" s="289"/>
      <c r="F91" s="369">
        <v>272000</v>
      </c>
    </row>
    <row r="92" spans="1:6" ht="15" x14ac:dyDescent="0.3">
      <c r="A92" s="105">
        <v>45672</v>
      </c>
      <c r="B92" s="112" t="s">
        <v>656</v>
      </c>
      <c r="C92" s="11" t="s">
        <v>546</v>
      </c>
      <c r="D92" s="118" t="s">
        <v>657</v>
      </c>
      <c r="E92" s="289"/>
      <c r="F92" s="369">
        <v>3002940</v>
      </c>
    </row>
    <row r="93" spans="1:6" ht="15" x14ac:dyDescent="0.3">
      <c r="A93" s="105">
        <v>45672</v>
      </c>
      <c r="B93" s="112" t="s">
        <v>656</v>
      </c>
      <c r="C93" s="11" t="s">
        <v>546</v>
      </c>
      <c r="D93" s="118" t="s">
        <v>658</v>
      </c>
      <c r="E93" s="289"/>
      <c r="F93" s="369">
        <v>33032.340000000004</v>
      </c>
    </row>
    <row r="94" spans="1:6" ht="15" x14ac:dyDescent="0.3">
      <c r="A94" s="105">
        <v>45672</v>
      </c>
      <c r="B94" s="112" t="s">
        <v>656</v>
      </c>
      <c r="C94" s="11" t="s">
        <v>546</v>
      </c>
      <c r="D94" s="118" t="s">
        <v>659</v>
      </c>
      <c r="E94" s="289"/>
      <c r="F94" s="369">
        <v>-60058.8</v>
      </c>
    </row>
    <row r="95" spans="1:6" ht="15" x14ac:dyDescent="0.3">
      <c r="A95" s="105">
        <v>45672</v>
      </c>
      <c r="B95" s="112" t="s">
        <v>656</v>
      </c>
      <c r="C95" s="11" t="s">
        <v>546</v>
      </c>
      <c r="D95" s="118" t="s">
        <v>660</v>
      </c>
      <c r="E95" s="289"/>
      <c r="F95" s="369">
        <v>2900</v>
      </c>
    </row>
    <row r="96" spans="1:6" ht="15" x14ac:dyDescent="0.3">
      <c r="A96" s="105">
        <v>45672</v>
      </c>
      <c r="B96" s="112" t="s">
        <v>661</v>
      </c>
      <c r="C96" s="11" t="s">
        <v>546</v>
      </c>
      <c r="D96" s="118" t="s">
        <v>662</v>
      </c>
      <c r="E96" s="289"/>
      <c r="F96" s="369">
        <v>14543600</v>
      </c>
    </row>
    <row r="97" spans="1:6" ht="15" x14ac:dyDescent="0.3">
      <c r="A97" s="105">
        <v>45672</v>
      </c>
      <c r="B97" s="112" t="s">
        <v>661</v>
      </c>
      <c r="C97" s="11" t="s">
        <v>546</v>
      </c>
      <c r="D97" s="118" t="s">
        <v>650</v>
      </c>
      <c r="E97" s="289"/>
      <c r="F97" s="369">
        <v>2900</v>
      </c>
    </row>
    <row r="98" spans="1:6" ht="15" x14ac:dyDescent="0.3">
      <c r="A98" s="105">
        <v>45672</v>
      </c>
      <c r="B98" s="112" t="s">
        <v>663</v>
      </c>
      <c r="C98" s="15" t="s">
        <v>546</v>
      </c>
      <c r="D98" s="118" t="s">
        <v>664</v>
      </c>
      <c r="E98" s="289"/>
      <c r="F98" s="371">
        <v>225000</v>
      </c>
    </row>
    <row r="99" spans="1:6" ht="15" x14ac:dyDescent="0.3">
      <c r="A99" s="105">
        <v>45674</v>
      </c>
      <c r="B99" s="112" t="s">
        <v>665</v>
      </c>
      <c r="C99" s="11" t="s">
        <v>546</v>
      </c>
      <c r="D99" s="117" t="s">
        <v>666</v>
      </c>
      <c r="E99" s="289"/>
      <c r="F99" s="369">
        <v>84500</v>
      </c>
    </row>
    <row r="100" spans="1:6" ht="15" x14ac:dyDescent="0.3">
      <c r="A100" s="105">
        <v>45674</v>
      </c>
      <c r="B100" s="112" t="s">
        <v>665</v>
      </c>
      <c r="C100" s="11" t="s">
        <v>546</v>
      </c>
      <c r="D100" s="117" t="s">
        <v>667</v>
      </c>
      <c r="E100" s="289"/>
      <c r="F100" s="369">
        <v>200000</v>
      </c>
    </row>
    <row r="101" spans="1:6" ht="15" x14ac:dyDescent="0.3">
      <c r="A101" s="105">
        <v>45674</v>
      </c>
      <c r="B101" s="112" t="s">
        <v>665</v>
      </c>
      <c r="C101" s="11" t="s">
        <v>546</v>
      </c>
      <c r="D101" s="117" t="s">
        <v>668</v>
      </c>
      <c r="E101" s="289"/>
      <c r="F101" s="369">
        <v>53000</v>
      </c>
    </row>
    <row r="102" spans="1:6" ht="15" x14ac:dyDescent="0.3">
      <c r="A102" s="105">
        <v>45677</v>
      </c>
      <c r="B102" s="112" t="s">
        <v>669</v>
      </c>
      <c r="C102" s="11" t="s">
        <v>546</v>
      </c>
      <c r="D102" s="117" t="s">
        <v>239</v>
      </c>
      <c r="E102" s="289"/>
      <c r="F102" s="369">
        <v>24992916.670000002</v>
      </c>
    </row>
    <row r="103" spans="1:6" ht="15" x14ac:dyDescent="0.3">
      <c r="A103" s="105">
        <v>45678</v>
      </c>
      <c r="B103" s="112" t="s">
        <v>670</v>
      </c>
      <c r="C103" s="11" t="s">
        <v>546</v>
      </c>
      <c r="D103" s="117" t="s">
        <v>671</v>
      </c>
      <c r="E103" s="289"/>
      <c r="F103" s="369">
        <v>21000</v>
      </c>
    </row>
    <row r="104" spans="1:6" ht="15" x14ac:dyDescent="0.3">
      <c r="A104" s="105">
        <v>45678</v>
      </c>
      <c r="B104" s="112" t="s">
        <v>670</v>
      </c>
      <c r="C104" s="11" t="s">
        <v>546</v>
      </c>
      <c r="D104" s="117" t="s">
        <v>672</v>
      </c>
      <c r="E104" s="289"/>
      <c r="F104" s="369">
        <v>20000</v>
      </c>
    </row>
    <row r="105" spans="1:6" ht="15" x14ac:dyDescent="0.3">
      <c r="A105" s="105">
        <v>45678</v>
      </c>
      <c r="B105" s="112" t="s">
        <v>670</v>
      </c>
      <c r="C105" s="11" t="s">
        <v>546</v>
      </c>
      <c r="D105" s="117" t="s">
        <v>673</v>
      </c>
      <c r="E105" s="289"/>
      <c r="F105" s="369">
        <v>200000</v>
      </c>
    </row>
    <row r="106" spans="1:6" ht="15" x14ac:dyDescent="0.3">
      <c r="A106" s="105">
        <v>45678</v>
      </c>
      <c r="B106" s="112" t="s">
        <v>670</v>
      </c>
      <c r="C106" s="11" t="s">
        <v>546</v>
      </c>
      <c r="D106" s="117" t="s">
        <v>674</v>
      </c>
      <c r="E106" s="289"/>
      <c r="F106" s="369">
        <v>1656049</v>
      </c>
    </row>
    <row r="107" spans="1:6" ht="15" x14ac:dyDescent="0.3">
      <c r="A107" s="105">
        <v>45678</v>
      </c>
      <c r="B107" s="112" t="s">
        <v>670</v>
      </c>
      <c r="C107" s="11" t="s">
        <v>546</v>
      </c>
      <c r="D107" s="117" t="s">
        <v>675</v>
      </c>
      <c r="E107" s="289"/>
      <c r="F107" s="369">
        <v>525000</v>
      </c>
    </row>
    <row r="108" spans="1:6" ht="15" x14ac:dyDescent="0.3">
      <c r="A108" s="105">
        <v>45678</v>
      </c>
      <c r="B108" s="112" t="s">
        <v>670</v>
      </c>
      <c r="C108" s="11" t="s">
        <v>546</v>
      </c>
      <c r="D108" s="117" t="s">
        <v>676</v>
      </c>
      <c r="E108" s="289"/>
      <c r="F108" s="369">
        <v>2801010</v>
      </c>
    </row>
    <row r="109" spans="1:6" ht="15" x14ac:dyDescent="0.3">
      <c r="A109" s="105">
        <v>45678</v>
      </c>
      <c r="B109" s="112" t="s">
        <v>670</v>
      </c>
      <c r="C109" s="11" t="s">
        <v>546</v>
      </c>
      <c r="D109" s="117" t="s">
        <v>677</v>
      </c>
      <c r="E109" s="289"/>
      <c r="F109" s="369">
        <v>3469700</v>
      </c>
    </row>
    <row r="110" spans="1:6" ht="15" x14ac:dyDescent="0.3">
      <c r="A110" s="105">
        <v>45678</v>
      </c>
      <c r="B110" s="112" t="s">
        <v>670</v>
      </c>
      <c r="C110" s="11" t="s">
        <v>546</v>
      </c>
      <c r="D110" s="117" t="s">
        <v>678</v>
      </c>
      <c r="E110" s="289"/>
      <c r="F110" s="369">
        <v>1700000</v>
      </c>
    </row>
    <row r="111" spans="1:6" ht="15" x14ac:dyDescent="0.3">
      <c r="A111" s="105">
        <v>45678</v>
      </c>
      <c r="B111" s="112" t="s">
        <v>670</v>
      </c>
      <c r="C111" s="11" t="s">
        <v>546</v>
      </c>
      <c r="D111" s="117" t="s">
        <v>679</v>
      </c>
      <c r="E111" s="289"/>
      <c r="F111" s="369">
        <v>3136950</v>
      </c>
    </row>
    <row r="112" spans="1:6" ht="15" x14ac:dyDescent="0.3">
      <c r="A112" s="105">
        <v>45678</v>
      </c>
      <c r="B112" s="112" t="s">
        <v>670</v>
      </c>
      <c r="C112" s="11" t="s">
        <v>546</v>
      </c>
      <c r="D112" s="117" t="s">
        <v>680</v>
      </c>
      <c r="E112" s="289"/>
      <c r="F112" s="369">
        <v>7550000</v>
      </c>
    </row>
    <row r="113" spans="1:6" ht="15" x14ac:dyDescent="0.3">
      <c r="A113" s="105">
        <v>45678</v>
      </c>
      <c r="B113" s="112" t="s">
        <v>670</v>
      </c>
      <c r="C113" s="11" t="s">
        <v>546</v>
      </c>
      <c r="D113" s="117" t="s">
        <v>681</v>
      </c>
      <c r="E113" s="289"/>
      <c r="F113" s="369">
        <v>6250000</v>
      </c>
    </row>
    <row r="114" spans="1:6" ht="15" x14ac:dyDescent="0.3">
      <c r="A114" s="105">
        <v>45678</v>
      </c>
      <c r="B114" s="112" t="s">
        <v>670</v>
      </c>
      <c r="C114" s="11" t="s">
        <v>546</v>
      </c>
      <c r="D114" s="117" t="s">
        <v>682</v>
      </c>
      <c r="E114" s="289"/>
      <c r="F114" s="369">
        <v>1100000</v>
      </c>
    </row>
    <row r="115" spans="1:6" ht="15" x14ac:dyDescent="0.3">
      <c r="A115" s="105">
        <v>45678</v>
      </c>
      <c r="B115" s="112" t="s">
        <v>670</v>
      </c>
      <c r="C115" s="11" t="s">
        <v>546</v>
      </c>
      <c r="D115" s="117" t="s">
        <v>683</v>
      </c>
      <c r="E115" s="289"/>
      <c r="F115" s="369">
        <v>6150000</v>
      </c>
    </row>
    <row r="116" spans="1:6" ht="15" x14ac:dyDescent="0.3">
      <c r="A116" s="105">
        <v>45681</v>
      </c>
      <c r="B116" s="112" t="s">
        <v>684</v>
      </c>
      <c r="C116" s="11" t="s">
        <v>546</v>
      </c>
      <c r="D116" s="117" t="s">
        <v>685</v>
      </c>
      <c r="E116" s="289"/>
      <c r="F116" s="370">
        <v>42000</v>
      </c>
    </row>
    <row r="117" spans="1:6" ht="15" x14ac:dyDescent="0.3">
      <c r="A117" s="105">
        <v>45681</v>
      </c>
      <c r="B117" s="112" t="s">
        <v>686</v>
      </c>
      <c r="C117" s="11" t="s">
        <v>546</v>
      </c>
      <c r="D117" s="117" t="s">
        <v>687</v>
      </c>
      <c r="E117" s="289"/>
      <c r="F117" s="369">
        <v>5308000</v>
      </c>
    </row>
    <row r="118" spans="1:6" ht="15" x14ac:dyDescent="0.3">
      <c r="A118" s="105">
        <v>45681</v>
      </c>
      <c r="B118" s="112" t="s">
        <v>686</v>
      </c>
      <c r="C118" s="11" t="s">
        <v>546</v>
      </c>
      <c r="D118" s="117" t="s">
        <v>688</v>
      </c>
      <c r="E118" s="289"/>
      <c r="F118" s="369">
        <v>583880</v>
      </c>
    </row>
    <row r="119" spans="1:6" ht="15" x14ac:dyDescent="0.3">
      <c r="A119" s="105">
        <v>45681</v>
      </c>
      <c r="B119" s="112" t="s">
        <v>686</v>
      </c>
      <c r="C119" s="11" t="s">
        <v>546</v>
      </c>
      <c r="D119" s="117" t="s">
        <v>689</v>
      </c>
      <c r="E119" s="289"/>
      <c r="F119" s="369">
        <v>2500</v>
      </c>
    </row>
    <row r="120" spans="1:6" ht="15" x14ac:dyDescent="0.3">
      <c r="A120" s="105">
        <v>45687</v>
      </c>
      <c r="B120" s="112" t="s">
        <v>690</v>
      </c>
      <c r="C120" s="11" t="s">
        <v>546</v>
      </c>
      <c r="D120" s="117" t="s">
        <v>691</v>
      </c>
      <c r="E120" s="289"/>
      <c r="F120" s="369">
        <v>7311811</v>
      </c>
    </row>
    <row r="121" spans="1:6" ht="15" x14ac:dyDescent="0.3">
      <c r="A121" s="105">
        <v>45687</v>
      </c>
      <c r="B121" s="112" t="s">
        <v>690</v>
      </c>
      <c r="C121" s="11" t="s">
        <v>546</v>
      </c>
      <c r="D121" s="117" t="s">
        <v>692</v>
      </c>
      <c r="E121" s="289"/>
      <c r="F121" s="369">
        <v>804299</v>
      </c>
    </row>
    <row r="122" spans="1:6" ht="15" x14ac:dyDescent="0.3">
      <c r="A122" s="105">
        <v>45687</v>
      </c>
      <c r="B122" s="112" t="s">
        <v>690</v>
      </c>
      <c r="C122" s="11" t="s">
        <v>546</v>
      </c>
      <c r="D122" s="117" t="s">
        <v>105</v>
      </c>
      <c r="E122" s="289"/>
      <c r="F122" s="369">
        <v>2900</v>
      </c>
    </row>
    <row r="123" spans="1:6" ht="15" x14ac:dyDescent="0.3">
      <c r="A123" s="105">
        <v>45691</v>
      </c>
      <c r="B123" s="112" t="s">
        <v>693</v>
      </c>
      <c r="C123" s="11" t="s">
        <v>546</v>
      </c>
      <c r="D123" s="117" t="s">
        <v>694</v>
      </c>
      <c r="E123" s="289"/>
      <c r="F123" s="369">
        <v>81000</v>
      </c>
    </row>
    <row r="124" spans="1:6" ht="15" x14ac:dyDescent="0.3">
      <c r="A124" s="105">
        <v>45695</v>
      </c>
      <c r="B124" s="112" t="s">
        <v>695</v>
      </c>
      <c r="C124" s="11" t="s">
        <v>546</v>
      </c>
      <c r="D124" s="118" t="s">
        <v>696</v>
      </c>
      <c r="E124" s="289"/>
      <c r="F124" s="369">
        <v>1046500</v>
      </c>
    </row>
    <row r="125" spans="1:6" ht="15" x14ac:dyDescent="0.3">
      <c r="A125" s="105">
        <v>45702</v>
      </c>
      <c r="B125" s="112" t="s">
        <v>247</v>
      </c>
      <c r="C125" s="15" t="s">
        <v>546</v>
      </c>
      <c r="D125" s="119" t="s">
        <v>697</v>
      </c>
      <c r="E125" s="289"/>
      <c r="F125" s="369">
        <v>40000</v>
      </c>
    </row>
    <row r="126" spans="1:6" ht="15" x14ac:dyDescent="0.3">
      <c r="A126" s="105">
        <v>45702</v>
      </c>
      <c r="B126" s="112" t="s">
        <v>698</v>
      </c>
      <c r="C126" s="15" t="s">
        <v>546</v>
      </c>
      <c r="D126" s="119" t="s">
        <v>699</v>
      </c>
      <c r="E126" s="289"/>
      <c r="F126" s="369">
        <v>17060893</v>
      </c>
    </row>
    <row r="127" spans="1:6" ht="15" x14ac:dyDescent="0.3">
      <c r="A127" s="105">
        <v>45702</v>
      </c>
      <c r="B127" s="112" t="s">
        <v>698</v>
      </c>
      <c r="C127" s="15" t="s">
        <v>546</v>
      </c>
      <c r="D127" s="119" t="s">
        <v>700</v>
      </c>
      <c r="E127" s="289"/>
      <c r="F127" s="369">
        <v>1876698</v>
      </c>
    </row>
    <row r="128" spans="1:6" ht="15" x14ac:dyDescent="0.3">
      <c r="A128" s="105">
        <v>45702</v>
      </c>
      <c r="B128" s="112" t="s">
        <v>698</v>
      </c>
      <c r="C128" s="15" t="s">
        <v>546</v>
      </c>
      <c r="D128" s="119" t="s">
        <v>701</v>
      </c>
      <c r="E128" s="289"/>
      <c r="F128" s="369">
        <v>2900</v>
      </c>
    </row>
    <row r="129" spans="1:6" ht="15" x14ac:dyDescent="0.3">
      <c r="A129" s="105">
        <v>45707</v>
      </c>
      <c r="B129" s="112" t="s">
        <v>702</v>
      </c>
      <c r="C129" s="11" t="s">
        <v>546</v>
      </c>
      <c r="D129" s="117" t="s">
        <v>82</v>
      </c>
      <c r="E129" s="289"/>
      <c r="F129" s="369">
        <v>24992916.670000002</v>
      </c>
    </row>
    <row r="130" spans="1:6" ht="15" x14ac:dyDescent="0.3">
      <c r="A130" s="105">
        <v>45708</v>
      </c>
      <c r="B130" s="112" t="s">
        <v>703</v>
      </c>
      <c r="C130" s="15" t="s">
        <v>546</v>
      </c>
      <c r="D130" s="118" t="s">
        <v>704</v>
      </c>
      <c r="E130" s="289"/>
      <c r="F130" s="369">
        <v>5337000</v>
      </c>
    </row>
    <row r="131" spans="1:6" ht="15" x14ac:dyDescent="0.3">
      <c r="A131" s="105">
        <v>45708</v>
      </c>
      <c r="B131" s="112" t="s">
        <v>703</v>
      </c>
      <c r="C131" s="15" t="s">
        <v>546</v>
      </c>
      <c r="D131" s="118" t="s">
        <v>705</v>
      </c>
      <c r="E131" s="289"/>
      <c r="F131" s="369">
        <v>587070</v>
      </c>
    </row>
    <row r="132" spans="1:6" ht="15" x14ac:dyDescent="0.3">
      <c r="A132" s="105">
        <v>45708</v>
      </c>
      <c r="B132" s="112" t="s">
        <v>703</v>
      </c>
      <c r="C132" s="15" t="s">
        <v>546</v>
      </c>
      <c r="D132" s="118" t="s">
        <v>105</v>
      </c>
      <c r="E132" s="289"/>
      <c r="F132" s="369">
        <v>2900</v>
      </c>
    </row>
    <row r="133" spans="1:6" ht="15" x14ac:dyDescent="0.3">
      <c r="A133" s="105">
        <v>45709</v>
      </c>
      <c r="B133" s="112" t="s">
        <v>706</v>
      </c>
      <c r="C133" s="15" t="s">
        <v>546</v>
      </c>
      <c r="D133" s="118" t="s">
        <v>707</v>
      </c>
      <c r="E133" s="289"/>
      <c r="F133" s="371">
        <v>1203717</v>
      </c>
    </row>
    <row r="134" spans="1:6" ht="15" x14ac:dyDescent="0.3">
      <c r="A134" s="105">
        <v>45709</v>
      </c>
      <c r="B134" s="112" t="s">
        <v>262</v>
      </c>
      <c r="C134" s="15" t="s">
        <v>546</v>
      </c>
      <c r="D134" s="123" t="s">
        <v>708</v>
      </c>
      <c r="E134" s="289"/>
      <c r="F134" s="371">
        <v>40000</v>
      </c>
    </row>
    <row r="135" spans="1:6" ht="15" x14ac:dyDescent="0.3">
      <c r="A135" s="105">
        <v>45709</v>
      </c>
      <c r="B135" s="112" t="s">
        <v>709</v>
      </c>
      <c r="C135" s="15" t="s">
        <v>546</v>
      </c>
      <c r="D135" s="118" t="s">
        <v>710</v>
      </c>
      <c r="E135" s="289"/>
      <c r="F135" s="369">
        <v>235100</v>
      </c>
    </row>
    <row r="136" spans="1:6" ht="15" x14ac:dyDescent="0.3">
      <c r="A136" s="105">
        <v>45714</v>
      </c>
      <c r="B136" s="112" t="s">
        <v>711</v>
      </c>
      <c r="C136" s="15" t="s">
        <v>546</v>
      </c>
      <c r="D136" s="118" t="s">
        <v>712</v>
      </c>
      <c r="E136" s="289"/>
      <c r="F136" s="369">
        <v>3000000</v>
      </c>
    </row>
    <row r="137" spans="1:6" ht="15" x14ac:dyDescent="0.3">
      <c r="A137" s="105">
        <v>45714</v>
      </c>
      <c r="B137" s="112" t="s">
        <v>713</v>
      </c>
      <c r="C137" s="11" t="s">
        <v>546</v>
      </c>
      <c r="D137" s="124" t="s">
        <v>714</v>
      </c>
      <c r="E137" s="289"/>
      <c r="F137" s="371">
        <v>78000</v>
      </c>
    </row>
    <row r="138" spans="1:6" ht="15" x14ac:dyDescent="0.3">
      <c r="A138" s="105">
        <v>45714</v>
      </c>
      <c r="B138" s="112" t="s">
        <v>713</v>
      </c>
      <c r="C138" s="11" t="s">
        <v>546</v>
      </c>
      <c r="D138" s="124" t="s">
        <v>715</v>
      </c>
      <c r="E138" s="289"/>
      <c r="F138" s="371">
        <v>4400000</v>
      </c>
    </row>
    <row r="139" spans="1:6" ht="15" x14ac:dyDescent="0.3">
      <c r="A139" s="105">
        <v>45716</v>
      </c>
      <c r="B139" s="112" t="s">
        <v>716</v>
      </c>
      <c r="C139" s="15" t="s">
        <v>546</v>
      </c>
      <c r="D139" s="118" t="s">
        <v>717</v>
      </c>
      <c r="E139" s="289"/>
      <c r="F139" s="371">
        <v>700000</v>
      </c>
    </row>
    <row r="140" spans="1:6" ht="15" x14ac:dyDescent="0.3">
      <c r="A140" s="105">
        <v>45716</v>
      </c>
      <c r="B140" s="112" t="s">
        <v>716</v>
      </c>
      <c r="C140" s="15" t="s">
        <v>546</v>
      </c>
      <c r="D140" s="118" t="s">
        <v>718</v>
      </c>
      <c r="E140" s="289"/>
      <c r="F140" s="371">
        <v>386795</v>
      </c>
    </row>
    <row r="141" spans="1:6" ht="15" x14ac:dyDescent="0.3">
      <c r="A141" s="105">
        <v>45716</v>
      </c>
      <c r="B141" s="112" t="s">
        <v>716</v>
      </c>
      <c r="C141" s="15" t="s">
        <v>546</v>
      </c>
      <c r="D141" s="118" t="s">
        <v>719</v>
      </c>
      <c r="E141" s="289"/>
      <c r="F141" s="371">
        <v>1800000</v>
      </c>
    </row>
    <row r="142" spans="1:6" ht="15" x14ac:dyDescent="0.3">
      <c r="A142" s="105">
        <v>45716</v>
      </c>
      <c r="B142" s="112" t="s">
        <v>716</v>
      </c>
      <c r="C142" s="15" t="s">
        <v>546</v>
      </c>
      <c r="D142" s="118" t="s">
        <v>720</v>
      </c>
      <c r="E142" s="289"/>
      <c r="F142" s="371">
        <v>1800000</v>
      </c>
    </row>
    <row r="143" spans="1:6" ht="15" x14ac:dyDescent="0.3">
      <c r="A143" s="105">
        <v>45722</v>
      </c>
      <c r="B143" s="112" t="s">
        <v>721</v>
      </c>
      <c r="C143" s="15" t="s">
        <v>546</v>
      </c>
      <c r="D143" s="118" t="s">
        <v>722</v>
      </c>
      <c r="E143" s="289"/>
      <c r="F143" s="371">
        <v>5337000</v>
      </c>
    </row>
    <row r="144" spans="1:6" ht="15" x14ac:dyDescent="0.3">
      <c r="A144" s="105">
        <v>45722</v>
      </c>
      <c r="B144" s="112" t="s">
        <v>721</v>
      </c>
      <c r="C144" s="15" t="s">
        <v>546</v>
      </c>
      <c r="D144" s="118" t="s">
        <v>723</v>
      </c>
      <c r="E144" s="289"/>
      <c r="F144" s="371">
        <v>587070</v>
      </c>
    </row>
    <row r="145" spans="1:6" ht="15" x14ac:dyDescent="0.3">
      <c r="A145" s="105">
        <v>45722</v>
      </c>
      <c r="B145" s="112" t="s">
        <v>721</v>
      </c>
      <c r="C145" s="15" t="s">
        <v>546</v>
      </c>
      <c r="D145" s="118" t="s">
        <v>724</v>
      </c>
      <c r="E145" s="289"/>
      <c r="F145" s="371">
        <v>2900</v>
      </c>
    </row>
    <row r="146" spans="1:6" ht="15" x14ac:dyDescent="0.3">
      <c r="A146" s="105">
        <v>45723</v>
      </c>
      <c r="B146" s="112" t="s">
        <v>271</v>
      </c>
      <c r="C146" s="11" t="s">
        <v>546</v>
      </c>
      <c r="D146" s="117" t="s">
        <v>102</v>
      </c>
      <c r="E146" s="289"/>
      <c r="F146" s="369">
        <v>20000</v>
      </c>
    </row>
    <row r="147" spans="1:6" ht="15" x14ac:dyDescent="0.3">
      <c r="A147" s="105">
        <v>45723</v>
      </c>
      <c r="B147" s="112" t="s">
        <v>273</v>
      </c>
      <c r="C147" s="116" t="s">
        <v>546</v>
      </c>
      <c r="D147" s="125" t="s">
        <v>725</v>
      </c>
      <c r="E147" s="289"/>
      <c r="F147" s="371">
        <v>700000</v>
      </c>
    </row>
    <row r="148" spans="1:6" ht="15" x14ac:dyDescent="0.3">
      <c r="A148" s="105">
        <v>45727</v>
      </c>
      <c r="B148" s="112" t="s">
        <v>726</v>
      </c>
      <c r="C148" s="11" t="s">
        <v>546</v>
      </c>
      <c r="D148" s="117" t="s">
        <v>727</v>
      </c>
      <c r="E148" s="289">
        <v>5924070</v>
      </c>
      <c r="F148" s="369"/>
    </row>
    <row r="149" spans="1:6" ht="15" x14ac:dyDescent="0.3">
      <c r="A149" s="105">
        <v>45735</v>
      </c>
      <c r="B149" s="112" t="s">
        <v>728</v>
      </c>
      <c r="C149" s="15" t="s">
        <v>546</v>
      </c>
      <c r="D149" s="118" t="s">
        <v>729</v>
      </c>
      <c r="E149" s="289"/>
      <c r="F149" s="369">
        <v>17090000</v>
      </c>
    </row>
    <row r="150" spans="1:6" ht="15" x14ac:dyDescent="0.3">
      <c r="A150" s="105">
        <v>45735</v>
      </c>
      <c r="B150" s="112" t="s">
        <v>728</v>
      </c>
      <c r="C150" s="15" t="s">
        <v>546</v>
      </c>
      <c r="D150" s="118" t="s">
        <v>730</v>
      </c>
      <c r="E150" s="289"/>
      <c r="F150" s="369">
        <v>1879900</v>
      </c>
    </row>
    <row r="151" spans="1:6" ht="15" x14ac:dyDescent="0.3">
      <c r="A151" s="105">
        <v>45735</v>
      </c>
      <c r="B151" s="112" t="s">
        <v>728</v>
      </c>
      <c r="C151" s="15" t="s">
        <v>546</v>
      </c>
      <c r="D151" s="118" t="s">
        <v>731</v>
      </c>
      <c r="E151" s="289"/>
      <c r="F151" s="369">
        <v>2900</v>
      </c>
    </row>
    <row r="152" spans="1:6" ht="15" x14ac:dyDescent="0.3">
      <c r="A152" s="108">
        <v>45735</v>
      </c>
      <c r="B152" s="113" t="s">
        <v>732</v>
      </c>
      <c r="C152" s="15" t="s">
        <v>546</v>
      </c>
      <c r="D152" s="118" t="s">
        <v>733</v>
      </c>
      <c r="E152" s="285"/>
      <c r="F152" s="373">
        <v>24900000</v>
      </c>
    </row>
    <row r="153" spans="1:6" ht="15" x14ac:dyDescent="0.3">
      <c r="A153" s="108">
        <v>45735</v>
      </c>
      <c r="B153" s="113" t="s">
        <v>732</v>
      </c>
      <c r="C153" s="15" t="s">
        <v>546</v>
      </c>
      <c r="D153" s="118" t="s">
        <v>734</v>
      </c>
      <c r="E153" s="285"/>
      <c r="F153" s="373">
        <v>2988000</v>
      </c>
    </row>
    <row r="154" spans="1:6" ht="15" x14ac:dyDescent="0.3">
      <c r="A154" s="108">
        <v>45735</v>
      </c>
      <c r="B154" s="113" t="s">
        <v>732</v>
      </c>
      <c r="C154" s="15" t="s">
        <v>546</v>
      </c>
      <c r="D154" s="118" t="s">
        <v>735</v>
      </c>
      <c r="E154" s="289"/>
      <c r="F154" s="369">
        <v>-498000</v>
      </c>
    </row>
    <row r="155" spans="1:6" ht="15" x14ac:dyDescent="0.3">
      <c r="A155" s="108">
        <v>45735</v>
      </c>
      <c r="B155" s="113" t="s">
        <v>732</v>
      </c>
      <c r="C155" s="15" t="s">
        <v>546</v>
      </c>
      <c r="D155" s="118" t="s">
        <v>736</v>
      </c>
      <c r="E155" s="289"/>
      <c r="F155" s="369">
        <v>2900</v>
      </c>
    </row>
    <row r="156" spans="1:6" ht="15" x14ac:dyDescent="0.3">
      <c r="A156" s="105">
        <v>45743</v>
      </c>
      <c r="B156" s="112" t="s">
        <v>284</v>
      </c>
      <c r="C156" s="15" t="s">
        <v>546</v>
      </c>
      <c r="D156" s="118" t="s">
        <v>24</v>
      </c>
      <c r="E156" s="374"/>
      <c r="F156" s="371">
        <v>187500</v>
      </c>
    </row>
    <row r="157" spans="1:6" ht="15" x14ac:dyDescent="0.3">
      <c r="A157" s="105">
        <v>45743</v>
      </c>
      <c r="B157" s="112" t="s">
        <v>284</v>
      </c>
      <c r="C157" s="15" t="s">
        <v>546</v>
      </c>
      <c r="D157" s="118" t="s">
        <v>25</v>
      </c>
      <c r="E157" s="374"/>
      <c r="F157" s="371">
        <v>300016</v>
      </c>
    </row>
    <row r="158" spans="1:6" ht="15" x14ac:dyDescent="0.3">
      <c r="A158" s="105">
        <v>45743</v>
      </c>
      <c r="B158" s="112" t="s">
        <v>284</v>
      </c>
      <c r="C158" s="15" t="s">
        <v>546</v>
      </c>
      <c r="D158" s="118" t="s">
        <v>737</v>
      </c>
      <c r="E158" s="374"/>
      <c r="F158" s="371">
        <v>9000</v>
      </c>
    </row>
    <row r="159" spans="1:6" ht="15" x14ac:dyDescent="0.3">
      <c r="A159" s="105">
        <v>45743</v>
      </c>
      <c r="B159" s="112" t="s">
        <v>284</v>
      </c>
      <c r="C159" s="15" t="s">
        <v>546</v>
      </c>
      <c r="D159" s="118" t="s">
        <v>738</v>
      </c>
      <c r="E159" s="374"/>
      <c r="F159" s="371">
        <v>70000</v>
      </c>
    </row>
    <row r="160" spans="1:6" ht="15" x14ac:dyDescent="0.3">
      <c r="A160" s="105">
        <v>45764</v>
      </c>
      <c r="B160" s="112" t="s">
        <v>318</v>
      </c>
      <c r="C160" s="11" t="s">
        <v>546</v>
      </c>
      <c r="D160" s="117" t="s">
        <v>82</v>
      </c>
      <c r="E160" s="289"/>
      <c r="F160" s="370">
        <v>24992916.670000002</v>
      </c>
    </row>
    <row r="161" spans="1:6" ht="15" x14ac:dyDescent="0.3">
      <c r="A161" s="105">
        <v>45770</v>
      </c>
      <c r="B161" s="112" t="s">
        <v>325</v>
      </c>
      <c r="C161" s="11" t="s">
        <v>546</v>
      </c>
      <c r="D161" s="121" t="s">
        <v>739</v>
      </c>
      <c r="E161" s="289"/>
      <c r="F161" s="370">
        <v>2268700</v>
      </c>
    </row>
    <row r="162" spans="1:6" ht="15" x14ac:dyDescent="0.3">
      <c r="A162" s="105">
        <v>45770</v>
      </c>
      <c r="B162" s="112" t="s">
        <v>325</v>
      </c>
      <c r="C162" s="11" t="s">
        <v>546</v>
      </c>
      <c r="D162" s="121" t="s">
        <v>740</v>
      </c>
      <c r="E162" s="289"/>
      <c r="F162" s="370">
        <v>927952</v>
      </c>
    </row>
    <row r="163" spans="1:6" ht="15" x14ac:dyDescent="0.3">
      <c r="A163" s="105">
        <v>45772</v>
      </c>
      <c r="B163" s="112" t="s">
        <v>350</v>
      </c>
      <c r="C163" s="15" t="s">
        <v>546</v>
      </c>
      <c r="D163" s="118" t="s">
        <v>741</v>
      </c>
      <c r="E163" s="289"/>
      <c r="F163" s="371">
        <v>30000</v>
      </c>
    </row>
    <row r="164" spans="1:6" ht="15" x14ac:dyDescent="0.3">
      <c r="A164" s="105">
        <v>45772</v>
      </c>
      <c r="B164" s="112" t="s">
        <v>350</v>
      </c>
      <c r="C164" s="15" t="s">
        <v>546</v>
      </c>
      <c r="D164" s="118" t="s">
        <v>742</v>
      </c>
      <c r="E164" s="289"/>
      <c r="F164" s="371">
        <v>15000</v>
      </c>
    </row>
    <row r="165" spans="1:6" ht="15" x14ac:dyDescent="0.3">
      <c r="A165" s="105">
        <v>45772</v>
      </c>
      <c r="B165" s="112" t="s">
        <v>350</v>
      </c>
      <c r="C165" s="15" t="s">
        <v>546</v>
      </c>
      <c r="D165" s="118" t="s">
        <v>743</v>
      </c>
      <c r="E165" s="289"/>
      <c r="F165" s="371">
        <v>150000</v>
      </c>
    </row>
    <row r="166" spans="1:6" ht="15" x14ac:dyDescent="0.3">
      <c r="A166" s="105">
        <v>45772</v>
      </c>
      <c r="B166" s="112" t="s">
        <v>350</v>
      </c>
      <c r="C166" s="15" t="s">
        <v>546</v>
      </c>
      <c r="D166" s="118" t="s">
        <v>744</v>
      </c>
      <c r="E166" s="289"/>
      <c r="F166" s="371">
        <v>140500</v>
      </c>
    </row>
    <row r="167" spans="1:6" ht="15" x14ac:dyDescent="0.3">
      <c r="A167" s="105">
        <v>45772</v>
      </c>
      <c r="B167" s="112" t="s">
        <v>350</v>
      </c>
      <c r="C167" s="15" t="s">
        <v>546</v>
      </c>
      <c r="D167" s="118" t="s">
        <v>745</v>
      </c>
      <c r="E167" s="289"/>
      <c r="F167" s="371">
        <v>802400</v>
      </c>
    </row>
    <row r="168" spans="1:6" ht="15" x14ac:dyDescent="0.3">
      <c r="A168" s="105">
        <v>45772</v>
      </c>
      <c r="B168" s="112" t="s">
        <v>350</v>
      </c>
      <c r="C168" s="15" t="s">
        <v>546</v>
      </c>
      <c r="D168" s="118" t="s">
        <v>746</v>
      </c>
      <c r="E168" s="289"/>
      <c r="F168" s="371">
        <v>6565000</v>
      </c>
    </row>
    <row r="169" spans="1:6" ht="15" x14ac:dyDescent="0.3">
      <c r="A169" s="105">
        <v>45772</v>
      </c>
      <c r="B169" s="112" t="s">
        <v>350</v>
      </c>
      <c r="C169" s="15" t="s">
        <v>546</v>
      </c>
      <c r="D169" s="118" t="s">
        <v>295</v>
      </c>
      <c r="E169" s="289"/>
      <c r="F169" s="371">
        <v>2500</v>
      </c>
    </row>
    <row r="170" spans="1:6" ht="15" x14ac:dyDescent="0.3">
      <c r="A170" s="105">
        <v>45772</v>
      </c>
      <c r="B170" s="112" t="s">
        <v>350</v>
      </c>
      <c r="C170" s="15" t="s">
        <v>546</v>
      </c>
      <c r="D170" s="118" t="s">
        <v>747</v>
      </c>
      <c r="E170" s="289"/>
      <c r="F170" s="371">
        <v>194000</v>
      </c>
    </row>
    <row r="171" spans="1:6" ht="15" x14ac:dyDescent="0.3">
      <c r="A171" s="105">
        <v>45772</v>
      </c>
      <c r="B171" s="112" t="s">
        <v>748</v>
      </c>
      <c r="C171" s="11" t="s">
        <v>546</v>
      </c>
      <c r="D171" s="118" t="s">
        <v>749</v>
      </c>
      <c r="E171" s="289"/>
      <c r="F171" s="370">
        <v>465700</v>
      </c>
    </row>
    <row r="172" spans="1:6" ht="15" x14ac:dyDescent="0.3">
      <c r="A172" s="105">
        <v>45772</v>
      </c>
      <c r="B172" s="112" t="s">
        <v>748</v>
      </c>
      <c r="C172" s="11" t="s">
        <v>546</v>
      </c>
      <c r="D172" s="118" t="s">
        <v>750</v>
      </c>
      <c r="E172" s="289"/>
      <c r="F172" s="370">
        <v>35700</v>
      </c>
    </row>
    <row r="173" spans="1:6" ht="15" x14ac:dyDescent="0.3">
      <c r="A173" s="105">
        <v>45772</v>
      </c>
      <c r="B173" s="112" t="s">
        <v>751</v>
      </c>
      <c r="C173" s="11" t="s">
        <v>546</v>
      </c>
      <c r="D173" s="118" t="s">
        <v>752</v>
      </c>
      <c r="E173" s="289"/>
      <c r="F173" s="370">
        <v>84000</v>
      </c>
    </row>
    <row r="174" spans="1:6" ht="15" x14ac:dyDescent="0.3">
      <c r="A174" s="105">
        <v>45775</v>
      </c>
      <c r="B174" s="112" t="s">
        <v>388</v>
      </c>
      <c r="C174" s="11" t="s">
        <v>546</v>
      </c>
      <c r="D174" s="117" t="s">
        <v>753</v>
      </c>
      <c r="E174" s="289"/>
      <c r="F174" s="370">
        <v>100000</v>
      </c>
    </row>
    <row r="175" spans="1:6" ht="15" x14ac:dyDescent="0.3">
      <c r="A175" s="105">
        <v>45775</v>
      </c>
      <c r="B175" s="112" t="s">
        <v>388</v>
      </c>
      <c r="C175" s="11" t="s">
        <v>546</v>
      </c>
      <c r="D175" s="117" t="s">
        <v>743</v>
      </c>
      <c r="E175" s="289"/>
      <c r="F175" s="370">
        <v>100000</v>
      </c>
    </row>
    <row r="176" spans="1:6" ht="15" x14ac:dyDescent="0.3">
      <c r="A176" s="105">
        <v>45775</v>
      </c>
      <c r="B176" s="112" t="s">
        <v>388</v>
      </c>
      <c r="C176" s="11" t="s">
        <v>546</v>
      </c>
      <c r="D176" s="117" t="s">
        <v>754</v>
      </c>
      <c r="E176" s="289"/>
      <c r="F176" s="370">
        <v>859700</v>
      </c>
    </row>
    <row r="177" spans="1:6" ht="15" x14ac:dyDescent="0.3">
      <c r="A177" s="105">
        <v>45775</v>
      </c>
      <c r="B177" s="112" t="s">
        <v>388</v>
      </c>
      <c r="C177" s="11" t="s">
        <v>546</v>
      </c>
      <c r="D177" s="117" t="s">
        <v>755</v>
      </c>
      <c r="E177" s="289"/>
      <c r="F177" s="370">
        <v>1075000</v>
      </c>
    </row>
    <row r="178" spans="1:6" ht="15" x14ac:dyDescent="0.3">
      <c r="A178" s="105">
        <v>45775</v>
      </c>
      <c r="B178" s="112" t="s">
        <v>388</v>
      </c>
      <c r="C178" s="11" t="s">
        <v>546</v>
      </c>
      <c r="D178" s="117" t="s">
        <v>756</v>
      </c>
      <c r="E178" s="289"/>
      <c r="F178" s="370">
        <v>118250</v>
      </c>
    </row>
    <row r="179" spans="1:6" ht="15" x14ac:dyDescent="0.3">
      <c r="A179" s="105">
        <v>45775</v>
      </c>
      <c r="B179" s="112" t="s">
        <v>388</v>
      </c>
      <c r="C179" s="11" t="s">
        <v>546</v>
      </c>
      <c r="D179" s="117" t="s">
        <v>757</v>
      </c>
      <c r="E179" s="289"/>
      <c r="F179" s="370">
        <v>-21500</v>
      </c>
    </row>
    <row r="180" spans="1:6" ht="15" x14ac:dyDescent="0.3">
      <c r="A180" s="105">
        <v>45775</v>
      </c>
      <c r="B180" s="112" t="s">
        <v>388</v>
      </c>
      <c r="C180" s="11" t="s">
        <v>546</v>
      </c>
      <c r="D180" s="117" t="s">
        <v>275</v>
      </c>
      <c r="E180" s="289"/>
      <c r="F180" s="370">
        <v>2500</v>
      </c>
    </row>
    <row r="181" spans="1:6" ht="15" x14ac:dyDescent="0.3">
      <c r="A181" s="105">
        <v>45775</v>
      </c>
      <c r="B181" s="112" t="s">
        <v>388</v>
      </c>
      <c r="C181" s="11" t="s">
        <v>546</v>
      </c>
      <c r="D181" s="117" t="s">
        <v>754</v>
      </c>
      <c r="E181" s="289"/>
      <c r="F181" s="370">
        <v>1479711</v>
      </c>
    </row>
    <row r="182" spans="1:6" ht="15" x14ac:dyDescent="0.3">
      <c r="A182" s="105">
        <v>45775</v>
      </c>
      <c r="B182" s="112" t="s">
        <v>388</v>
      </c>
      <c r="C182" s="11" t="s">
        <v>546</v>
      </c>
      <c r="D182" s="117" t="s">
        <v>758</v>
      </c>
      <c r="E182" s="289"/>
      <c r="F182" s="370">
        <v>18000</v>
      </c>
    </row>
    <row r="183" spans="1:6" ht="15" x14ac:dyDescent="0.3">
      <c r="A183" s="105">
        <v>45775</v>
      </c>
      <c r="B183" s="112" t="s">
        <v>388</v>
      </c>
      <c r="C183" s="11" t="s">
        <v>546</v>
      </c>
      <c r="D183" s="117" t="s">
        <v>743</v>
      </c>
      <c r="E183" s="289"/>
      <c r="F183" s="370">
        <v>150000</v>
      </c>
    </row>
    <row r="184" spans="1:6" ht="15" x14ac:dyDescent="0.3">
      <c r="A184" s="105">
        <v>45775</v>
      </c>
      <c r="B184" s="112" t="s">
        <v>388</v>
      </c>
      <c r="C184" s="11" t="s">
        <v>546</v>
      </c>
      <c r="D184" s="117" t="s">
        <v>754</v>
      </c>
      <c r="E184" s="289"/>
      <c r="F184" s="370">
        <v>988900</v>
      </c>
    </row>
    <row r="185" spans="1:6" ht="15" x14ac:dyDescent="0.3">
      <c r="A185" s="105">
        <v>45775</v>
      </c>
      <c r="B185" s="112" t="s">
        <v>388</v>
      </c>
      <c r="C185" s="11" t="s">
        <v>546</v>
      </c>
      <c r="D185" s="117" t="s">
        <v>759</v>
      </c>
      <c r="E185" s="289"/>
      <c r="F185" s="370">
        <v>44000</v>
      </c>
    </row>
    <row r="186" spans="1:6" ht="15" x14ac:dyDescent="0.3">
      <c r="A186" s="105">
        <v>45775</v>
      </c>
      <c r="B186" s="112" t="s">
        <v>388</v>
      </c>
      <c r="C186" s="11" t="s">
        <v>546</v>
      </c>
      <c r="D186" s="117" t="s">
        <v>741</v>
      </c>
      <c r="E186" s="289"/>
      <c r="F186" s="370">
        <v>63000</v>
      </c>
    </row>
    <row r="187" spans="1:6" ht="15" x14ac:dyDescent="0.3">
      <c r="A187" s="105">
        <v>45775</v>
      </c>
      <c r="B187" s="112" t="s">
        <v>388</v>
      </c>
      <c r="C187" s="11" t="s">
        <v>546</v>
      </c>
      <c r="D187" s="117" t="s">
        <v>760</v>
      </c>
      <c r="E187" s="289"/>
      <c r="F187" s="370">
        <v>52000</v>
      </c>
    </row>
    <row r="188" spans="1:6" ht="15" x14ac:dyDescent="0.3">
      <c r="A188" s="105">
        <v>45775</v>
      </c>
      <c r="B188" s="112" t="s">
        <v>388</v>
      </c>
      <c r="C188" s="11" t="s">
        <v>546</v>
      </c>
      <c r="D188" s="117" t="s">
        <v>761</v>
      </c>
      <c r="E188" s="289"/>
      <c r="F188" s="370">
        <v>209500</v>
      </c>
    </row>
    <row r="189" spans="1:6" ht="15" x14ac:dyDescent="0.3">
      <c r="A189" s="105">
        <v>45779</v>
      </c>
      <c r="B189" s="112" t="s">
        <v>401</v>
      </c>
      <c r="C189" s="11" t="s">
        <v>546</v>
      </c>
      <c r="D189" s="117" t="s">
        <v>762</v>
      </c>
      <c r="E189" s="289"/>
      <c r="F189" s="370">
        <v>40000</v>
      </c>
    </row>
    <row r="190" spans="1:6" ht="15" x14ac:dyDescent="0.3">
      <c r="A190" s="105">
        <v>45779</v>
      </c>
      <c r="B190" s="112" t="s">
        <v>415</v>
      </c>
      <c r="C190" s="11" t="s">
        <v>546</v>
      </c>
      <c r="D190" s="121" t="s">
        <v>763</v>
      </c>
      <c r="E190" s="289"/>
      <c r="F190" s="370">
        <v>6122449</v>
      </c>
    </row>
    <row r="191" spans="1:6" ht="15" x14ac:dyDescent="0.3">
      <c r="A191" s="105">
        <v>45779</v>
      </c>
      <c r="B191" s="112" t="s">
        <v>415</v>
      </c>
      <c r="C191" s="11" t="s">
        <v>546</v>
      </c>
      <c r="D191" s="121" t="s">
        <v>764</v>
      </c>
      <c r="E191" s="289"/>
      <c r="F191" s="370">
        <v>-122449</v>
      </c>
    </row>
    <row r="192" spans="1:6" ht="15" x14ac:dyDescent="0.3">
      <c r="A192" s="105">
        <v>45779</v>
      </c>
      <c r="B192" s="112" t="s">
        <v>415</v>
      </c>
      <c r="C192" s="11" t="s">
        <v>546</v>
      </c>
      <c r="D192" s="121" t="s">
        <v>275</v>
      </c>
      <c r="E192" s="289"/>
      <c r="F192" s="370">
        <v>2500</v>
      </c>
    </row>
    <row r="193" spans="1:6" ht="15" x14ac:dyDescent="0.3">
      <c r="A193" s="105">
        <v>45779</v>
      </c>
      <c r="B193" s="112" t="s">
        <v>415</v>
      </c>
      <c r="C193" s="11" t="s">
        <v>546</v>
      </c>
      <c r="D193" s="121" t="s">
        <v>765</v>
      </c>
      <c r="E193" s="289"/>
      <c r="F193" s="370">
        <v>784000</v>
      </c>
    </row>
    <row r="194" spans="1:6" ht="15" x14ac:dyDescent="0.3">
      <c r="A194" s="105">
        <v>45779</v>
      </c>
      <c r="B194" s="112" t="s">
        <v>415</v>
      </c>
      <c r="C194" s="11" t="s">
        <v>546</v>
      </c>
      <c r="D194" s="121" t="s">
        <v>766</v>
      </c>
      <c r="E194" s="289"/>
      <c r="F194" s="370">
        <v>256500</v>
      </c>
    </row>
    <row r="195" spans="1:6" ht="15" x14ac:dyDescent="0.3">
      <c r="A195" s="105">
        <v>45779</v>
      </c>
      <c r="B195" s="112" t="s">
        <v>415</v>
      </c>
      <c r="C195" s="11" t="s">
        <v>546</v>
      </c>
      <c r="D195" s="121" t="s">
        <v>767</v>
      </c>
      <c r="E195" s="289"/>
      <c r="F195" s="370">
        <v>18000</v>
      </c>
    </row>
    <row r="196" spans="1:6" ht="15" x14ac:dyDescent="0.3">
      <c r="A196" s="105">
        <v>45779</v>
      </c>
      <c r="B196" s="112" t="s">
        <v>415</v>
      </c>
      <c r="C196" s="11" t="s">
        <v>546</v>
      </c>
      <c r="D196" s="121" t="s">
        <v>768</v>
      </c>
      <c r="E196" s="289"/>
      <c r="F196" s="370">
        <v>352500</v>
      </c>
    </row>
    <row r="197" spans="1:6" ht="15" x14ac:dyDescent="0.3">
      <c r="A197" s="105">
        <v>45784</v>
      </c>
      <c r="B197" s="112" t="s">
        <v>769</v>
      </c>
      <c r="C197" s="11" t="s">
        <v>546</v>
      </c>
      <c r="D197" s="359" t="s">
        <v>770</v>
      </c>
      <c r="E197" s="289"/>
      <c r="F197" s="370">
        <v>58100000</v>
      </c>
    </row>
    <row r="198" spans="1:6" ht="15" x14ac:dyDescent="0.3">
      <c r="A198" s="105">
        <v>45784</v>
      </c>
      <c r="B198" s="112" t="s">
        <v>769</v>
      </c>
      <c r="C198" s="11" t="s">
        <v>546</v>
      </c>
      <c r="D198" s="359" t="s">
        <v>771</v>
      </c>
      <c r="E198" s="289"/>
      <c r="F198" s="370">
        <v>6391000</v>
      </c>
    </row>
    <row r="199" spans="1:6" ht="15" x14ac:dyDescent="0.3">
      <c r="A199" s="105">
        <v>45784</v>
      </c>
      <c r="B199" s="112" t="s">
        <v>769</v>
      </c>
      <c r="C199" s="11" t="s">
        <v>546</v>
      </c>
      <c r="D199" s="359" t="s">
        <v>772</v>
      </c>
      <c r="E199" s="289"/>
      <c r="F199" s="370">
        <v>-1162000</v>
      </c>
    </row>
    <row r="200" spans="1:6" ht="15" x14ac:dyDescent="0.3">
      <c r="A200" s="105">
        <v>45784</v>
      </c>
      <c r="B200" s="112" t="s">
        <v>769</v>
      </c>
      <c r="C200" s="11" t="s">
        <v>546</v>
      </c>
      <c r="D200" s="359" t="s">
        <v>773</v>
      </c>
      <c r="E200" s="289"/>
      <c r="F200" s="370">
        <v>2900</v>
      </c>
    </row>
    <row r="201" spans="1:6" ht="15" x14ac:dyDescent="0.3">
      <c r="A201" s="105">
        <v>45784</v>
      </c>
      <c r="B201" s="112" t="s">
        <v>774</v>
      </c>
      <c r="C201" s="11" t="s">
        <v>546</v>
      </c>
      <c r="D201" s="121" t="s">
        <v>743</v>
      </c>
      <c r="E201" s="289"/>
      <c r="F201" s="370">
        <v>930000</v>
      </c>
    </row>
    <row r="202" spans="1:6" ht="15" x14ac:dyDescent="0.3">
      <c r="A202" s="105">
        <v>45784</v>
      </c>
      <c r="B202" s="112" t="s">
        <v>774</v>
      </c>
      <c r="C202" s="11" t="s">
        <v>546</v>
      </c>
      <c r="D202" s="121" t="s">
        <v>775</v>
      </c>
      <c r="E202" s="289"/>
      <c r="F202" s="370">
        <v>198700</v>
      </c>
    </row>
    <row r="203" spans="1:6" ht="15" x14ac:dyDescent="0.3">
      <c r="A203" s="105">
        <v>45784</v>
      </c>
      <c r="B203" s="112" t="s">
        <v>774</v>
      </c>
      <c r="C203" s="11" t="s">
        <v>546</v>
      </c>
      <c r="D203" s="121" t="s">
        <v>776</v>
      </c>
      <c r="E203" s="289"/>
      <c r="F203" s="370">
        <v>1640000</v>
      </c>
    </row>
    <row r="204" spans="1:6" ht="15" x14ac:dyDescent="0.3">
      <c r="A204" s="105">
        <v>45784</v>
      </c>
      <c r="B204" s="112" t="s">
        <v>774</v>
      </c>
      <c r="C204" s="11" t="s">
        <v>546</v>
      </c>
      <c r="D204" s="121" t="s">
        <v>275</v>
      </c>
      <c r="E204" s="289"/>
      <c r="F204" s="370">
        <v>2500</v>
      </c>
    </row>
    <row r="205" spans="1:6" ht="15" x14ac:dyDescent="0.3">
      <c r="A205" s="105">
        <v>45784</v>
      </c>
      <c r="B205" s="112" t="s">
        <v>774</v>
      </c>
      <c r="C205" s="11" t="s">
        <v>546</v>
      </c>
      <c r="D205" s="121" t="s">
        <v>777</v>
      </c>
      <c r="E205" s="289"/>
      <c r="F205" s="370">
        <v>275000</v>
      </c>
    </row>
    <row r="206" spans="1:6" ht="15" x14ac:dyDescent="0.3">
      <c r="A206" s="105">
        <v>45784</v>
      </c>
      <c r="B206" s="112" t="s">
        <v>774</v>
      </c>
      <c r="C206" s="11" t="s">
        <v>546</v>
      </c>
      <c r="D206" s="121" t="s">
        <v>759</v>
      </c>
      <c r="E206" s="289"/>
      <c r="F206" s="370">
        <v>62400</v>
      </c>
    </row>
    <row r="207" spans="1:6" ht="15" x14ac:dyDescent="0.3">
      <c r="A207" s="105">
        <v>45784</v>
      </c>
      <c r="B207" s="112" t="s">
        <v>774</v>
      </c>
      <c r="C207" s="11" t="s">
        <v>546</v>
      </c>
      <c r="D207" s="121" t="s">
        <v>741</v>
      </c>
      <c r="E207" s="289"/>
      <c r="F207" s="370">
        <v>36000</v>
      </c>
    </row>
    <row r="208" spans="1:6" ht="15" x14ac:dyDescent="0.3">
      <c r="A208" s="105">
        <v>45784</v>
      </c>
      <c r="B208" s="112" t="s">
        <v>774</v>
      </c>
      <c r="C208" s="11" t="s">
        <v>546</v>
      </c>
      <c r="D208" s="121" t="s">
        <v>778</v>
      </c>
      <c r="E208" s="289"/>
      <c r="F208" s="370">
        <v>72000</v>
      </c>
    </row>
    <row r="209" spans="1:6" ht="15" x14ac:dyDescent="0.3">
      <c r="A209" s="105">
        <v>45784</v>
      </c>
      <c r="B209" s="112" t="s">
        <v>774</v>
      </c>
      <c r="C209" s="11" t="s">
        <v>546</v>
      </c>
      <c r="D209" s="121" t="s">
        <v>779</v>
      </c>
      <c r="E209" s="289"/>
      <c r="F209" s="370">
        <v>172500</v>
      </c>
    </row>
    <row r="210" spans="1:6" ht="15" x14ac:dyDescent="0.3">
      <c r="A210" s="105">
        <v>45784</v>
      </c>
      <c r="B210" s="112" t="s">
        <v>774</v>
      </c>
      <c r="C210" s="11" t="s">
        <v>546</v>
      </c>
      <c r="D210" s="121" t="s">
        <v>780</v>
      </c>
      <c r="E210" s="289"/>
      <c r="F210" s="370">
        <v>329000</v>
      </c>
    </row>
    <row r="211" spans="1:6" ht="15" x14ac:dyDescent="0.3">
      <c r="A211" s="105">
        <v>45784</v>
      </c>
      <c r="B211" s="112" t="s">
        <v>774</v>
      </c>
      <c r="C211" s="11" t="s">
        <v>546</v>
      </c>
      <c r="D211" s="121" t="s">
        <v>781</v>
      </c>
      <c r="E211" s="289"/>
      <c r="F211" s="370">
        <v>220000</v>
      </c>
    </row>
    <row r="212" spans="1:6" ht="15" x14ac:dyDescent="0.3">
      <c r="A212" s="105">
        <v>45784</v>
      </c>
      <c r="B212" s="112" t="s">
        <v>774</v>
      </c>
      <c r="C212" s="11" t="s">
        <v>546</v>
      </c>
      <c r="D212" s="121" t="s">
        <v>782</v>
      </c>
      <c r="E212" s="289"/>
      <c r="F212" s="370">
        <v>2513070</v>
      </c>
    </row>
    <row r="213" spans="1:6" ht="15" x14ac:dyDescent="0.3">
      <c r="A213" s="105">
        <v>45784</v>
      </c>
      <c r="B213" s="112" t="s">
        <v>774</v>
      </c>
      <c r="C213" s="11" t="s">
        <v>546</v>
      </c>
      <c r="D213" s="121" t="s">
        <v>783</v>
      </c>
      <c r="E213" s="289"/>
      <c r="F213" s="370">
        <v>70000</v>
      </c>
    </row>
    <row r="214" spans="1:6" ht="15" x14ac:dyDescent="0.3">
      <c r="A214" s="105">
        <v>45784</v>
      </c>
      <c r="B214" s="112" t="s">
        <v>774</v>
      </c>
      <c r="C214" s="11" t="s">
        <v>546</v>
      </c>
      <c r="D214" s="121" t="s">
        <v>784</v>
      </c>
      <c r="E214" s="289"/>
      <c r="F214" s="370">
        <v>2500000</v>
      </c>
    </row>
    <row r="215" spans="1:6" ht="15" x14ac:dyDescent="0.3">
      <c r="A215" s="105">
        <v>45784</v>
      </c>
      <c r="B215" s="112" t="s">
        <v>774</v>
      </c>
      <c r="C215" s="11" t="s">
        <v>546</v>
      </c>
      <c r="D215" s="121" t="s">
        <v>275</v>
      </c>
      <c r="E215" s="289"/>
      <c r="F215" s="370">
        <v>2500</v>
      </c>
    </row>
    <row r="216" spans="1:6" ht="15" x14ac:dyDescent="0.3">
      <c r="A216" s="105">
        <v>45790</v>
      </c>
      <c r="B216" s="112" t="s">
        <v>432</v>
      </c>
      <c r="C216" s="11" t="s">
        <v>546</v>
      </c>
      <c r="D216" s="121" t="s">
        <v>785</v>
      </c>
      <c r="E216" s="289"/>
      <c r="F216" s="370">
        <v>16145300</v>
      </c>
    </row>
    <row r="217" spans="1:6" ht="15" x14ac:dyDescent="0.3">
      <c r="A217" s="105">
        <v>45790</v>
      </c>
      <c r="B217" s="112" t="s">
        <v>432</v>
      </c>
      <c r="C217" s="11" t="s">
        <v>546</v>
      </c>
      <c r="D217" s="121" t="s">
        <v>786</v>
      </c>
      <c r="E217" s="289"/>
      <c r="F217" s="370">
        <v>6180089</v>
      </c>
    </row>
    <row r="218" spans="1:6" ht="15" x14ac:dyDescent="0.3">
      <c r="A218" s="105">
        <v>45790</v>
      </c>
      <c r="B218" s="112" t="s">
        <v>435</v>
      </c>
      <c r="C218" s="11" t="s">
        <v>546</v>
      </c>
      <c r="D218" s="121" t="s">
        <v>787</v>
      </c>
      <c r="E218" s="289"/>
      <c r="F218" s="370">
        <v>60000</v>
      </c>
    </row>
    <row r="219" spans="1:6" ht="15" x14ac:dyDescent="0.3">
      <c r="A219" s="105">
        <v>45790</v>
      </c>
      <c r="B219" s="112" t="s">
        <v>437</v>
      </c>
      <c r="C219" s="11" t="s">
        <v>546</v>
      </c>
      <c r="D219" s="121" t="s">
        <v>744</v>
      </c>
      <c r="E219" s="289"/>
      <c r="F219" s="370">
        <v>292500</v>
      </c>
    </row>
    <row r="220" spans="1:6" ht="15" x14ac:dyDescent="0.3">
      <c r="A220" s="105">
        <v>45790</v>
      </c>
      <c r="B220" s="112" t="s">
        <v>437</v>
      </c>
      <c r="C220" s="11" t="s">
        <v>546</v>
      </c>
      <c r="D220" s="121" t="s">
        <v>741</v>
      </c>
      <c r="E220" s="289"/>
      <c r="F220" s="370">
        <v>471000</v>
      </c>
    </row>
    <row r="221" spans="1:6" ht="15" x14ac:dyDescent="0.3">
      <c r="A221" s="105">
        <v>45790</v>
      </c>
      <c r="B221" s="112" t="s">
        <v>437</v>
      </c>
      <c r="C221" s="11" t="s">
        <v>546</v>
      </c>
      <c r="D221" s="121" t="s">
        <v>788</v>
      </c>
      <c r="E221" s="289"/>
      <c r="F221" s="370">
        <v>25000</v>
      </c>
    </row>
    <row r="222" spans="1:6" ht="15" x14ac:dyDescent="0.3">
      <c r="A222" s="105">
        <v>45790</v>
      </c>
      <c r="B222" s="112" t="s">
        <v>437</v>
      </c>
      <c r="C222" s="11" t="s">
        <v>546</v>
      </c>
      <c r="D222" s="121" t="s">
        <v>782</v>
      </c>
      <c r="E222" s="289"/>
      <c r="F222" s="370">
        <v>745800</v>
      </c>
    </row>
    <row r="223" spans="1:6" ht="15" x14ac:dyDescent="0.3">
      <c r="A223" s="105">
        <v>45790</v>
      </c>
      <c r="B223" s="112" t="s">
        <v>437</v>
      </c>
      <c r="C223" s="11" t="s">
        <v>546</v>
      </c>
      <c r="D223" s="121" t="s">
        <v>789</v>
      </c>
      <c r="E223" s="289"/>
      <c r="F223" s="370">
        <v>574000</v>
      </c>
    </row>
    <row r="224" spans="1:6" ht="15" x14ac:dyDescent="0.3">
      <c r="A224" s="105">
        <v>45790</v>
      </c>
      <c r="B224" s="112" t="s">
        <v>437</v>
      </c>
      <c r="C224" s="11" t="s">
        <v>546</v>
      </c>
      <c r="D224" s="121" t="s">
        <v>275</v>
      </c>
      <c r="E224" s="289"/>
      <c r="F224" s="370">
        <v>2500</v>
      </c>
    </row>
    <row r="225" spans="1:6" ht="15" x14ac:dyDescent="0.3">
      <c r="A225" s="105">
        <v>45790</v>
      </c>
      <c r="B225" s="112" t="s">
        <v>437</v>
      </c>
      <c r="C225" s="11" t="s">
        <v>546</v>
      </c>
      <c r="D225" s="121" t="s">
        <v>790</v>
      </c>
      <c r="E225" s="289"/>
      <c r="F225" s="370">
        <v>132500</v>
      </c>
    </row>
    <row r="226" spans="1:6" ht="15" x14ac:dyDescent="0.3">
      <c r="A226" s="105">
        <v>45790</v>
      </c>
      <c r="B226" s="112" t="s">
        <v>437</v>
      </c>
      <c r="C226" s="11" t="s">
        <v>546</v>
      </c>
      <c r="D226" s="121" t="s">
        <v>791</v>
      </c>
      <c r="E226" s="289"/>
      <c r="F226" s="370">
        <v>175000</v>
      </c>
    </row>
    <row r="227" spans="1:6" ht="15" x14ac:dyDescent="0.3">
      <c r="A227" s="105">
        <v>45790</v>
      </c>
      <c r="B227" s="112" t="s">
        <v>437</v>
      </c>
      <c r="C227" s="11" t="s">
        <v>546</v>
      </c>
      <c r="D227" s="121" t="s">
        <v>744</v>
      </c>
      <c r="E227" s="289"/>
      <c r="F227" s="370">
        <v>235500</v>
      </c>
    </row>
    <row r="228" spans="1:6" ht="15" x14ac:dyDescent="0.3">
      <c r="A228" s="105">
        <v>45790</v>
      </c>
      <c r="B228" s="112" t="s">
        <v>437</v>
      </c>
      <c r="C228" s="11" t="s">
        <v>546</v>
      </c>
      <c r="D228" s="121" t="s">
        <v>741</v>
      </c>
      <c r="E228" s="289"/>
      <c r="F228" s="370">
        <v>129500</v>
      </c>
    </row>
    <row r="229" spans="1:6" ht="15" x14ac:dyDescent="0.3">
      <c r="A229" s="105">
        <v>45790</v>
      </c>
      <c r="B229" s="112" t="s">
        <v>437</v>
      </c>
      <c r="C229" s="11" t="s">
        <v>546</v>
      </c>
      <c r="D229" s="121" t="s">
        <v>759</v>
      </c>
      <c r="E229" s="289"/>
      <c r="F229" s="370">
        <v>61600</v>
      </c>
    </row>
    <row r="230" spans="1:6" ht="15" x14ac:dyDescent="0.3">
      <c r="A230" s="105">
        <v>45790</v>
      </c>
      <c r="B230" s="112" t="s">
        <v>437</v>
      </c>
      <c r="C230" s="11" t="s">
        <v>546</v>
      </c>
      <c r="D230" s="121" t="s">
        <v>792</v>
      </c>
      <c r="E230" s="289"/>
      <c r="F230" s="370">
        <v>1220400</v>
      </c>
    </row>
    <row r="231" spans="1:6" ht="15" x14ac:dyDescent="0.3">
      <c r="A231" s="105">
        <v>45791</v>
      </c>
      <c r="B231" s="112" t="s">
        <v>793</v>
      </c>
      <c r="C231" s="11" t="s">
        <v>546</v>
      </c>
      <c r="D231" s="121" t="s">
        <v>794</v>
      </c>
      <c r="E231" s="289"/>
      <c r="F231" s="370">
        <v>1090000</v>
      </c>
    </row>
    <row r="232" spans="1:6" ht="15" x14ac:dyDescent="0.3">
      <c r="A232" s="105">
        <v>45791</v>
      </c>
      <c r="B232" s="112" t="s">
        <v>793</v>
      </c>
      <c r="C232" s="11" t="s">
        <v>546</v>
      </c>
      <c r="D232" s="121" t="s">
        <v>795</v>
      </c>
      <c r="E232" s="289"/>
      <c r="F232" s="370">
        <v>119900</v>
      </c>
    </row>
    <row r="233" spans="1:6" ht="15" x14ac:dyDescent="0.3">
      <c r="A233" s="105">
        <v>45791</v>
      </c>
      <c r="B233" s="112" t="s">
        <v>793</v>
      </c>
      <c r="C233" s="11" t="s">
        <v>546</v>
      </c>
      <c r="D233" s="121" t="s">
        <v>796</v>
      </c>
      <c r="E233" s="289"/>
      <c r="F233" s="370">
        <v>-21800</v>
      </c>
    </row>
    <row r="234" spans="1:6" ht="15" x14ac:dyDescent="0.3">
      <c r="A234" s="105">
        <v>45791</v>
      </c>
      <c r="B234" s="112" t="s">
        <v>793</v>
      </c>
      <c r="C234" s="11" t="s">
        <v>546</v>
      </c>
      <c r="D234" s="121" t="s">
        <v>797</v>
      </c>
      <c r="E234" s="289"/>
      <c r="F234" s="370">
        <v>2300000</v>
      </c>
    </row>
    <row r="235" spans="1:6" ht="15" x14ac:dyDescent="0.3">
      <c r="A235" s="105">
        <v>45791</v>
      </c>
      <c r="B235" s="112" t="s">
        <v>793</v>
      </c>
      <c r="C235" s="11" t="s">
        <v>546</v>
      </c>
      <c r="D235" s="121" t="s">
        <v>798</v>
      </c>
      <c r="E235" s="289"/>
      <c r="F235" s="370">
        <v>-46000</v>
      </c>
    </row>
    <row r="236" spans="1:6" ht="15" x14ac:dyDescent="0.3">
      <c r="A236" s="105">
        <v>45791</v>
      </c>
      <c r="B236" s="112" t="s">
        <v>793</v>
      </c>
      <c r="C236" s="11" t="s">
        <v>546</v>
      </c>
      <c r="D236" s="121" t="s">
        <v>799</v>
      </c>
      <c r="E236" s="289"/>
      <c r="F236" s="370">
        <v>2900</v>
      </c>
    </row>
    <row r="237" spans="1:6" ht="15" x14ac:dyDescent="0.3">
      <c r="A237" s="105">
        <v>45793</v>
      </c>
      <c r="B237" s="112" t="s">
        <v>800</v>
      </c>
      <c r="C237" s="11" t="s">
        <v>546</v>
      </c>
      <c r="D237" s="121" t="s">
        <v>801</v>
      </c>
      <c r="E237" s="289"/>
      <c r="F237" s="370">
        <v>150000</v>
      </c>
    </row>
    <row r="238" spans="1:6" ht="15" x14ac:dyDescent="0.3">
      <c r="A238" s="105">
        <v>45793</v>
      </c>
      <c r="B238" s="112" t="s">
        <v>800</v>
      </c>
      <c r="C238" s="11" t="s">
        <v>546</v>
      </c>
      <c r="D238" s="121" t="s">
        <v>802</v>
      </c>
      <c r="E238" s="289"/>
      <c r="F238" s="370">
        <v>51500</v>
      </c>
    </row>
    <row r="239" spans="1:6" ht="15" x14ac:dyDescent="0.3">
      <c r="A239" s="105">
        <v>45794</v>
      </c>
      <c r="B239" s="112" t="s">
        <v>465</v>
      </c>
      <c r="C239" s="11" t="s">
        <v>546</v>
      </c>
      <c r="D239" s="121" t="s">
        <v>82</v>
      </c>
      <c r="E239" s="289"/>
      <c r="F239" s="370">
        <v>24992916.670000002</v>
      </c>
    </row>
    <row r="240" spans="1:6" ht="15" x14ac:dyDescent="0.3">
      <c r="A240" s="105">
        <v>45800</v>
      </c>
      <c r="B240" s="112" t="s">
        <v>478</v>
      </c>
      <c r="C240" s="11" t="s">
        <v>546</v>
      </c>
      <c r="D240" s="121" t="s">
        <v>803</v>
      </c>
      <c r="E240" s="289"/>
      <c r="F240" s="370">
        <v>60000</v>
      </c>
    </row>
    <row r="241" spans="1:6" ht="15" x14ac:dyDescent="0.3">
      <c r="A241" s="105">
        <v>45805</v>
      </c>
      <c r="B241" s="112" t="s">
        <v>499</v>
      </c>
      <c r="C241" s="11" t="s">
        <v>500</v>
      </c>
      <c r="D241" s="121" t="s">
        <v>501</v>
      </c>
      <c r="E241" s="289"/>
      <c r="F241" s="370">
        <v>11200000</v>
      </c>
    </row>
    <row r="242" spans="1:6" ht="15" x14ac:dyDescent="0.3">
      <c r="A242" s="105">
        <v>45805</v>
      </c>
      <c r="B242" s="112" t="s">
        <v>499</v>
      </c>
      <c r="C242" s="11" t="s">
        <v>500</v>
      </c>
      <c r="D242" s="121" t="s">
        <v>502</v>
      </c>
      <c r="E242" s="289"/>
      <c r="F242" s="370">
        <v>-224000</v>
      </c>
    </row>
    <row r="243" spans="1:6" ht="15" x14ac:dyDescent="0.3">
      <c r="A243" s="105">
        <v>45812</v>
      </c>
      <c r="B243" s="112" t="s">
        <v>804</v>
      </c>
      <c r="C243" s="11" t="s">
        <v>546</v>
      </c>
      <c r="D243" s="121" t="s">
        <v>805</v>
      </c>
      <c r="E243" s="289"/>
      <c r="F243" s="370">
        <v>6100000</v>
      </c>
    </row>
    <row r="244" spans="1:6" ht="15" x14ac:dyDescent="0.3">
      <c r="A244" s="105">
        <v>45819</v>
      </c>
      <c r="B244" s="112" t="s">
        <v>512</v>
      </c>
      <c r="C244" s="11" t="s">
        <v>546</v>
      </c>
      <c r="D244" s="121" t="s">
        <v>762</v>
      </c>
      <c r="E244" s="289"/>
      <c r="F244" s="370">
        <v>40000</v>
      </c>
    </row>
    <row r="245" spans="1:6" ht="15" x14ac:dyDescent="0.3">
      <c r="A245" s="105">
        <v>45819</v>
      </c>
      <c r="B245" s="112" t="s">
        <v>512</v>
      </c>
      <c r="C245" s="11" t="s">
        <v>546</v>
      </c>
      <c r="D245" s="121" t="s">
        <v>102</v>
      </c>
      <c r="E245" s="289"/>
      <c r="F245" s="370">
        <v>23000</v>
      </c>
    </row>
    <row r="246" spans="1:6" ht="15" x14ac:dyDescent="0.3">
      <c r="A246" s="105">
        <v>45819</v>
      </c>
      <c r="B246" s="112" t="s">
        <v>806</v>
      </c>
      <c r="C246" s="11" t="s">
        <v>546</v>
      </c>
      <c r="D246" s="121" t="s">
        <v>807</v>
      </c>
      <c r="E246" s="289"/>
      <c r="F246" s="370">
        <v>1269500</v>
      </c>
    </row>
    <row r="247" spans="1:6" ht="15" x14ac:dyDescent="0.3">
      <c r="A247" s="105">
        <v>45819</v>
      </c>
      <c r="B247" s="112" t="s">
        <v>806</v>
      </c>
      <c r="C247" s="11" t="s">
        <v>546</v>
      </c>
      <c r="D247" s="122" t="s">
        <v>808</v>
      </c>
      <c r="E247" s="289"/>
      <c r="F247" s="370">
        <v>1782690</v>
      </c>
    </row>
    <row r="248" spans="1:6" ht="15" x14ac:dyDescent="0.3">
      <c r="A248" s="105">
        <v>45820</v>
      </c>
      <c r="B248" s="112" t="s">
        <v>809</v>
      </c>
      <c r="C248" s="11" t="s">
        <v>546</v>
      </c>
      <c r="D248" s="121" t="s">
        <v>810</v>
      </c>
      <c r="E248" s="289">
        <v>4500000</v>
      </c>
      <c r="F248" s="370"/>
    </row>
    <row r="249" spans="1:6" ht="15" x14ac:dyDescent="0.3">
      <c r="A249" s="105">
        <v>45820</v>
      </c>
      <c r="B249" s="112" t="s">
        <v>809</v>
      </c>
      <c r="C249" s="11" t="s">
        <v>546</v>
      </c>
      <c r="D249" s="121" t="s">
        <v>811</v>
      </c>
      <c r="E249" s="289"/>
      <c r="F249" s="370">
        <v>488732</v>
      </c>
    </row>
    <row r="250" spans="1:6" ht="15" x14ac:dyDescent="0.3">
      <c r="A250" s="105">
        <v>45825</v>
      </c>
      <c r="B250" s="112" t="s">
        <v>522</v>
      </c>
      <c r="C250" s="11" t="s">
        <v>546</v>
      </c>
      <c r="D250" s="121" t="s">
        <v>82</v>
      </c>
      <c r="E250" s="289"/>
      <c r="F250" s="370">
        <v>24992916.670000002</v>
      </c>
    </row>
    <row r="251" spans="1:6" ht="15" x14ac:dyDescent="0.3">
      <c r="A251" s="105">
        <v>45825</v>
      </c>
      <c r="B251" s="112" t="s">
        <v>523</v>
      </c>
      <c r="C251" s="11" t="s">
        <v>546</v>
      </c>
      <c r="D251" s="121" t="s">
        <v>812</v>
      </c>
      <c r="E251" s="289"/>
      <c r="F251" s="370">
        <v>40500</v>
      </c>
    </row>
    <row r="252" spans="1:6" ht="15" x14ac:dyDescent="0.3">
      <c r="A252" s="105">
        <v>45825</v>
      </c>
      <c r="B252" s="112" t="s">
        <v>523</v>
      </c>
      <c r="C252" s="11" t="s">
        <v>546</v>
      </c>
      <c r="D252" s="121" t="s">
        <v>813</v>
      </c>
      <c r="E252" s="289"/>
      <c r="F252" s="370">
        <v>74000</v>
      </c>
    </row>
    <row r="253" spans="1:6" ht="15" x14ac:dyDescent="0.3">
      <c r="A253" s="105">
        <v>45828</v>
      </c>
      <c r="B253" s="112" t="s">
        <v>532</v>
      </c>
      <c r="C253" s="11" t="s">
        <v>546</v>
      </c>
      <c r="D253" s="121" t="s">
        <v>812</v>
      </c>
      <c r="E253" s="289"/>
      <c r="F253" s="370">
        <v>6000</v>
      </c>
    </row>
    <row r="254" spans="1:6" ht="15" x14ac:dyDescent="0.3">
      <c r="A254" s="105">
        <v>45840</v>
      </c>
      <c r="B254" s="112" t="s">
        <v>814</v>
      </c>
      <c r="C254" s="11" t="s">
        <v>546</v>
      </c>
      <c r="D254" s="121" t="s">
        <v>815</v>
      </c>
      <c r="E254" s="289"/>
      <c r="F254" s="370">
        <v>26310000</v>
      </c>
    </row>
    <row r="255" spans="1:6" ht="15" x14ac:dyDescent="0.3">
      <c r="A255" s="105">
        <v>45840</v>
      </c>
      <c r="B255" s="112" t="s">
        <v>814</v>
      </c>
      <c r="C255" s="11" t="s">
        <v>546</v>
      </c>
      <c r="D255" s="121" t="s">
        <v>816</v>
      </c>
      <c r="E255" s="289"/>
      <c r="F255" s="370">
        <v>289300</v>
      </c>
    </row>
    <row r="256" spans="1:6" ht="15" x14ac:dyDescent="0.3">
      <c r="A256" s="105">
        <v>45840</v>
      </c>
      <c r="B256" s="112" t="s">
        <v>814</v>
      </c>
      <c r="C256" s="11" t="s">
        <v>546</v>
      </c>
      <c r="D256" s="121" t="s">
        <v>817</v>
      </c>
      <c r="E256" s="289"/>
      <c r="F256" s="370">
        <v>-526000</v>
      </c>
    </row>
    <row r="257" spans="1:6" ht="15" x14ac:dyDescent="0.3">
      <c r="A257" s="105">
        <v>45840</v>
      </c>
      <c r="B257" s="112" t="s">
        <v>814</v>
      </c>
      <c r="C257" s="11" t="s">
        <v>546</v>
      </c>
      <c r="D257" s="121" t="s">
        <v>470</v>
      </c>
      <c r="E257" s="289"/>
      <c r="F257" s="370">
        <v>2900</v>
      </c>
    </row>
    <row r="258" spans="1:6" ht="15" x14ac:dyDescent="0.3">
      <c r="A258" s="105">
        <v>45842</v>
      </c>
      <c r="B258" s="112" t="s">
        <v>818</v>
      </c>
      <c r="C258" s="11" t="s">
        <v>546</v>
      </c>
      <c r="D258" s="117" t="s">
        <v>819</v>
      </c>
      <c r="E258" s="289"/>
      <c r="F258" s="370">
        <v>264000</v>
      </c>
    </row>
    <row r="259" spans="1:6" ht="15" x14ac:dyDescent="0.3">
      <c r="A259" s="105">
        <v>45849</v>
      </c>
      <c r="B259" s="112" t="s">
        <v>2209</v>
      </c>
      <c r="C259" s="11" t="s">
        <v>546</v>
      </c>
      <c r="D259" s="118" t="s">
        <v>2210</v>
      </c>
      <c r="E259" s="289">
        <v>61500000</v>
      </c>
      <c r="F259" s="370"/>
    </row>
    <row r="260" spans="1:6" ht="15" x14ac:dyDescent="0.3">
      <c r="A260" s="105">
        <v>45849</v>
      </c>
      <c r="B260" s="112" t="s">
        <v>2209</v>
      </c>
      <c r="C260" s="11" t="s">
        <v>546</v>
      </c>
      <c r="D260" s="118" t="s">
        <v>2211</v>
      </c>
      <c r="E260" s="289"/>
      <c r="F260" s="371">
        <v>14000000</v>
      </c>
    </row>
    <row r="261" spans="1:6" ht="15" x14ac:dyDescent="0.3">
      <c r="A261" s="105">
        <v>45849</v>
      </c>
      <c r="B261" s="112" t="s">
        <v>2209</v>
      </c>
      <c r="C261" s="11" t="s">
        <v>546</v>
      </c>
      <c r="D261" s="118" t="s">
        <v>2212</v>
      </c>
      <c r="E261" s="289"/>
      <c r="F261" s="371">
        <v>975022</v>
      </c>
    </row>
    <row r="262" spans="1:6" ht="15" x14ac:dyDescent="0.3">
      <c r="A262" s="105">
        <v>45849</v>
      </c>
      <c r="B262" s="112" t="s">
        <v>2209</v>
      </c>
      <c r="C262" s="11" t="s">
        <v>546</v>
      </c>
      <c r="D262" s="118" t="s">
        <v>2213</v>
      </c>
      <c r="E262" s="289"/>
      <c r="F262" s="371">
        <v>3090000</v>
      </c>
    </row>
    <row r="263" spans="1:6" ht="15" x14ac:dyDescent="0.3">
      <c r="A263" s="105">
        <v>45849</v>
      </c>
      <c r="B263" s="112" t="s">
        <v>2209</v>
      </c>
      <c r="C263" s="11" t="s">
        <v>546</v>
      </c>
      <c r="D263" s="118" t="s">
        <v>2214</v>
      </c>
      <c r="E263" s="289"/>
      <c r="F263" s="371">
        <v>1524500</v>
      </c>
    </row>
    <row r="264" spans="1:6" ht="15" x14ac:dyDescent="0.3">
      <c r="A264" s="105">
        <v>45849</v>
      </c>
      <c r="B264" s="112" t="s">
        <v>2209</v>
      </c>
      <c r="C264" s="11" t="s">
        <v>546</v>
      </c>
      <c r="D264" s="118" t="s">
        <v>2215</v>
      </c>
      <c r="E264" s="289"/>
      <c r="F264" s="371">
        <v>1350987</v>
      </c>
    </row>
    <row r="265" spans="1:6" ht="15" x14ac:dyDescent="0.3">
      <c r="A265" s="105">
        <v>45849</v>
      </c>
      <c r="B265" s="112" t="s">
        <v>2209</v>
      </c>
      <c r="C265" s="11" t="s">
        <v>546</v>
      </c>
      <c r="D265" s="118" t="s">
        <v>2216</v>
      </c>
      <c r="E265" s="289"/>
      <c r="F265" s="371">
        <v>15000</v>
      </c>
    </row>
    <row r="266" spans="1:6" ht="15" x14ac:dyDescent="0.3">
      <c r="A266" s="105">
        <v>45849</v>
      </c>
      <c r="B266" s="112" t="s">
        <v>2209</v>
      </c>
      <c r="C266" s="11" t="s">
        <v>546</v>
      </c>
      <c r="D266" s="118" t="s">
        <v>2217</v>
      </c>
      <c r="E266" s="289"/>
      <c r="F266" s="371">
        <v>1457000</v>
      </c>
    </row>
    <row r="267" spans="1:6" ht="15" x14ac:dyDescent="0.3">
      <c r="A267" s="105">
        <v>45849</v>
      </c>
      <c r="B267" s="112" t="s">
        <v>2209</v>
      </c>
      <c r="C267" s="11" t="s">
        <v>546</v>
      </c>
      <c r="D267" s="118" t="s">
        <v>2218</v>
      </c>
      <c r="E267" s="289"/>
      <c r="F267" s="371">
        <v>210000</v>
      </c>
    </row>
    <row r="268" spans="1:6" ht="15" x14ac:dyDescent="0.3">
      <c r="A268" s="105">
        <v>45849</v>
      </c>
      <c r="B268" s="112" t="s">
        <v>2209</v>
      </c>
      <c r="C268" s="11" t="s">
        <v>546</v>
      </c>
      <c r="D268" s="118" t="s">
        <v>2219</v>
      </c>
      <c r="E268" s="289"/>
      <c r="F268" s="371">
        <v>2481516</v>
      </c>
    </row>
    <row r="269" spans="1:6" ht="15" x14ac:dyDescent="0.3">
      <c r="A269" s="105">
        <v>45849</v>
      </c>
      <c r="B269" s="112" t="s">
        <v>2209</v>
      </c>
      <c r="C269" s="11" t="s">
        <v>546</v>
      </c>
      <c r="D269" s="118" t="s">
        <v>2220</v>
      </c>
      <c r="E269" s="289"/>
      <c r="F269" s="371">
        <v>777500</v>
      </c>
    </row>
    <row r="270" spans="1:6" ht="15" x14ac:dyDescent="0.3">
      <c r="A270" s="105">
        <v>45849</v>
      </c>
      <c r="B270" s="112" t="s">
        <v>2209</v>
      </c>
      <c r="C270" s="11" t="s">
        <v>546</v>
      </c>
      <c r="D270" s="118" t="s">
        <v>2221</v>
      </c>
      <c r="E270" s="289"/>
      <c r="F270" s="371">
        <v>9124652</v>
      </c>
    </row>
    <row r="271" spans="1:6" ht="15" x14ac:dyDescent="0.3">
      <c r="A271" s="105">
        <v>45849</v>
      </c>
      <c r="B271" s="112" t="s">
        <v>2209</v>
      </c>
      <c r="C271" s="11" t="s">
        <v>546</v>
      </c>
      <c r="D271" s="118" t="s">
        <v>2222</v>
      </c>
      <c r="E271" s="289"/>
      <c r="F271" s="371">
        <v>508100</v>
      </c>
    </row>
    <row r="272" spans="1:6" ht="15" x14ac:dyDescent="0.3">
      <c r="A272" s="105">
        <v>45849</v>
      </c>
      <c r="B272" s="112" t="s">
        <v>2209</v>
      </c>
      <c r="C272" s="11" t="s">
        <v>546</v>
      </c>
      <c r="D272" s="118" t="s">
        <v>2223</v>
      </c>
      <c r="E272" s="289"/>
      <c r="F272" s="371">
        <v>11058636</v>
      </c>
    </row>
    <row r="273" spans="1:6" ht="15" x14ac:dyDescent="0.3">
      <c r="A273" s="105">
        <v>45849</v>
      </c>
      <c r="B273" s="112" t="s">
        <v>2209</v>
      </c>
      <c r="C273" s="11" t="s">
        <v>546</v>
      </c>
      <c r="D273" s="118" t="s">
        <v>2224</v>
      </c>
      <c r="E273" s="289"/>
      <c r="F273" s="371">
        <v>1185660</v>
      </c>
    </row>
    <row r="274" spans="1:6" ht="15" x14ac:dyDescent="0.3">
      <c r="A274" s="105">
        <v>45854</v>
      </c>
      <c r="B274" s="112" t="s">
        <v>2225</v>
      </c>
      <c r="C274" s="11" t="s">
        <v>546</v>
      </c>
      <c r="D274" s="121" t="s">
        <v>2226</v>
      </c>
      <c r="E274" s="289"/>
      <c r="F274" s="370">
        <v>40000000</v>
      </c>
    </row>
    <row r="275" spans="1:6" ht="15" x14ac:dyDescent="0.3">
      <c r="A275" s="105">
        <v>45854</v>
      </c>
      <c r="B275" s="112" t="s">
        <v>2225</v>
      </c>
      <c r="C275" s="11" t="s">
        <v>546</v>
      </c>
      <c r="D275" s="121" t="s">
        <v>2227</v>
      </c>
      <c r="E275" s="289"/>
      <c r="F275" s="370">
        <v>4400000</v>
      </c>
    </row>
    <row r="276" spans="1:6" ht="15" x14ac:dyDescent="0.3">
      <c r="A276" s="105">
        <v>45854</v>
      </c>
      <c r="B276" s="112" t="s">
        <v>2225</v>
      </c>
      <c r="C276" s="11" t="s">
        <v>546</v>
      </c>
      <c r="D276" s="121" t="s">
        <v>2228</v>
      </c>
      <c r="E276" s="289"/>
      <c r="F276" s="370">
        <v>-800000</v>
      </c>
    </row>
    <row r="277" spans="1:6" ht="15" x14ac:dyDescent="0.3">
      <c r="A277" s="105">
        <v>45854</v>
      </c>
      <c r="B277" s="112" t="s">
        <v>2225</v>
      </c>
      <c r="C277" s="11" t="s">
        <v>546</v>
      </c>
      <c r="D277" s="121" t="s">
        <v>2229</v>
      </c>
      <c r="E277" s="289"/>
      <c r="F277" s="370">
        <v>2900</v>
      </c>
    </row>
    <row r="278" spans="1:6" ht="15" x14ac:dyDescent="0.3">
      <c r="A278" s="105">
        <v>45863</v>
      </c>
      <c r="B278" s="112" t="s">
        <v>2230</v>
      </c>
      <c r="C278" s="15" t="s">
        <v>546</v>
      </c>
      <c r="D278" s="118" t="s">
        <v>2231</v>
      </c>
      <c r="E278" s="289"/>
      <c r="F278" s="371">
        <v>400000</v>
      </c>
    </row>
    <row r="279" spans="1:6" ht="15" x14ac:dyDescent="0.3">
      <c r="A279" s="105">
        <v>45869</v>
      </c>
      <c r="B279" s="112" t="s">
        <v>3526</v>
      </c>
      <c r="C279" s="11" t="s">
        <v>546</v>
      </c>
      <c r="D279" s="360" t="s">
        <v>3527</v>
      </c>
      <c r="E279" s="289">
        <v>4500000</v>
      </c>
      <c r="F279" s="370"/>
    </row>
    <row r="280" spans="1:6" ht="15" x14ac:dyDescent="0.3">
      <c r="A280" s="105">
        <v>45869</v>
      </c>
      <c r="B280" s="112" t="s">
        <v>3526</v>
      </c>
      <c r="C280" s="11" t="s">
        <v>546</v>
      </c>
      <c r="D280" s="360" t="s">
        <v>3528</v>
      </c>
      <c r="E280" s="289"/>
      <c r="F280" s="370">
        <v>4500000</v>
      </c>
    </row>
    <row r="281" spans="1:6" ht="15" x14ac:dyDescent="0.3">
      <c r="A281" s="105">
        <v>45886</v>
      </c>
      <c r="B281" s="112" t="s">
        <v>4546</v>
      </c>
      <c r="C281" s="11" t="s">
        <v>546</v>
      </c>
      <c r="D281" s="361" t="s">
        <v>4547</v>
      </c>
      <c r="E281" s="290"/>
      <c r="F281" s="370">
        <v>24992916.670000002</v>
      </c>
    </row>
    <row r="282" spans="1:6" ht="15" x14ac:dyDescent="0.3">
      <c r="A282" s="108">
        <v>45910</v>
      </c>
      <c r="B282" s="113" t="s">
        <v>4440</v>
      </c>
      <c r="C282" s="15" t="s">
        <v>546</v>
      </c>
      <c r="D282" s="362" t="s">
        <v>4548</v>
      </c>
      <c r="E282" s="375"/>
      <c r="F282" s="371">
        <v>44000</v>
      </c>
    </row>
    <row r="283" spans="1:6" ht="15" x14ac:dyDescent="0.3">
      <c r="A283" s="108">
        <v>45910</v>
      </c>
      <c r="B283" s="113" t="s">
        <v>4440</v>
      </c>
      <c r="C283" s="15" t="s">
        <v>546</v>
      </c>
      <c r="D283" s="362" t="s">
        <v>202</v>
      </c>
      <c r="E283" s="375"/>
      <c r="F283" s="371">
        <v>2500</v>
      </c>
    </row>
    <row r="284" spans="1:6" ht="15" x14ac:dyDescent="0.3">
      <c r="A284" s="105">
        <v>45917</v>
      </c>
      <c r="B284" s="112" t="s">
        <v>4549</v>
      </c>
      <c r="C284" s="11" t="s">
        <v>546</v>
      </c>
      <c r="D284" s="361" t="s">
        <v>4550</v>
      </c>
      <c r="E284" s="290"/>
      <c r="F284" s="370">
        <v>24992916.670000002</v>
      </c>
    </row>
    <row r="285" spans="1:6" ht="30" x14ac:dyDescent="0.3">
      <c r="A285" s="105">
        <v>45919</v>
      </c>
      <c r="B285" s="112" t="s">
        <v>4551</v>
      </c>
      <c r="C285" s="11" t="s">
        <v>546</v>
      </c>
      <c r="D285" s="259" t="s">
        <v>4552</v>
      </c>
      <c r="E285" s="290">
        <v>249000</v>
      </c>
      <c r="F285" s="370"/>
    </row>
    <row r="286" spans="1:6" ht="15" x14ac:dyDescent="0.3">
      <c r="A286" s="105">
        <v>45904</v>
      </c>
      <c r="B286" s="112" t="s">
        <v>5084</v>
      </c>
      <c r="C286" s="11" t="s">
        <v>546</v>
      </c>
      <c r="D286" s="363" t="s">
        <v>5085</v>
      </c>
      <c r="E286" s="289"/>
      <c r="F286" s="369">
        <v>1926329</v>
      </c>
    </row>
    <row r="287" spans="1:6" ht="15" x14ac:dyDescent="0.3">
      <c r="A287" s="105">
        <v>45946</v>
      </c>
      <c r="B287" s="112" t="s">
        <v>4961</v>
      </c>
      <c r="C287" s="11" t="s">
        <v>546</v>
      </c>
      <c r="D287" s="129" t="s">
        <v>5086</v>
      </c>
      <c r="E287" s="290"/>
      <c r="F287" s="368">
        <v>22500</v>
      </c>
    </row>
    <row r="288" spans="1:6" ht="30" x14ac:dyDescent="0.3">
      <c r="A288" s="105">
        <v>45946</v>
      </c>
      <c r="B288" s="112" t="s">
        <v>5087</v>
      </c>
      <c r="C288" s="11" t="s">
        <v>546</v>
      </c>
      <c r="D288" s="259" t="s">
        <v>5088</v>
      </c>
      <c r="E288" s="290"/>
      <c r="F288" s="370">
        <v>11485000</v>
      </c>
    </row>
    <row r="289" spans="1:6" ht="15" x14ac:dyDescent="0.3">
      <c r="A289" s="105">
        <v>45946</v>
      </c>
      <c r="B289" s="112" t="s">
        <v>5087</v>
      </c>
      <c r="C289" s="11" t="s">
        <v>546</v>
      </c>
      <c r="D289" s="259" t="s">
        <v>5089</v>
      </c>
      <c r="E289" s="290"/>
      <c r="F289" s="370">
        <v>2900</v>
      </c>
    </row>
    <row r="290" spans="1:6" ht="15" x14ac:dyDescent="0.3">
      <c r="A290" s="32">
        <v>45947</v>
      </c>
      <c r="B290" s="142" t="s">
        <v>5529</v>
      </c>
      <c r="C290" s="11" t="s">
        <v>546</v>
      </c>
      <c r="D290" s="259" t="s">
        <v>4547</v>
      </c>
      <c r="E290" s="295"/>
      <c r="F290" s="370">
        <v>24992916.670000002</v>
      </c>
    </row>
    <row r="291" spans="1:6" ht="15" x14ac:dyDescent="0.3">
      <c r="A291" s="105">
        <v>45947</v>
      </c>
      <c r="B291" s="112" t="s">
        <v>5530</v>
      </c>
      <c r="C291" s="11" t="s">
        <v>546</v>
      </c>
      <c r="D291" s="259" t="s">
        <v>5531</v>
      </c>
      <c r="E291" s="290">
        <v>4385983000</v>
      </c>
      <c r="F291" s="370"/>
    </row>
    <row r="292" spans="1:6" ht="15" x14ac:dyDescent="0.3">
      <c r="A292" s="105">
        <v>45953</v>
      </c>
      <c r="B292" s="112" t="s">
        <v>5532</v>
      </c>
      <c r="C292" s="11" t="s">
        <v>546</v>
      </c>
      <c r="D292" s="259" t="s">
        <v>5533</v>
      </c>
      <c r="E292" s="290">
        <v>26312000</v>
      </c>
      <c r="F292" s="370"/>
    </row>
    <row r="293" spans="1:6" ht="15" x14ac:dyDescent="0.3">
      <c r="A293" s="105">
        <v>45953</v>
      </c>
      <c r="B293" s="112" t="s">
        <v>5532</v>
      </c>
      <c r="C293" s="11" t="s">
        <v>546</v>
      </c>
      <c r="D293" s="259" t="s">
        <v>2556</v>
      </c>
      <c r="E293" s="290">
        <v>-2900</v>
      </c>
      <c r="F293" s="370"/>
    </row>
    <row r="294" spans="1:6" ht="15" x14ac:dyDescent="0.3">
      <c r="A294" s="105">
        <v>45957</v>
      </c>
      <c r="B294" s="112" t="s">
        <v>5534</v>
      </c>
      <c r="C294" s="11" t="s">
        <v>546</v>
      </c>
      <c r="D294" s="259" t="s">
        <v>5535</v>
      </c>
      <c r="E294" s="290"/>
      <c r="F294" s="370">
        <v>2880496844.3899999</v>
      </c>
    </row>
    <row r="295" spans="1:6" ht="15" x14ac:dyDescent="0.3">
      <c r="A295" s="105">
        <v>45957</v>
      </c>
      <c r="B295" s="112" t="s">
        <v>5534</v>
      </c>
      <c r="C295" s="11" t="s">
        <v>546</v>
      </c>
      <c r="D295" s="259" t="s">
        <v>5536</v>
      </c>
      <c r="E295" s="290"/>
      <c r="F295" s="370">
        <v>5643561.8300000001</v>
      </c>
    </row>
    <row r="296" spans="1:6" ht="15" x14ac:dyDescent="0.3">
      <c r="A296" s="105">
        <v>45973</v>
      </c>
      <c r="B296" s="112" t="s">
        <v>5537</v>
      </c>
      <c r="C296" s="11" t="s">
        <v>546</v>
      </c>
      <c r="D296" s="259" t="s">
        <v>5538</v>
      </c>
      <c r="E296" s="290"/>
      <c r="F296" s="369">
        <v>23996</v>
      </c>
    </row>
    <row r="297" spans="1:6" ht="15.6" x14ac:dyDescent="0.3">
      <c r="A297" s="105">
        <v>45978</v>
      </c>
      <c r="B297" s="262" t="s">
        <v>5783</v>
      </c>
      <c r="C297" s="253" t="s">
        <v>546</v>
      </c>
      <c r="D297" s="261" t="s">
        <v>4547</v>
      </c>
      <c r="E297" s="311"/>
      <c r="F297" s="353">
        <v>1694696.76</v>
      </c>
    </row>
    <row r="298" spans="1:6" ht="15" x14ac:dyDescent="0.3">
      <c r="A298" s="105">
        <v>45987</v>
      </c>
      <c r="B298" s="112" t="s">
        <v>5784</v>
      </c>
      <c r="C298" s="11" t="s">
        <v>546</v>
      </c>
      <c r="D298" s="259" t="s">
        <v>5785</v>
      </c>
      <c r="E298" s="290"/>
      <c r="F298" s="369">
        <v>4550000</v>
      </c>
    </row>
    <row r="299" spans="1:6" ht="15" x14ac:dyDescent="0.3">
      <c r="A299" s="105">
        <v>45987</v>
      </c>
      <c r="B299" s="112" t="s">
        <v>5784</v>
      </c>
      <c r="C299" s="11" t="s">
        <v>546</v>
      </c>
      <c r="D299" s="259" t="s">
        <v>5786</v>
      </c>
      <c r="E299" s="290"/>
      <c r="F299" s="369">
        <v>-91000</v>
      </c>
    </row>
    <row r="300" spans="1:6" ht="15" x14ac:dyDescent="0.3">
      <c r="A300" s="177">
        <v>45987</v>
      </c>
      <c r="B300" s="357" t="s">
        <v>5784</v>
      </c>
      <c r="C300" s="50" t="s">
        <v>5787</v>
      </c>
      <c r="D300" s="364" t="s">
        <v>5788</v>
      </c>
      <c r="E300" s="376"/>
      <c r="F300" s="377">
        <v>2900</v>
      </c>
    </row>
  </sheetData>
  <autoFilter ref="A2:F258" xr:uid="{D49CC84A-FC90-435F-84B2-6A5404EC9A98}"/>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6B227-C909-4977-B212-C99BAE215580}">
  <dimension ref="A2:F544"/>
  <sheetViews>
    <sheetView workbookViewId="0">
      <pane xSplit="3" ySplit="2" topLeftCell="D527" activePane="bottomRight" state="frozen"/>
      <selection pane="topRight" activeCell="D1" sqref="D1"/>
      <selection pane="bottomLeft" activeCell="A3" sqref="A3"/>
      <selection pane="bottomRight" activeCell="D546" sqref="D546"/>
    </sheetView>
  </sheetViews>
  <sheetFormatPr defaultRowHeight="14.4" x14ac:dyDescent="0.3"/>
  <cols>
    <col min="1" max="3" width="13.88671875" customWidth="1"/>
    <col min="4" max="4" width="111" customWidth="1"/>
    <col min="5" max="6" width="18.88671875" style="378" customWidth="1"/>
  </cols>
  <sheetData>
    <row r="2" spans="1:6" ht="15.6" x14ac:dyDescent="0.3">
      <c r="A2" s="379" t="s">
        <v>0</v>
      </c>
      <c r="B2" s="2" t="s">
        <v>1</v>
      </c>
      <c r="C2" s="382" t="s">
        <v>2</v>
      </c>
      <c r="D2" s="2" t="s">
        <v>3</v>
      </c>
      <c r="E2" s="396" t="s">
        <v>4</v>
      </c>
      <c r="F2" s="397" t="s">
        <v>5</v>
      </c>
    </row>
    <row r="3" spans="1:6" ht="15" x14ac:dyDescent="0.3">
      <c r="A3" s="321">
        <v>45590</v>
      </c>
      <c r="B3" s="323">
        <v>346</v>
      </c>
      <c r="C3" s="324" t="s">
        <v>820</v>
      </c>
      <c r="D3" s="330" t="s">
        <v>821</v>
      </c>
      <c r="E3" s="398"/>
      <c r="F3" s="332">
        <v>250000</v>
      </c>
    </row>
    <row r="4" spans="1:6" ht="15" x14ac:dyDescent="0.3">
      <c r="A4" s="232">
        <v>45590</v>
      </c>
      <c r="B4" s="9">
        <v>346</v>
      </c>
      <c r="C4" s="142" t="s">
        <v>820</v>
      </c>
      <c r="D4" s="30" t="s">
        <v>822</v>
      </c>
      <c r="E4" s="294"/>
      <c r="F4" s="305">
        <v>34000</v>
      </c>
    </row>
    <row r="5" spans="1:6" ht="15" x14ac:dyDescent="0.3">
      <c r="A5" s="232">
        <v>45590</v>
      </c>
      <c r="B5" s="9">
        <v>346</v>
      </c>
      <c r="C5" s="142" t="s">
        <v>820</v>
      </c>
      <c r="D5" s="30" t="s">
        <v>823</v>
      </c>
      <c r="E5" s="294"/>
      <c r="F5" s="305">
        <v>1200000</v>
      </c>
    </row>
    <row r="6" spans="1:6" ht="15" x14ac:dyDescent="0.3">
      <c r="A6" s="232">
        <v>45624</v>
      </c>
      <c r="B6" s="9">
        <v>406</v>
      </c>
      <c r="C6" s="142" t="s">
        <v>820</v>
      </c>
      <c r="D6" s="12" t="s">
        <v>824</v>
      </c>
      <c r="E6" s="399"/>
      <c r="F6" s="301">
        <v>9807000</v>
      </c>
    </row>
    <row r="7" spans="1:6" ht="15" x14ac:dyDescent="0.3">
      <c r="A7" s="232">
        <v>45624</v>
      </c>
      <c r="B7" s="9">
        <v>406</v>
      </c>
      <c r="C7" s="142" t="s">
        <v>820</v>
      </c>
      <c r="D7" s="12" t="s">
        <v>825</v>
      </c>
      <c r="E7" s="399"/>
      <c r="F7" s="301">
        <v>22652432</v>
      </c>
    </row>
    <row r="8" spans="1:6" ht="15" x14ac:dyDescent="0.3">
      <c r="A8" s="232">
        <v>45624</v>
      </c>
      <c r="B8" s="9">
        <v>406</v>
      </c>
      <c r="C8" s="142" t="s">
        <v>820</v>
      </c>
      <c r="D8" s="12" t="s">
        <v>826</v>
      </c>
      <c r="E8" s="399"/>
      <c r="F8" s="301">
        <v>5148275</v>
      </c>
    </row>
    <row r="9" spans="1:6" ht="15" x14ac:dyDescent="0.3">
      <c r="A9" s="232">
        <v>45627</v>
      </c>
      <c r="B9" s="9">
        <v>411</v>
      </c>
      <c r="C9" s="113" t="s">
        <v>820</v>
      </c>
      <c r="D9" s="12" t="s">
        <v>827</v>
      </c>
      <c r="E9" s="294"/>
      <c r="F9" s="301">
        <v>4028000</v>
      </c>
    </row>
    <row r="10" spans="1:6" ht="15" x14ac:dyDescent="0.3">
      <c r="A10" s="232">
        <v>45627</v>
      </c>
      <c r="B10" s="9">
        <v>411</v>
      </c>
      <c r="C10" s="113" t="s">
        <v>820</v>
      </c>
      <c r="D10" s="12" t="s">
        <v>828</v>
      </c>
      <c r="E10" s="294"/>
      <c r="F10" s="301">
        <v>9302945</v>
      </c>
    </row>
    <row r="11" spans="1:6" ht="15" x14ac:dyDescent="0.3">
      <c r="A11" s="232">
        <v>45627</v>
      </c>
      <c r="B11" s="9">
        <v>411</v>
      </c>
      <c r="C11" s="113" t="s">
        <v>820</v>
      </c>
      <c r="D11" s="12" t="s">
        <v>829</v>
      </c>
      <c r="E11" s="294"/>
      <c r="F11" s="301">
        <v>2114275</v>
      </c>
    </row>
    <row r="12" spans="1:6" ht="15" x14ac:dyDescent="0.3">
      <c r="A12" s="232">
        <v>45650</v>
      </c>
      <c r="B12" s="9">
        <v>493</v>
      </c>
      <c r="C12" s="142" t="s">
        <v>820</v>
      </c>
      <c r="D12" s="30" t="s">
        <v>830</v>
      </c>
      <c r="E12" s="333"/>
      <c r="F12" s="305">
        <v>2500</v>
      </c>
    </row>
    <row r="13" spans="1:6" ht="15" x14ac:dyDescent="0.3">
      <c r="A13" s="232">
        <v>45527</v>
      </c>
      <c r="B13" s="9" t="s">
        <v>64</v>
      </c>
      <c r="C13" s="113" t="s">
        <v>820</v>
      </c>
      <c r="D13" s="16" t="s">
        <v>831</v>
      </c>
      <c r="E13" s="282"/>
      <c r="F13" s="290">
        <v>1075000</v>
      </c>
    </row>
    <row r="14" spans="1:6" ht="15" x14ac:dyDescent="0.3">
      <c r="A14" s="232">
        <v>45527</v>
      </c>
      <c r="B14" s="9" t="s">
        <v>832</v>
      </c>
      <c r="C14" s="112" t="s">
        <v>820</v>
      </c>
      <c r="D14" s="16" t="s">
        <v>833</v>
      </c>
      <c r="E14" s="282"/>
      <c r="F14" s="290">
        <v>221000</v>
      </c>
    </row>
    <row r="15" spans="1:6" ht="15" x14ac:dyDescent="0.3">
      <c r="A15" s="232">
        <v>45611</v>
      </c>
      <c r="B15" s="9" t="s">
        <v>834</v>
      </c>
      <c r="C15" s="112" t="s">
        <v>820</v>
      </c>
      <c r="D15" s="12" t="s">
        <v>835</v>
      </c>
      <c r="E15" s="282"/>
      <c r="F15" s="290">
        <v>86671575</v>
      </c>
    </row>
    <row r="16" spans="1:6" ht="15" x14ac:dyDescent="0.3">
      <c r="A16" s="232">
        <v>45611</v>
      </c>
      <c r="B16" s="9" t="s">
        <v>834</v>
      </c>
      <c r="C16" s="112" t="s">
        <v>820</v>
      </c>
      <c r="D16" s="12" t="s">
        <v>836</v>
      </c>
      <c r="E16" s="282"/>
      <c r="F16" s="290">
        <v>402375</v>
      </c>
    </row>
    <row r="17" spans="1:6" ht="15" x14ac:dyDescent="0.3">
      <c r="A17" s="232">
        <v>45625</v>
      </c>
      <c r="B17" s="9" t="s">
        <v>837</v>
      </c>
      <c r="C17" s="112" t="s">
        <v>820</v>
      </c>
      <c r="D17" s="12" t="s">
        <v>838</v>
      </c>
      <c r="E17" s="282"/>
      <c r="F17" s="290">
        <v>77964109</v>
      </c>
    </row>
    <row r="18" spans="1:6" ht="15" x14ac:dyDescent="0.3">
      <c r="A18" s="232">
        <v>45625</v>
      </c>
      <c r="B18" s="9" t="s">
        <v>837</v>
      </c>
      <c r="C18" s="112" t="s">
        <v>820</v>
      </c>
      <c r="D18" s="12" t="s">
        <v>839</v>
      </c>
      <c r="E18" s="282"/>
      <c r="F18" s="290">
        <v>399875</v>
      </c>
    </row>
    <row r="19" spans="1:6" ht="15" x14ac:dyDescent="0.3">
      <c r="A19" s="232">
        <v>45631</v>
      </c>
      <c r="B19" s="9" t="s">
        <v>840</v>
      </c>
      <c r="C19" s="112" t="s">
        <v>820</v>
      </c>
      <c r="D19" s="17" t="s">
        <v>841</v>
      </c>
      <c r="E19" s="282"/>
      <c r="F19" s="290">
        <v>608848627</v>
      </c>
    </row>
    <row r="20" spans="1:6" ht="15" x14ac:dyDescent="0.3">
      <c r="A20" s="232">
        <v>45631</v>
      </c>
      <c r="B20" s="9" t="s">
        <v>840</v>
      </c>
      <c r="C20" s="112" t="s">
        <v>820</v>
      </c>
      <c r="D20" s="17" t="s">
        <v>842</v>
      </c>
      <c r="E20" s="282"/>
      <c r="F20" s="290">
        <v>401375</v>
      </c>
    </row>
    <row r="21" spans="1:6" ht="15" x14ac:dyDescent="0.3">
      <c r="A21" s="232">
        <v>45637</v>
      </c>
      <c r="B21" s="9" t="s">
        <v>843</v>
      </c>
      <c r="C21" s="112" t="s">
        <v>820</v>
      </c>
      <c r="D21" s="12" t="s">
        <v>844</v>
      </c>
      <c r="E21" s="282"/>
      <c r="F21" s="290">
        <v>66479000</v>
      </c>
    </row>
    <row r="22" spans="1:6" ht="15" x14ac:dyDescent="0.3">
      <c r="A22" s="232">
        <v>45637</v>
      </c>
      <c r="B22" s="9" t="s">
        <v>843</v>
      </c>
      <c r="C22" s="112" t="s">
        <v>820</v>
      </c>
      <c r="D22" s="12" t="s">
        <v>845</v>
      </c>
      <c r="E22" s="282"/>
      <c r="F22" s="290">
        <v>7312690</v>
      </c>
    </row>
    <row r="23" spans="1:6" ht="15" x14ac:dyDescent="0.3">
      <c r="A23" s="232">
        <v>45637</v>
      </c>
      <c r="B23" s="9" t="s">
        <v>843</v>
      </c>
      <c r="C23" s="112" t="s">
        <v>820</v>
      </c>
      <c r="D23" s="12" t="s">
        <v>846</v>
      </c>
      <c r="E23" s="282"/>
      <c r="F23" s="290">
        <v>2900</v>
      </c>
    </row>
    <row r="24" spans="1:6" ht="15" x14ac:dyDescent="0.3">
      <c r="A24" s="232">
        <v>45637</v>
      </c>
      <c r="B24" s="9" t="s">
        <v>847</v>
      </c>
      <c r="C24" s="383" t="s">
        <v>820</v>
      </c>
      <c r="D24" s="12" t="s">
        <v>848</v>
      </c>
      <c r="E24" s="282"/>
      <c r="F24" s="290">
        <v>13800000</v>
      </c>
    </row>
    <row r="25" spans="1:6" ht="15" x14ac:dyDescent="0.3">
      <c r="A25" s="232">
        <v>45637</v>
      </c>
      <c r="B25" s="9" t="s">
        <v>849</v>
      </c>
      <c r="C25" s="112" t="s">
        <v>820</v>
      </c>
      <c r="D25" s="12" t="s">
        <v>850</v>
      </c>
      <c r="E25" s="282"/>
      <c r="F25" s="290">
        <v>182377810</v>
      </c>
    </row>
    <row r="26" spans="1:6" ht="15" x14ac:dyDescent="0.3">
      <c r="A26" s="232">
        <v>45637</v>
      </c>
      <c r="B26" s="9" t="s">
        <v>849</v>
      </c>
      <c r="C26" s="112" t="s">
        <v>820</v>
      </c>
      <c r="D26" s="12" t="s">
        <v>851</v>
      </c>
      <c r="E26" s="282"/>
      <c r="F26" s="290">
        <v>560175</v>
      </c>
    </row>
    <row r="27" spans="1:6" ht="15" x14ac:dyDescent="0.3">
      <c r="A27" s="232">
        <v>45638</v>
      </c>
      <c r="B27" s="9" t="s">
        <v>852</v>
      </c>
      <c r="C27" s="112" t="s">
        <v>820</v>
      </c>
      <c r="D27" s="12" t="s">
        <v>853</v>
      </c>
      <c r="E27" s="282"/>
      <c r="F27" s="290">
        <v>9000000</v>
      </c>
    </row>
    <row r="28" spans="1:6" ht="15" x14ac:dyDescent="0.3">
      <c r="A28" s="232">
        <v>45638</v>
      </c>
      <c r="B28" s="9" t="s">
        <v>852</v>
      </c>
      <c r="C28" s="112" t="s">
        <v>820</v>
      </c>
      <c r="D28" s="12" t="s">
        <v>854</v>
      </c>
      <c r="E28" s="282"/>
      <c r="F28" s="290">
        <v>990000</v>
      </c>
    </row>
    <row r="29" spans="1:6" ht="15" x14ac:dyDescent="0.3">
      <c r="A29" s="232">
        <v>45638</v>
      </c>
      <c r="B29" s="9" t="s">
        <v>852</v>
      </c>
      <c r="C29" s="112" t="s">
        <v>820</v>
      </c>
      <c r="D29" s="12" t="s">
        <v>855</v>
      </c>
      <c r="E29" s="282"/>
      <c r="F29" s="290">
        <v>2900</v>
      </c>
    </row>
    <row r="30" spans="1:6" ht="15" x14ac:dyDescent="0.3">
      <c r="A30" s="232">
        <v>45639</v>
      </c>
      <c r="B30" s="9" t="s">
        <v>856</v>
      </c>
      <c r="C30" s="112" t="s">
        <v>820</v>
      </c>
      <c r="D30" s="12" t="s">
        <v>857</v>
      </c>
      <c r="E30" s="282"/>
      <c r="F30" s="290">
        <v>249500</v>
      </c>
    </row>
    <row r="31" spans="1:6" ht="15" x14ac:dyDescent="0.3">
      <c r="A31" s="232">
        <v>45639</v>
      </c>
      <c r="B31" s="9" t="s">
        <v>856</v>
      </c>
      <c r="C31" s="112" t="s">
        <v>820</v>
      </c>
      <c r="D31" s="12" t="s">
        <v>858</v>
      </c>
      <c r="E31" s="282"/>
      <c r="F31" s="290">
        <v>26500</v>
      </c>
    </row>
    <row r="32" spans="1:6" ht="15" x14ac:dyDescent="0.3">
      <c r="A32" s="232">
        <v>45639</v>
      </c>
      <c r="B32" s="9" t="s">
        <v>856</v>
      </c>
      <c r="C32" s="112" t="s">
        <v>820</v>
      </c>
      <c r="D32" s="12" t="s">
        <v>859</v>
      </c>
      <c r="E32" s="282"/>
      <c r="F32" s="290">
        <v>16000</v>
      </c>
    </row>
    <row r="33" spans="1:6" ht="15" x14ac:dyDescent="0.3">
      <c r="A33" s="232">
        <v>45639</v>
      </c>
      <c r="B33" s="9" t="s">
        <v>856</v>
      </c>
      <c r="C33" s="112" t="s">
        <v>820</v>
      </c>
      <c r="D33" s="12" t="s">
        <v>860</v>
      </c>
      <c r="E33" s="282"/>
      <c r="F33" s="290">
        <v>2900</v>
      </c>
    </row>
    <row r="34" spans="1:6" ht="15" x14ac:dyDescent="0.3">
      <c r="A34" s="232">
        <v>45639</v>
      </c>
      <c r="B34" s="9" t="s">
        <v>861</v>
      </c>
      <c r="C34" s="113" t="s">
        <v>820</v>
      </c>
      <c r="D34" s="12" t="s">
        <v>862</v>
      </c>
      <c r="E34" s="282"/>
      <c r="F34" s="301">
        <v>53000</v>
      </c>
    </row>
    <row r="35" spans="1:6" ht="15" x14ac:dyDescent="0.3">
      <c r="A35" s="232">
        <v>45639</v>
      </c>
      <c r="B35" s="9" t="s">
        <v>861</v>
      </c>
      <c r="C35" s="113" t="s">
        <v>820</v>
      </c>
      <c r="D35" s="12" t="s">
        <v>863</v>
      </c>
      <c r="E35" s="282"/>
      <c r="F35" s="301">
        <v>36000</v>
      </c>
    </row>
    <row r="36" spans="1:6" ht="15" x14ac:dyDescent="0.3">
      <c r="A36" s="232">
        <v>45639</v>
      </c>
      <c r="B36" s="9" t="s">
        <v>861</v>
      </c>
      <c r="C36" s="113" t="s">
        <v>820</v>
      </c>
      <c r="D36" s="12" t="s">
        <v>864</v>
      </c>
      <c r="E36" s="282"/>
      <c r="F36" s="301">
        <v>488400</v>
      </c>
    </row>
    <row r="37" spans="1:6" ht="15" x14ac:dyDescent="0.3">
      <c r="A37" s="232">
        <v>45639</v>
      </c>
      <c r="B37" s="9" t="s">
        <v>861</v>
      </c>
      <c r="C37" s="113" t="s">
        <v>820</v>
      </c>
      <c r="D37" s="12" t="s">
        <v>865</v>
      </c>
      <c r="E37" s="282"/>
      <c r="F37" s="301">
        <v>2900</v>
      </c>
    </row>
    <row r="38" spans="1:6" ht="15" x14ac:dyDescent="0.3">
      <c r="A38" s="232">
        <v>45639</v>
      </c>
      <c r="B38" s="9" t="s">
        <v>866</v>
      </c>
      <c r="C38" s="113" t="s">
        <v>820</v>
      </c>
      <c r="D38" s="12" t="s">
        <v>867</v>
      </c>
      <c r="E38" s="282"/>
      <c r="F38" s="301">
        <v>38000</v>
      </c>
    </row>
    <row r="39" spans="1:6" ht="15" x14ac:dyDescent="0.3">
      <c r="A39" s="232">
        <v>45653</v>
      </c>
      <c r="B39" s="9" t="s">
        <v>868</v>
      </c>
      <c r="C39" s="112" t="s">
        <v>820</v>
      </c>
      <c r="D39" s="28" t="s">
        <v>869</v>
      </c>
      <c r="E39" s="282"/>
      <c r="F39" s="290">
        <v>7700000</v>
      </c>
    </row>
    <row r="40" spans="1:6" ht="15" x14ac:dyDescent="0.3">
      <c r="A40" s="232">
        <v>45653</v>
      </c>
      <c r="B40" s="9" t="s">
        <v>868</v>
      </c>
      <c r="C40" s="112" t="s">
        <v>820</v>
      </c>
      <c r="D40" s="28" t="s">
        <v>870</v>
      </c>
      <c r="E40" s="282"/>
      <c r="F40" s="290">
        <v>847000</v>
      </c>
    </row>
    <row r="41" spans="1:6" ht="15" x14ac:dyDescent="0.3">
      <c r="A41" s="232">
        <v>45653</v>
      </c>
      <c r="B41" s="9" t="s">
        <v>868</v>
      </c>
      <c r="C41" s="112" t="s">
        <v>820</v>
      </c>
      <c r="D41" s="28" t="s">
        <v>846</v>
      </c>
      <c r="E41" s="282"/>
      <c r="F41" s="290">
        <v>2900</v>
      </c>
    </row>
    <row r="42" spans="1:6" ht="15" x14ac:dyDescent="0.3">
      <c r="A42" s="232">
        <v>45530</v>
      </c>
      <c r="B42" s="9" t="s">
        <v>871</v>
      </c>
      <c r="C42" s="112" t="s">
        <v>820</v>
      </c>
      <c r="D42" s="28" t="s">
        <v>872</v>
      </c>
      <c r="E42" s="294"/>
      <c r="F42" s="295">
        <v>2689687.5</v>
      </c>
    </row>
    <row r="43" spans="1:6" ht="15" x14ac:dyDescent="0.3">
      <c r="A43" s="232">
        <v>45537</v>
      </c>
      <c r="B43" s="9" t="s">
        <v>873</v>
      </c>
      <c r="C43" s="113" t="s">
        <v>820</v>
      </c>
      <c r="D43" s="12" t="s">
        <v>874</v>
      </c>
      <c r="E43" s="294"/>
      <c r="F43" s="295">
        <v>296000</v>
      </c>
    </row>
    <row r="44" spans="1:6" ht="15" x14ac:dyDescent="0.3">
      <c r="A44" s="232">
        <v>45562</v>
      </c>
      <c r="B44" s="9" t="s">
        <v>875</v>
      </c>
      <c r="C44" s="113" t="s">
        <v>820</v>
      </c>
      <c r="D44" s="12" t="s">
        <v>876</v>
      </c>
      <c r="E44" s="294"/>
      <c r="F44" s="301">
        <v>158000</v>
      </c>
    </row>
    <row r="45" spans="1:6" ht="15" x14ac:dyDescent="0.3">
      <c r="A45" s="232">
        <v>45562</v>
      </c>
      <c r="B45" s="9" t="s">
        <v>875</v>
      </c>
      <c r="C45" s="113" t="s">
        <v>820</v>
      </c>
      <c r="D45" s="12" t="s">
        <v>877</v>
      </c>
      <c r="E45" s="294"/>
      <c r="F45" s="301">
        <v>1081700</v>
      </c>
    </row>
    <row r="46" spans="1:6" ht="15" x14ac:dyDescent="0.3">
      <c r="A46" s="232">
        <v>45562</v>
      </c>
      <c r="B46" s="9" t="s">
        <v>878</v>
      </c>
      <c r="C46" s="142" t="s">
        <v>820</v>
      </c>
      <c r="D46" s="30" t="s">
        <v>879</v>
      </c>
      <c r="E46" s="294"/>
      <c r="F46" s="295">
        <v>7300000</v>
      </c>
    </row>
    <row r="47" spans="1:6" ht="15" x14ac:dyDescent="0.3">
      <c r="A47" s="232">
        <v>45574</v>
      </c>
      <c r="B47" s="9" t="s">
        <v>101</v>
      </c>
      <c r="C47" s="113" t="s">
        <v>820</v>
      </c>
      <c r="D47" s="12" t="s">
        <v>880</v>
      </c>
      <c r="E47" s="294"/>
      <c r="F47" s="295">
        <v>41000</v>
      </c>
    </row>
    <row r="48" spans="1:6" ht="15" x14ac:dyDescent="0.3">
      <c r="A48" s="232">
        <v>45576</v>
      </c>
      <c r="B48" s="9" t="s">
        <v>881</v>
      </c>
      <c r="C48" s="113" t="s">
        <v>820</v>
      </c>
      <c r="D48" s="12" t="s">
        <v>882</v>
      </c>
      <c r="E48" s="294"/>
      <c r="F48" s="295">
        <v>8265324</v>
      </c>
    </row>
    <row r="49" spans="1:6" ht="15" x14ac:dyDescent="0.3">
      <c r="A49" s="232">
        <v>45581</v>
      </c>
      <c r="B49" s="9" t="s">
        <v>883</v>
      </c>
      <c r="C49" s="113" t="s">
        <v>820</v>
      </c>
      <c r="D49" s="12" t="s">
        <v>884</v>
      </c>
      <c r="E49" s="294"/>
      <c r="F49" s="301">
        <v>13350000</v>
      </c>
    </row>
    <row r="50" spans="1:6" ht="15" x14ac:dyDescent="0.3">
      <c r="A50" s="232">
        <v>45581</v>
      </c>
      <c r="B50" s="9" t="s">
        <v>883</v>
      </c>
      <c r="C50" s="113" t="s">
        <v>820</v>
      </c>
      <c r="D50" s="12" t="s">
        <v>885</v>
      </c>
      <c r="E50" s="294"/>
      <c r="F50" s="301">
        <v>1468500</v>
      </c>
    </row>
    <row r="51" spans="1:6" ht="15" x14ac:dyDescent="0.3">
      <c r="A51" s="232">
        <v>45583</v>
      </c>
      <c r="B51" s="9" t="s">
        <v>886</v>
      </c>
      <c r="C51" s="113" t="s">
        <v>820</v>
      </c>
      <c r="D51" s="12" t="s">
        <v>887</v>
      </c>
      <c r="E51" s="294"/>
      <c r="F51" s="301">
        <v>142000</v>
      </c>
    </row>
    <row r="52" spans="1:6" ht="15" x14ac:dyDescent="0.3">
      <c r="A52" s="232">
        <v>45590</v>
      </c>
      <c r="B52" s="9" t="s">
        <v>888</v>
      </c>
      <c r="C52" s="339" t="s">
        <v>820</v>
      </c>
      <c r="D52" s="29" t="s">
        <v>889</v>
      </c>
      <c r="E52" s="294"/>
      <c r="F52" s="301">
        <v>260000</v>
      </c>
    </row>
    <row r="53" spans="1:6" ht="15" x14ac:dyDescent="0.3">
      <c r="A53" s="232">
        <v>45590</v>
      </c>
      <c r="B53" s="9" t="s">
        <v>888</v>
      </c>
      <c r="C53" s="339" t="s">
        <v>820</v>
      </c>
      <c r="D53" s="29" t="s">
        <v>890</v>
      </c>
      <c r="E53" s="294"/>
      <c r="F53" s="301">
        <v>64000</v>
      </c>
    </row>
    <row r="54" spans="1:6" ht="15" x14ac:dyDescent="0.3">
      <c r="A54" s="232">
        <v>45590</v>
      </c>
      <c r="B54" s="9" t="s">
        <v>888</v>
      </c>
      <c r="C54" s="339" t="s">
        <v>820</v>
      </c>
      <c r="D54" s="29" t="s">
        <v>891</v>
      </c>
      <c r="E54" s="294"/>
      <c r="F54" s="301">
        <v>194000</v>
      </c>
    </row>
    <row r="55" spans="1:6" ht="15" x14ac:dyDescent="0.3">
      <c r="A55" s="232">
        <v>45597</v>
      </c>
      <c r="B55" s="9" t="s">
        <v>892</v>
      </c>
      <c r="C55" s="113" t="s">
        <v>820</v>
      </c>
      <c r="D55" s="12" t="s">
        <v>893</v>
      </c>
      <c r="E55" s="294"/>
      <c r="F55" s="295">
        <v>40000000</v>
      </c>
    </row>
    <row r="56" spans="1:6" ht="15" x14ac:dyDescent="0.3">
      <c r="A56" s="232">
        <v>45597</v>
      </c>
      <c r="B56" s="9" t="s">
        <v>892</v>
      </c>
      <c r="C56" s="113" t="s">
        <v>820</v>
      </c>
      <c r="D56" s="12" t="s">
        <v>894</v>
      </c>
      <c r="E56" s="294"/>
      <c r="F56" s="295">
        <v>2900</v>
      </c>
    </row>
    <row r="57" spans="1:6" ht="15" x14ac:dyDescent="0.3">
      <c r="A57" s="380">
        <v>45603</v>
      </c>
      <c r="B57" s="145" t="s">
        <v>895</v>
      </c>
      <c r="C57" s="141" t="s">
        <v>820</v>
      </c>
      <c r="D57" s="393" t="s">
        <v>896</v>
      </c>
      <c r="E57" s="400"/>
      <c r="F57" s="401">
        <v>8000000</v>
      </c>
    </row>
    <row r="58" spans="1:6" ht="15" x14ac:dyDescent="0.3">
      <c r="A58" s="232">
        <v>45604</v>
      </c>
      <c r="B58" s="9" t="s">
        <v>897</v>
      </c>
      <c r="C58" s="113" t="s">
        <v>820</v>
      </c>
      <c r="D58" s="12" t="s">
        <v>898</v>
      </c>
      <c r="E58" s="294"/>
      <c r="F58" s="301">
        <v>88000</v>
      </c>
    </row>
    <row r="59" spans="1:6" ht="15" x14ac:dyDescent="0.3">
      <c r="A59" s="232">
        <v>45611</v>
      </c>
      <c r="B59" s="9" t="s">
        <v>899</v>
      </c>
      <c r="C59" s="113" t="s">
        <v>820</v>
      </c>
      <c r="D59" s="12" t="s">
        <v>900</v>
      </c>
      <c r="E59" s="402"/>
      <c r="F59" s="301">
        <v>60500</v>
      </c>
    </row>
    <row r="60" spans="1:6" ht="15" x14ac:dyDescent="0.3">
      <c r="A60" s="232">
        <v>45611</v>
      </c>
      <c r="B60" s="9" t="s">
        <v>899</v>
      </c>
      <c r="C60" s="113" t="s">
        <v>820</v>
      </c>
      <c r="D60" s="12" t="s">
        <v>901</v>
      </c>
      <c r="E60" s="403"/>
      <c r="F60" s="301">
        <v>392000</v>
      </c>
    </row>
    <row r="61" spans="1:6" ht="15" x14ac:dyDescent="0.3">
      <c r="A61" s="232">
        <v>45611</v>
      </c>
      <c r="B61" s="9" t="s">
        <v>899</v>
      </c>
      <c r="C61" s="113" t="s">
        <v>820</v>
      </c>
      <c r="D61" s="12" t="s">
        <v>902</v>
      </c>
      <c r="E61" s="403"/>
      <c r="F61" s="301">
        <v>8000</v>
      </c>
    </row>
    <row r="62" spans="1:6" ht="15" x14ac:dyDescent="0.3">
      <c r="A62" s="232">
        <v>45611</v>
      </c>
      <c r="B62" s="9" t="s">
        <v>899</v>
      </c>
      <c r="C62" s="113" t="s">
        <v>820</v>
      </c>
      <c r="D62" s="12" t="s">
        <v>903</v>
      </c>
      <c r="E62" s="403"/>
      <c r="F62" s="301">
        <v>71000</v>
      </c>
    </row>
    <row r="63" spans="1:6" ht="15" x14ac:dyDescent="0.3">
      <c r="A63" s="232">
        <v>45611</v>
      </c>
      <c r="B63" s="9" t="s">
        <v>899</v>
      </c>
      <c r="C63" s="113" t="s">
        <v>820</v>
      </c>
      <c r="D63" s="12" t="s">
        <v>904</v>
      </c>
      <c r="E63" s="403"/>
      <c r="F63" s="301">
        <v>200000</v>
      </c>
    </row>
    <row r="64" spans="1:6" ht="15" x14ac:dyDescent="0.3">
      <c r="A64" s="232">
        <v>45611</v>
      </c>
      <c r="B64" s="9" t="s">
        <v>899</v>
      </c>
      <c r="C64" s="113" t="s">
        <v>820</v>
      </c>
      <c r="D64" s="12" t="s">
        <v>905</v>
      </c>
      <c r="E64" s="403"/>
      <c r="F64" s="301">
        <v>740000</v>
      </c>
    </row>
    <row r="65" spans="1:6" ht="15" x14ac:dyDescent="0.3">
      <c r="A65" s="232">
        <v>45611</v>
      </c>
      <c r="B65" s="9" t="s">
        <v>899</v>
      </c>
      <c r="C65" s="113" t="s">
        <v>820</v>
      </c>
      <c r="D65" s="12" t="s">
        <v>906</v>
      </c>
      <c r="E65" s="403"/>
      <c r="F65" s="301">
        <v>49000</v>
      </c>
    </row>
    <row r="66" spans="1:6" ht="15" x14ac:dyDescent="0.3">
      <c r="A66" s="232">
        <v>45611</v>
      </c>
      <c r="B66" s="9" t="s">
        <v>899</v>
      </c>
      <c r="C66" s="113" t="s">
        <v>820</v>
      </c>
      <c r="D66" s="12" t="s">
        <v>907</v>
      </c>
      <c r="E66" s="403"/>
      <c r="F66" s="301">
        <v>168000</v>
      </c>
    </row>
    <row r="67" spans="1:6" ht="15" x14ac:dyDescent="0.3">
      <c r="A67" s="232">
        <v>45611</v>
      </c>
      <c r="B67" s="9" t="s">
        <v>908</v>
      </c>
      <c r="C67" s="275" t="s">
        <v>820</v>
      </c>
      <c r="D67" s="24" t="s">
        <v>887</v>
      </c>
      <c r="E67" s="403"/>
      <c r="F67" s="301">
        <v>92000</v>
      </c>
    </row>
    <row r="68" spans="1:6" ht="15" x14ac:dyDescent="0.3">
      <c r="A68" s="232">
        <v>45611</v>
      </c>
      <c r="B68" s="9" t="s">
        <v>908</v>
      </c>
      <c r="C68" s="275" t="s">
        <v>820</v>
      </c>
      <c r="D68" s="24" t="s">
        <v>102</v>
      </c>
      <c r="E68" s="403"/>
      <c r="F68" s="301">
        <v>18000</v>
      </c>
    </row>
    <row r="69" spans="1:6" ht="15" x14ac:dyDescent="0.3">
      <c r="A69" s="232">
        <v>45616</v>
      </c>
      <c r="B69" s="9" t="s">
        <v>909</v>
      </c>
      <c r="C69" s="113" t="s">
        <v>820</v>
      </c>
      <c r="D69" s="12" t="s">
        <v>910</v>
      </c>
      <c r="E69" s="403"/>
      <c r="F69" s="301">
        <v>67590716</v>
      </c>
    </row>
    <row r="70" spans="1:6" ht="15" x14ac:dyDescent="0.3">
      <c r="A70" s="232">
        <v>45616</v>
      </c>
      <c r="B70" s="9" t="s">
        <v>909</v>
      </c>
      <c r="C70" s="113" t="s">
        <v>820</v>
      </c>
      <c r="D70" s="12" t="s">
        <v>911</v>
      </c>
      <c r="E70" s="403"/>
      <c r="F70" s="301">
        <v>15361500</v>
      </c>
    </row>
    <row r="71" spans="1:6" ht="15" x14ac:dyDescent="0.3">
      <c r="A71" s="232">
        <v>45616</v>
      </c>
      <c r="B71" s="9" t="s">
        <v>912</v>
      </c>
      <c r="C71" s="113" t="s">
        <v>820</v>
      </c>
      <c r="D71" s="12" t="s">
        <v>913</v>
      </c>
      <c r="E71" s="403"/>
      <c r="F71" s="301">
        <v>315000000</v>
      </c>
    </row>
    <row r="72" spans="1:6" ht="15" x14ac:dyDescent="0.3">
      <c r="A72" s="232">
        <v>45616</v>
      </c>
      <c r="B72" s="9" t="s">
        <v>912</v>
      </c>
      <c r="C72" s="113" t="s">
        <v>820</v>
      </c>
      <c r="D72" s="12" t="s">
        <v>914</v>
      </c>
      <c r="E72" s="403"/>
      <c r="F72" s="301">
        <v>34650000</v>
      </c>
    </row>
    <row r="73" spans="1:6" ht="15" x14ac:dyDescent="0.3">
      <c r="A73" s="232">
        <v>45616</v>
      </c>
      <c r="B73" s="9" t="s">
        <v>912</v>
      </c>
      <c r="C73" s="113" t="s">
        <v>820</v>
      </c>
      <c r="D73" s="12" t="s">
        <v>915</v>
      </c>
      <c r="E73" s="403"/>
      <c r="F73" s="301">
        <v>2900</v>
      </c>
    </row>
    <row r="74" spans="1:6" ht="15" x14ac:dyDescent="0.3">
      <c r="A74" s="232">
        <v>45616</v>
      </c>
      <c r="B74" s="9" t="s">
        <v>916</v>
      </c>
      <c r="C74" s="113" t="s">
        <v>820</v>
      </c>
      <c r="D74" s="12" t="s">
        <v>917</v>
      </c>
      <c r="E74" s="403"/>
      <c r="F74" s="301">
        <v>28491000</v>
      </c>
    </row>
    <row r="75" spans="1:6" ht="15" x14ac:dyDescent="0.3">
      <c r="A75" s="232">
        <v>45616</v>
      </c>
      <c r="B75" s="9" t="s">
        <v>916</v>
      </c>
      <c r="C75" s="113" t="s">
        <v>820</v>
      </c>
      <c r="D75" s="12" t="s">
        <v>918</v>
      </c>
      <c r="E75" s="403"/>
      <c r="F75" s="301">
        <v>3134010</v>
      </c>
    </row>
    <row r="76" spans="1:6" ht="15" x14ac:dyDescent="0.3">
      <c r="A76" s="232">
        <v>45616</v>
      </c>
      <c r="B76" s="9" t="s">
        <v>916</v>
      </c>
      <c r="C76" s="113" t="s">
        <v>820</v>
      </c>
      <c r="D76" s="12" t="s">
        <v>846</v>
      </c>
      <c r="E76" s="403"/>
      <c r="F76" s="301">
        <v>2900</v>
      </c>
    </row>
    <row r="77" spans="1:6" ht="15" x14ac:dyDescent="0.3">
      <c r="A77" s="232">
        <v>45616</v>
      </c>
      <c r="B77" s="9" t="s">
        <v>919</v>
      </c>
      <c r="C77" s="113" t="s">
        <v>820</v>
      </c>
      <c r="D77" s="12" t="s">
        <v>920</v>
      </c>
      <c r="E77" s="403"/>
      <c r="F77" s="301">
        <v>13350000</v>
      </c>
    </row>
    <row r="78" spans="1:6" ht="15" x14ac:dyDescent="0.3">
      <c r="A78" s="232">
        <v>45616</v>
      </c>
      <c r="B78" s="9" t="s">
        <v>919</v>
      </c>
      <c r="C78" s="113" t="s">
        <v>820</v>
      </c>
      <c r="D78" s="12" t="s">
        <v>921</v>
      </c>
      <c r="E78" s="403"/>
      <c r="F78" s="301">
        <v>1468500</v>
      </c>
    </row>
    <row r="79" spans="1:6" ht="15" x14ac:dyDescent="0.3">
      <c r="A79" s="232">
        <v>45616</v>
      </c>
      <c r="B79" s="9" t="s">
        <v>919</v>
      </c>
      <c r="C79" s="113" t="s">
        <v>820</v>
      </c>
      <c r="D79" s="12" t="s">
        <v>922</v>
      </c>
      <c r="E79" s="403"/>
      <c r="F79" s="301">
        <v>2900</v>
      </c>
    </row>
    <row r="80" spans="1:6" ht="15" x14ac:dyDescent="0.3">
      <c r="A80" s="232">
        <v>45621</v>
      </c>
      <c r="B80" s="9" t="s">
        <v>923</v>
      </c>
      <c r="C80" s="113" t="s">
        <v>820</v>
      </c>
      <c r="D80" s="12" t="s">
        <v>924</v>
      </c>
      <c r="E80" s="402"/>
      <c r="F80" s="301">
        <v>700000</v>
      </c>
    </row>
    <row r="81" spans="1:6" ht="15" x14ac:dyDescent="0.3">
      <c r="A81" s="232">
        <v>45621</v>
      </c>
      <c r="B81" s="9" t="s">
        <v>923</v>
      </c>
      <c r="C81" s="113" t="s">
        <v>820</v>
      </c>
      <c r="D81" s="12" t="s">
        <v>50</v>
      </c>
      <c r="E81" s="402"/>
      <c r="F81" s="301">
        <v>2500</v>
      </c>
    </row>
    <row r="82" spans="1:6" ht="15" x14ac:dyDescent="0.3">
      <c r="A82" s="232">
        <v>45621</v>
      </c>
      <c r="B82" s="9" t="s">
        <v>151</v>
      </c>
      <c r="C82" s="113" t="s">
        <v>820</v>
      </c>
      <c r="D82" s="24" t="s">
        <v>887</v>
      </c>
      <c r="E82" s="402"/>
      <c r="F82" s="301">
        <v>20000</v>
      </c>
    </row>
    <row r="83" spans="1:6" ht="15" x14ac:dyDescent="0.3">
      <c r="A83" s="232">
        <v>45621</v>
      </c>
      <c r="B83" s="9" t="s">
        <v>151</v>
      </c>
      <c r="C83" s="113" t="s">
        <v>820</v>
      </c>
      <c r="D83" s="24" t="s">
        <v>925</v>
      </c>
      <c r="E83" s="402"/>
      <c r="F83" s="301">
        <v>483300</v>
      </c>
    </row>
    <row r="84" spans="1:6" ht="15" x14ac:dyDescent="0.3">
      <c r="A84" s="232">
        <v>45622</v>
      </c>
      <c r="B84" s="9" t="s">
        <v>926</v>
      </c>
      <c r="C84" s="112" t="s">
        <v>820</v>
      </c>
      <c r="D84" s="26" t="s">
        <v>927</v>
      </c>
      <c r="E84" s="300"/>
      <c r="F84" s="299">
        <v>300000</v>
      </c>
    </row>
    <row r="85" spans="1:6" ht="15" x14ac:dyDescent="0.3">
      <c r="A85" s="232">
        <v>45622</v>
      </c>
      <c r="B85" s="9" t="s">
        <v>926</v>
      </c>
      <c r="C85" s="112" t="s">
        <v>820</v>
      </c>
      <c r="D85" s="26" t="s">
        <v>928</v>
      </c>
      <c r="E85" s="300"/>
      <c r="F85" s="299">
        <v>369000</v>
      </c>
    </row>
    <row r="86" spans="1:6" ht="15" x14ac:dyDescent="0.3">
      <c r="A86" s="232">
        <v>45622</v>
      </c>
      <c r="B86" s="9" t="s">
        <v>926</v>
      </c>
      <c r="C86" s="112" t="s">
        <v>820</v>
      </c>
      <c r="D86" s="26" t="s">
        <v>929</v>
      </c>
      <c r="E86" s="300"/>
      <c r="F86" s="299">
        <v>250000</v>
      </c>
    </row>
    <row r="87" spans="1:6" ht="15" x14ac:dyDescent="0.3">
      <c r="A87" s="232">
        <v>45622</v>
      </c>
      <c r="B87" s="9" t="s">
        <v>926</v>
      </c>
      <c r="C87" s="112" t="s">
        <v>820</v>
      </c>
      <c r="D87" s="26" t="s">
        <v>930</v>
      </c>
      <c r="E87" s="300"/>
      <c r="F87" s="299">
        <v>2900</v>
      </c>
    </row>
    <row r="88" spans="1:6" ht="15" x14ac:dyDescent="0.3">
      <c r="A88" s="232">
        <v>45625</v>
      </c>
      <c r="B88" s="9" t="s">
        <v>931</v>
      </c>
      <c r="C88" s="113" t="s">
        <v>820</v>
      </c>
      <c r="D88" s="12" t="s">
        <v>932</v>
      </c>
      <c r="E88" s="402"/>
      <c r="F88" s="301">
        <v>18000</v>
      </c>
    </row>
    <row r="89" spans="1:6" ht="15" x14ac:dyDescent="0.3">
      <c r="A89" s="232">
        <v>45631</v>
      </c>
      <c r="B89" s="9" t="s">
        <v>933</v>
      </c>
      <c r="C89" s="112" t="s">
        <v>820</v>
      </c>
      <c r="D89" s="12" t="s">
        <v>934</v>
      </c>
      <c r="E89" s="300"/>
      <c r="F89" s="299">
        <v>4800000</v>
      </c>
    </row>
    <row r="90" spans="1:6" ht="15" x14ac:dyDescent="0.3">
      <c r="A90" s="232">
        <v>45631</v>
      </c>
      <c r="B90" s="9" t="s">
        <v>933</v>
      </c>
      <c r="C90" s="112" t="s">
        <v>820</v>
      </c>
      <c r="D90" s="12" t="s">
        <v>935</v>
      </c>
      <c r="E90" s="300"/>
      <c r="F90" s="299">
        <v>528000</v>
      </c>
    </row>
    <row r="91" spans="1:6" ht="15" x14ac:dyDescent="0.3">
      <c r="A91" s="232">
        <v>45631</v>
      </c>
      <c r="B91" s="9" t="s">
        <v>933</v>
      </c>
      <c r="C91" s="112" t="s">
        <v>820</v>
      </c>
      <c r="D91" s="12" t="s">
        <v>936</v>
      </c>
      <c r="E91" s="300"/>
      <c r="F91" s="299">
        <v>-96000</v>
      </c>
    </row>
    <row r="92" spans="1:6" ht="15" x14ac:dyDescent="0.3">
      <c r="A92" s="232">
        <v>45631</v>
      </c>
      <c r="B92" s="9" t="s">
        <v>933</v>
      </c>
      <c r="C92" s="112" t="s">
        <v>820</v>
      </c>
      <c r="D92" s="17" t="s">
        <v>937</v>
      </c>
      <c r="E92" s="300"/>
      <c r="F92" s="299">
        <v>2900</v>
      </c>
    </row>
    <row r="93" spans="1:6" ht="15" x14ac:dyDescent="0.3">
      <c r="A93" s="232">
        <v>45632</v>
      </c>
      <c r="B93" s="9" t="s">
        <v>155</v>
      </c>
      <c r="C93" s="112" t="s">
        <v>820</v>
      </c>
      <c r="D93" s="17" t="s">
        <v>938</v>
      </c>
      <c r="E93" s="300"/>
      <c r="F93" s="299">
        <v>60000</v>
      </c>
    </row>
    <row r="94" spans="1:6" ht="15" x14ac:dyDescent="0.3">
      <c r="A94" s="232">
        <v>45638</v>
      </c>
      <c r="B94" s="9" t="s">
        <v>939</v>
      </c>
      <c r="C94" s="112" t="s">
        <v>820</v>
      </c>
      <c r="D94" s="26" t="s">
        <v>163</v>
      </c>
      <c r="E94" s="300"/>
      <c r="F94" s="299">
        <v>529684210.52999997</v>
      </c>
    </row>
    <row r="95" spans="1:6" ht="15" x14ac:dyDescent="0.3">
      <c r="A95" s="232">
        <v>45638</v>
      </c>
      <c r="B95" s="9" t="s">
        <v>940</v>
      </c>
      <c r="C95" s="112" t="s">
        <v>820</v>
      </c>
      <c r="D95" s="26" t="s">
        <v>163</v>
      </c>
      <c r="E95" s="300">
        <v>-529684211</v>
      </c>
      <c r="F95" s="299"/>
    </row>
    <row r="96" spans="1:6" ht="15" x14ac:dyDescent="0.3">
      <c r="A96" s="232">
        <v>45638</v>
      </c>
      <c r="B96" s="9" t="s">
        <v>941</v>
      </c>
      <c r="C96" s="112" t="s">
        <v>820</v>
      </c>
      <c r="D96" s="26" t="s">
        <v>82</v>
      </c>
      <c r="E96" s="300"/>
      <c r="F96" s="299">
        <v>15934666.66</v>
      </c>
    </row>
    <row r="97" spans="1:6" ht="15" x14ac:dyDescent="0.3">
      <c r="A97" s="232">
        <v>45644</v>
      </c>
      <c r="B97" s="9" t="s">
        <v>592</v>
      </c>
      <c r="C97" s="112" t="s">
        <v>820</v>
      </c>
      <c r="D97" s="17" t="s">
        <v>942</v>
      </c>
      <c r="E97" s="300"/>
      <c r="F97" s="299">
        <v>456892</v>
      </c>
    </row>
    <row r="98" spans="1:6" ht="15" x14ac:dyDescent="0.3">
      <c r="A98" s="232">
        <v>45646</v>
      </c>
      <c r="B98" s="9" t="s">
        <v>943</v>
      </c>
      <c r="C98" s="112" t="s">
        <v>820</v>
      </c>
      <c r="D98" s="17" t="s">
        <v>944</v>
      </c>
      <c r="E98" s="300"/>
      <c r="F98" s="299">
        <v>187000</v>
      </c>
    </row>
    <row r="99" spans="1:6" ht="15" x14ac:dyDescent="0.3">
      <c r="A99" s="232">
        <v>45646</v>
      </c>
      <c r="B99" s="9" t="s">
        <v>943</v>
      </c>
      <c r="C99" s="112" t="s">
        <v>820</v>
      </c>
      <c r="D99" s="17" t="s">
        <v>945</v>
      </c>
      <c r="E99" s="300"/>
      <c r="F99" s="299">
        <v>179000</v>
      </c>
    </row>
    <row r="100" spans="1:6" ht="15" x14ac:dyDescent="0.3">
      <c r="A100" s="232">
        <v>45653</v>
      </c>
      <c r="B100" s="9" t="s">
        <v>599</v>
      </c>
      <c r="C100" s="112" t="s">
        <v>820</v>
      </c>
      <c r="D100" s="17" t="s">
        <v>946</v>
      </c>
      <c r="E100" s="300"/>
      <c r="F100" s="299">
        <v>100000</v>
      </c>
    </row>
    <row r="101" spans="1:6" ht="15" x14ac:dyDescent="0.3">
      <c r="A101" s="232">
        <v>45653</v>
      </c>
      <c r="B101" s="9" t="s">
        <v>947</v>
      </c>
      <c r="C101" s="112" t="s">
        <v>820</v>
      </c>
      <c r="D101" s="17" t="s">
        <v>948</v>
      </c>
      <c r="E101" s="300"/>
      <c r="F101" s="299">
        <v>78500</v>
      </c>
    </row>
    <row r="102" spans="1:6" ht="15" x14ac:dyDescent="0.3">
      <c r="A102" s="232">
        <v>45653</v>
      </c>
      <c r="B102" s="9" t="s">
        <v>947</v>
      </c>
      <c r="C102" s="112" t="s">
        <v>820</v>
      </c>
      <c r="D102" s="17" t="s">
        <v>949</v>
      </c>
      <c r="E102" s="300"/>
      <c r="F102" s="299">
        <v>272000</v>
      </c>
    </row>
    <row r="103" spans="1:6" ht="15" x14ac:dyDescent="0.3">
      <c r="A103" s="232">
        <v>45653</v>
      </c>
      <c r="B103" s="9" t="s">
        <v>947</v>
      </c>
      <c r="C103" s="112" t="s">
        <v>820</v>
      </c>
      <c r="D103" s="17" t="s">
        <v>950</v>
      </c>
      <c r="E103" s="300"/>
      <c r="F103" s="299">
        <v>53000</v>
      </c>
    </row>
    <row r="104" spans="1:6" ht="15" x14ac:dyDescent="0.3">
      <c r="A104" s="232">
        <v>45544</v>
      </c>
      <c r="B104" s="9" t="s">
        <v>191</v>
      </c>
      <c r="C104" s="339" t="s">
        <v>820</v>
      </c>
      <c r="D104" s="29" t="s">
        <v>951</v>
      </c>
      <c r="E104" s="294"/>
      <c r="F104" s="295">
        <v>63000</v>
      </c>
    </row>
    <row r="105" spans="1:6" ht="15" x14ac:dyDescent="0.3">
      <c r="A105" s="232">
        <v>45548</v>
      </c>
      <c r="B105" s="9" t="s">
        <v>952</v>
      </c>
      <c r="C105" s="142" t="s">
        <v>820</v>
      </c>
      <c r="D105" s="30" t="s">
        <v>481</v>
      </c>
      <c r="E105" s="294"/>
      <c r="F105" s="295">
        <v>100000</v>
      </c>
    </row>
    <row r="106" spans="1:6" ht="15" x14ac:dyDescent="0.3">
      <c r="A106" s="232">
        <v>45548</v>
      </c>
      <c r="B106" s="9" t="s">
        <v>952</v>
      </c>
      <c r="C106" s="142" t="s">
        <v>820</v>
      </c>
      <c r="D106" s="30" t="s">
        <v>953</v>
      </c>
      <c r="E106" s="294"/>
      <c r="F106" s="295">
        <v>70000</v>
      </c>
    </row>
    <row r="107" spans="1:6" ht="15" x14ac:dyDescent="0.3">
      <c r="A107" s="232">
        <v>45548</v>
      </c>
      <c r="B107" s="9" t="s">
        <v>952</v>
      </c>
      <c r="C107" s="142" t="s">
        <v>820</v>
      </c>
      <c r="D107" s="30" t="s">
        <v>954</v>
      </c>
      <c r="E107" s="294"/>
      <c r="F107" s="295">
        <v>406700</v>
      </c>
    </row>
    <row r="108" spans="1:6" ht="15" x14ac:dyDescent="0.3">
      <c r="A108" s="232">
        <v>45548</v>
      </c>
      <c r="B108" s="9" t="s">
        <v>955</v>
      </c>
      <c r="C108" s="113" t="s">
        <v>820</v>
      </c>
      <c r="D108" s="12" t="s">
        <v>956</v>
      </c>
      <c r="E108" s="294"/>
      <c r="F108" s="295">
        <v>325000</v>
      </c>
    </row>
    <row r="109" spans="1:6" ht="15" x14ac:dyDescent="0.3">
      <c r="A109" s="232">
        <v>45548</v>
      </c>
      <c r="B109" s="9" t="s">
        <v>955</v>
      </c>
      <c r="C109" s="113" t="s">
        <v>820</v>
      </c>
      <c r="D109" s="12" t="s">
        <v>927</v>
      </c>
      <c r="E109" s="294"/>
      <c r="F109" s="295">
        <v>100000</v>
      </c>
    </row>
    <row r="110" spans="1:6" ht="15" x14ac:dyDescent="0.3">
      <c r="A110" s="232">
        <v>45548</v>
      </c>
      <c r="B110" s="9" t="s">
        <v>955</v>
      </c>
      <c r="C110" s="113" t="s">
        <v>820</v>
      </c>
      <c r="D110" s="12" t="s">
        <v>957</v>
      </c>
      <c r="E110" s="294"/>
      <c r="F110" s="295">
        <v>67000</v>
      </c>
    </row>
    <row r="111" spans="1:6" ht="15" x14ac:dyDescent="0.3">
      <c r="A111" s="232">
        <v>45548</v>
      </c>
      <c r="B111" s="9" t="s">
        <v>955</v>
      </c>
      <c r="C111" s="113" t="s">
        <v>820</v>
      </c>
      <c r="D111" s="12" t="s">
        <v>930</v>
      </c>
      <c r="E111" s="294"/>
      <c r="F111" s="295">
        <v>2900</v>
      </c>
    </row>
    <row r="112" spans="1:6" ht="15" x14ac:dyDescent="0.3">
      <c r="A112" s="232">
        <v>45555</v>
      </c>
      <c r="B112" s="9" t="s">
        <v>614</v>
      </c>
      <c r="C112" s="113" t="s">
        <v>820</v>
      </c>
      <c r="D112" s="12" t="s">
        <v>958</v>
      </c>
      <c r="E112" s="294"/>
      <c r="F112" s="295">
        <v>190000</v>
      </c>
    </row>
    <row r="113" spans="1:6" ht="15" x14ac:dyDescent="0.3">
      <c r="A113" s="232">
        <v>45688</v>
      </c>
      <c r="B113" s="9" t="s">
        <v>959</v>
      </c>
      <c r="C113" s="142" t="s">
        <v>820</v>
      </c>
      <c r="D113" s="12" t="s">
        <v>960</v>
      </c>
      <c r="E113" s="404"/>
      <c r="F113" s="305">
        <v>34942539</v>
      </c>
    </row>
    <row r="114" spans="1:6" ht="15" x14ac:dyDescent="0.3">
      <c r="A114" s="232">
        <v>45688</v>
      </c>
      <c r="B114" s="9" t="s">
        <v>959</v>
      </c>
      <c r="C114" s="142" t="s">
        <v>820</v>
      </c>
      <c r="D114" s="12" t="s">
        <v>961</v>
      </c>
      <c r="E114" s="294"/>
      <c r="F114" s="305">
        <v>7941425</v>
      </c>
    </row>
    <row r="115" spans="1:6" ht="15" x14ac:dyDescent="0.3">
      <c r="A115" s="232">
        <v>45688</v>
      </c>
      <c r="B115" s="9" t="s">
        <v>962</v>
      </c>
      <c r="C115" s="142" t="s">
        <v>820</v>
      </c>
      <c r="D115" s="30" t="s">
        <v>963</v>
      </c>
      <c r="E115" s="294"/>
      <c r="F115" s="305">
        <v>5000000</v>
      </c>
    </row>
    <row r="116" spans="1:6" ht="15" x14ac:dyDescent="0.3">
      <c r="A116" s="380">
        <v>45693</v>
      </c>
      <c r="B116" s="145" t="s">
        <v>964</v>
      </c>
      <c r="C116" s="141" t="s">
        <v>820</v>
      </c>
      <c r="D116" s="393" t="s">
        <v>965</v>
      </c>
      <c r="E116" s="400"/>
      <c r="F116" s="405">
        <v>15000000</v>
      </c>
    </row>
    <row r="117" spans="1:6" ht="15" x14ac:dyDescent="0.3">
      <c r="A117" s="232">
        <v>45791</v>
      </c>
      <c r="B117" s="37" t="s">
        <v>628</v>
      </c>
      <c r="C117" s="142" t="s">
        <v>820</v>
      </c>
      <c r="D117" s="30" t="s">
        <v>966</v>
      </c>
      <c r="E117" s="333"/>
      <c r="F117" s="305">
        <v>250195</v>
      </c>
    </row>
    <row r="118" spans="1:6" ht="15" x14ac:dyDescent="0.3">
      <c r="A118" s="232">
        <v>45791</v>
      </c>
      <c r="B118" s="37" t="s">
        <v>628</v>
      </c>
      <c r="C118" s="142" t="s">
        <v>820</v>
      </c>
      <c r="D118" s="30" t="s">
        <v>967</v>
      </c>
      <c r="E118" s="333"/>
      <c r="F118" s="305">
        <v>83383</v>
      </c>
    </row>
    <row r="119" spans="1:6" ht="15" x14ac:dyDescent="0.3">
      <c r="A119" s="232">
        <v>45791</v>
      </c>
      <c r="B119" s="37" t="s">
        <v>628</v>
      </c>
      <c r="C119" s="142" t="s">
        <v>820</v>
      </c>
      <c r="D119" s="30" t="s">
        <v>476</v>
      </c>
      <c r="E119" s="333"/>
      <c r="F119" s="305">
        <v>2500</v>
      </c>
    </row>
    <row r="120" spans="1:6" ht="15" x14ac:dyDescent="0.3">
      <c r="A120" s="232">
        <v>45796</v>
      </c>
      <c r="B120" s="9" t="s">
        <v>968</v>
      </c>
      <c r="C120" s="142" t="s">
        <v>820</v>
      </c>
      <c r="D120" s="30" t="s">
        <v>969</v>
      </c>
      <c r="E120" s="333"/>
      <c r="F120" s="406">
        <v>150000</v>
      </c>
    </row>
    <row r="121" spans="1:6" ht="15" x14ac:dyDescent="0.3">
      <c r="A121" s="232">
        <v>45796</v>
      </c>
      <c r="B121" s="9" t="s">
        <v>968</v>
      </c>
      <c r="C121" s="142" t="s">
        <v>820</v>
      </c>
      <c r="D121" s="30" t="s">
        <v>970</v>
      </c>
      <c r="E121" s="333"/>
      <c r="F121" s="406">
        <v>2500</v>
      </c>
    </row>
    <row r="122" spans="1:6" ht="15" x14ac:dyDescent="0.3">
      <c r="A122" s="232">
        <v>45800</v>
      </c>
      <c r="B122" s="9" t="s">
        <v>971</v>
      </c>
      <c r="C122" s="142" t="s">
        <v>820</v>
      </c>
      <c r="D122" s="394" t="s">
        <v>972</v>
      </c>
      <c r="E122" s="333"/>
      <c r="F122" s="305">
        <v>392770</v>
      </c>
    </row>
    <row r="123" spans="1:6" ht="15" x14ac:dyDescent="0.3">
      <c r="A123" s="232">
        <v>45800</v>
      </c>
      <c r="B123" s="9" t="s">
        <v>208</v>
      </c>
      <c r="C123" s="113" t="s">
        <v>820</v>
      </c>
      <c r="D123" s="12" t="s">
        <v>973</v>
      </c>
      <c r="E123" s="284"/>
      <c r="F123" s="301">
        <v>220000</v>
      </c>
    </row>
    <row r="124" spans="1:6" ht="15" x14ac:dyDescent="0.3">
      <c r="A124" s="232">
        <v>45800</v>
      </c>
      <c r="B124" s="9" t="s">
        <v>208</v>
      </c>
      <c r="C124" s="113" t="s">
        <v>820</v>
      </c>
      <c r="D124" s="12" t="s">
        <v>202</v>
      </c>
      <c r="E124" s="284"/>
      <c r="F124" s="301">
        <v>2500</v>
      </c>
    </row>
    <row r="125" spans="1:6" ht="15" x14ac:dyDescent="0.3">
      <c r="A125" s="232">
        <v>45800</v>
      </c>
      <c r="B125" s="9" t="s">
        <v>208</v>
      </c>
      <c r="C125" s="113" t="s">
        <v>820</v>
      </c>
      <c r="D125" s="12" t="s">
        <v>974</v>
      </c>
      <c r="E125" s="284"/>
      <c r="F125" s="301">
        <v>274888</v>
      </c>
    </row>
    <row r="126" spans="1:6" ht="15" x14ac:dyDescent="0.3">
      <c r="A126" s="232">
        <v>45804</v>
      </c>
      <c r="B126" s="9" t="s">
        <v>975</v>
      </c>
      <c r="C126" s="384" t="s">
        <v>820</v>
      </c>
      <c r="D126" s="26" t="s">
        <v>976</v>
      </c>
      <c r="E126" s="333"/>
      <c r="F126" s="305">
        <v>290000</v>
      </c>
    </row>
    <row r="127" spans="1:6" ht="15" x14ac:dyDescent="0.3">
      <c r="A127" s="232">
        <v>45804</v>
      </c>
      <c r="B127" s="9" t="s">
        <v>975</v>
      </c>
      <c r="C127" s="384" t="s">
        <v>820</v>
      </c>
      <c r="D127" s="26" t="s">
        <v>977</v>
      </c>
      <c r="E127" s="333"/>
      <c r="F127" s="305">
        <v>2500</v>
      </c>
    </row>
    <row r="128" spans="1:6" ht="15" x14ac:dyDescent="0.3">
      <c r="A128" s="232">
        <v>45804</v>
      </c>
      <c r="B128" s="9" t="s">
        <v>215</v>
      </c>
      <c r="C128" s="113" t="s">
        <v>820</v>
      </c>
      <c r="D128" s="12" t="s">
        <v>978</v>
      </c>
      <c r="E128" s="333"/>
      <c r="F128" s="301">
        <v>114900</v>
      </c>
    </row>
    <row r="129" spans="1:6" ht="15" x14ac:dyDescent="0.3">
      <c r="A129" s="232">
        <v>45820</v>
      </c>
      <c r="B129" s="9" t="s">
        <v>979</v>
      </c>
      <c r="C129" s="142" t="s">
        <v>820</v>
      </c>
      <c r="D129" s="30" t="s">
        <v>980</v>
      </c>
      <c r="E129" s="284"/>
      <c r="F129" s="283">
        <v>126830</v>
      </c>
    </row>
    <row r="130" spans="1:6" ht="15" x14ac:dyDescent="0.3">
      <c r="A130" s="232">
        <v>45820</v>
      </c>
      <c r="B130" s="9" t="s">
        <v>979</v>
      </c>
      <c r="C130" s="142" t="s">
        <v>820</v>
      </c>
      <c r="D130" s="30" t="s">
        <v>981</v>
      </c>
      <c r="E130" s="284"/>
      <c r="F130" s="283">
        <v>2500</v>
      </c>
    </row>
    <row r="131" spans="1:6" ht="15" x14ac:dyDescent="0.3">
      <c r="A131" s="232">
        <v>45828</v>
      </c>
      <c r="B131" s="9" t="s">
        <v>982</v>
      </c>
      <c r="C131" s="142" t="s">
        <v>820</v>
      </c>
      <c r="D131" s="26" t="s">
        <v>983</v>
      </c>
      <c r="E131" s="333"/>
      <c r="F131" s="289">
        <v>7002500</v>
      </c>
    </row>
    <row r="132" spans="1:6" ht="15" x14ac:dyDescent="0.3">
      <c r="A132" s="381">
        <v>45842</v>
      </c>
      <c r="B132" s="53" t="s">
        <v>984</v>
      </c>
      <c r="C132" s="385" t="s">
        <v>820</v>
      </c>
      <c r="D132" s="100" t="s">
        <v>985</v>
      </c>
      <c r="E132" s="399"/>
      <c r="F132" s="407">
        <v>200000000</v>
      </c>
    </row>
    <row r="133" spans="1:6" ht="15" x14ac:dyDescent="0.3">
      <c r="A133" s="232">
        <v>45674</v>
      </c>
      <c r="B133" s="9" t="s">
        <v>986</v>
      </c>
      <c r="C133" s="142" t="s">
        <v>820</v>
      </c>
      <c r="D133" s="12" t="s">
        <v>987</v>
      </c>
      <c r="E133" s="282"/>
      <c r="F133" s="301">
        <v>207196850</v>
      </c>
    </row>
    <row r="134" spans="1:6" ht="15" x14ac:dyDescent="0.3">
      <c r="A134" s="232">
        <v>45674</v>
      </c>
      <c r="B134" s="9" t="s">
        <v>986</v>
      </c>
      <c r="C134" s="142" t="s">
        <v>820</v>
      </c>
      <c r="D134" s="12" t="s">
        <v>988</v>
      </c>
      <c r="E134" s="282"/>
      <c r="F134" s="301">
        <v>412250</v>
      </c>
    </row>
    <row r="135" spans="1:6" ht="15" x14ac:dyDescent="0.3">
      <c r="A135" s="232">
        <v>45688</v>
      </c>
      <c r="B135" s="9" t="s">
        <v>16</v>
      </c>
      <c r="C135" s="113" t="s">
        <v>820</v>
      </c>
      <c r="D135" s="12" t="s">
        <v>989</v>
      </c>
      <c r="E135" s="282"/>
      <c r="F135" s="285">
        <v>2500</v>
      </c>
    </row>
    <row r="136" spans="1:6" ht="15" x14ac:dyDescent="0.3">
      <c r="A136" s="232">
        <v>45688</v>
      </c>
      <c r="B136" s="9" t="s">
        <v>16</v>
      </c>
      <c r="C136" s="113" t="s">
        <v>820</v>
      </c>
      <c r="D136" s="12" t="s">
        <v>990</v>
      </c>
      <c r="E136" s="282"/>
      <c r="F136" s="285">
        <v>600000</v>
      </c>
    </row>
    <row r="137" spans="1:6" ht="15" x14ac:dyDescent="0.3">
      <c r="A137" s="232">
        <v>45688</v>
      </c>
      <c r="B137" s="9" t="s">
        <v>16</v>
      </c>
      <c r="C137" s="113" t="s">
        <v>820</v>
      </c>
      <c r="D137" s="12" t="s">
        <v>105</v>
      </c>
      <c r="E137" s="282"/>
      <c r="F137" s="285">
        <v>844020</v>
      </c>
    </row>
    <row r="138" spans="1:6" ht="15" x14ac:dyDescent="0.3">
      <c r="A138" s="232">
        <v>45688</v>
      </c>
      <c r="B138" s="9" t="s">
        <v>16</v>
      </c>
      <c r="C138" s="113" t="s">
        <v>820</v>
      </c>
      <c r="D138" s="12" t="s">
        <v>991</v>
      </c>
      <c r="E138" s="282"/>
      <c r="F138" s="285">
        <v>2500</v>
      </c>
    </row>
    <row r="139" spans="1:6" ht="15" x14ac:dyDescent="0.3">
      <c r="A139" s="232">
        <v>45688</v>
      </c>
      <c r="B139" s="9" t="s">
        <v>16</v>
      </c>
      <c r="C139" s="113" t="s">
        <v>820</v>
      </c>
      <c r="D139" s="12" t="s">
        <v>992</v>
      </c>
      <c r="E139" s="282"/>
      <c r="F139" s="285">
        <v>133000</v>
      </c>
    </row>
    <row r="140" spans="1:6" ht="15" x14ac:dyDescent="0.3">
      <c r="A140" s="232">
        <v>45688</v>
      </c>
      <c r="B140" s="9" t="s">
        <v>16</v>
      </c>
      <c r="C140" s="113" t="s">
        <v>820</v>
      </c>
      <c r="D140" s="12" t="s">
        <v>105</v>
      </c>
      <c r="E140" s="282"/>
      <c r="F140" s="285">
        <v>501820</v>
      </c>
    </row>
    <row r="141" spans="1:6" ht="15" x14ac:dyDescent="0.3">
      <c r="A141" s="232">
        <v>45688</v>
      </c>
      <c r="B141" s="9" t="s">
        <v>16</v>
      </c>
      <c r="C141" s="113" t="s">
        <v>820</v>
      </c>
      <c r="D141" s="12" t="s">
        <v>993</v>
      </c>
      <c r="E141" s="282"/>
      <c r="F141" s="285">
        <v>2500</v>
      </c>
    </row>
    <row r="142" spans="1:6" ht="15" x14ac:dyDescent="0.3">
      <c r="A142" s="232">
        <v>45688</v>
      </c>
      <c r="B142" s="9" t="s">
        <v>16</v>
      </c>
      <c r="C142" s="113" t="s">
        <v>820</v>
      </c>
      <c r="D142" s="12" t="s">
        <v>994</v>
      </c>
      <c r="E142" s="282"/>
      <c r="F142" s="285">
        <v>825000</v>
      </c>
    </row>
    <row r="143" spans="1:6" ht="15" x14ac:dyDescent="0.3">
      <c r="A143" s="232">
        <v>45688</v>
      </c>
      <c r="B143" s="9" t="s">
        <v>16</v>
      </c>
      <c r="C143" s="113" t="s">
        <v>820</v>
      </c>
      <c r="D143" s="12" t="s">
        <v>995</v>
      </c>
      <c r="E143" s="282"/>
      <c r="F143" s="285">
        <v>2500</v>
      </c>
    </row>
    <row r="144" spans="1:6" ht="15" x14ac:dyDescent="0.3">
      <c r="A144" s="232">
        <v>45688</v>
      </c>
      <c r="B144" s="9" t="s">
        <v>16</v>
      </c>
      <c r="C144" s="113" t="s">
        <v>820</v>
      </c>
      <c r="D144" s="12" t="s">
        <v>996</v>
      </c>
      <c r="E144" s="282"/>
      <c r="F144" s="285">
        <v>500000</v>
      </c>
    </row>
    <row r="145" spans="1:6" ht="15" x14ac:dyDescent="0.3">
      <c r="A145" s="232">
        <v>45722</v>
      </c>
      <c r="B145" s="9" t="s">
        <v>997</v>
      </c>
      <c r="C145" s="112" t="s">
        <v>820</v>
      </c>
      <c r="D145" s="30" t="s">
        <v>998</v>
      </c>
      <c r="E145" s="282"/>
      <c r="F145" s="290">
        <v>3900000</v>
      </c>
    </row>
    <row r="146" spans="1:6" ht="15" x14ac:dyDescent="0.3">
      <c r="A146" s="232">
        <v>45722</v>
      </c>
      <c r="B146" s="9" t="s">
        <v>997</v>
      </c>
      <c r="C146" s="112" t="s">
        <v>820</v>
      </c>
      <c r="D146" s="30" t="s">
        <v>999</v>
      </c>
      <c r="E146" s="282"/>
      <c r="F146" s="290">
        <v>429000</v>
      </c>
    </row>
    <row r="147" spans="1:6" ht="15" x14ac:dyDescent="0.3">
      <c r="A147" s="232">
        <v>45722</v>
      </c>
      <c r="B147" s="9" t="s">
        <v>997</v>
      </c>
      <c r="C147" s="112" t="s">
        <v>820</v>
      </c>
      <c r="D147" s="30" t="s">
        <v>1000</v>
      </c>
      <c r="E147" s="282"/>
      <c r="F147" s="290">
        <v>2900</v>
      </c>
    </row>
    <row r="148" spans="1:6" ht="15" x14ac:dyDescent="0.3">
      <c r="A148" s="230">
        <v>45660</v>
      </c>
      <c r="B148" s="11" t="s">
        <v>217</v>
      </c>
      <c r="C148" s="112" t="s">
        <v>820</v>
      </c>
      <c r="D148" s="17" t="s">
        <v>1001</v>
      </c>
      <c r="E148" s="293"/>
      <c r="F148" s="299">
        <v>278500</v>
      </c>
    </row>
    <row r="149" spans="1:6" ht="15" x14ac:dyDescent="0.3">
      <c r="A149" s="230">
        <v>45660</v>
      </c>
      <c r="B149" s="11" t="s">
        <v>217</v>
      </c>
      <c r="C149" s="112" t="s">
        <v>820</v>
      </c>
      <c r="D149" s="17" t="s">
        <v>1002</v>
      </c>
      <c r="E149" s="293"/>
      <c r="F149" s="299">
        <v>92000</v>
      </c>
    </row>
    <row r="150" spans="1:6" ht="15" x14ac:dyDescent="0.3">
      <c r="A150" s="230">
        <v>45665</v>
      </c>
      <c r="B150" s="11" t="s">
        <v>643</v>
      </c>
      <c r="C150" s="112" t="s">
        <v>820</v>
      </c>
      <c r="D150" s="17" t="s">
        <v>1003</v>
      </c>
      <c r="E150" s="282"/>
      <c r="F150" s="289">
        <v>167000</v>
      </c>
    </row>
    <row r="151" spans="1:6" ht="15" x14ac:dyDescent="0.3">
      <c r="A151" s="230">
        <v>45667</v>
      </c>
      <c r="B151" s="11" t="s">
        <v>230</v>
      </c>
      <c r="C151" s="112" t="s">
        <v>820</v>
      </c>
      <c r="D151" s="17" t="s">
        <v>1004</v>
      </c>
      <c r="E151" s="282"/>
      <c r="F151" s="299">
        <v>35000</v>
      </c>
    </row>
    <row r="152" spans="1:6" ht="15" x14ac:dyDescent="0.3">
      <c r="A152" s="230">
        <v>45667</v>
      </c>
      <c r="B152" s="11" t="s">
        <v>230</v>
      </c>
      <c r="C152" s="112" t="s">
        <v>820</v>
      </c>
      <c r="D152" s="17" t="s">
        <v>1005</v>
      </c>
      <c r="E152" s="282"/>
      <c r="F152" s="299">
        <v>221600</v>
      </c>
    </row>
    <row r="153" spans="1:6" ht="15" x14ac:dyDescent="0.3">
      <c r="A153" s="230">
        <v>45672</v>
      </c>
      <c r="B153" s="11" t="s">
        <v>1006</v>
      </c>
      <c r="C153" s="112" t="s">
        <v>820</v>
      </c>
      <c r="D153" s="17" t="s">
        <v>1007</v>
      </c>
      <c r="E153" s="282"/>
      <c r="F153" s="290">
        <v>7932500</v>
      </c>
    </row>
    <row r="154" spans="1:6" ht="15" x14ac:dyDescent="0.3">
      <c r="A154" s="230">
        <v>45672</v>
      </c>
      <c r="B154" s="11" t="s">
        <v>1006</v>
      </c>
      <c r="C154" s="112" t="s">
        <v>820</v>
      </c>
      <c r="D154" s="17" t="s">
        <v>1008</v>
      </c>
      <c r="E154" s="282"/>
      <c r="F154" s="290">
        <v>872575</v>
      </c>
    </row>
    <row r="155" spans="1:6" ht="15" x14ac:dyDescent="0.3">
      <c r="A155" s="230">
        <v>45672</v>
      </c>
      <c r="B155" s="11" t="s">
        <v>1006</v>
      </c>
      <c r="C155" s="112" t="s">
        <v>820</v>
      </c>
      <c r="D155" s="17" t="s">
        <v>1009</v>
      </c>
      <c r="E155" s="282"/>
      <c r="F155" s="290">
        <v>-158650</v>
      </c>
    </row>
    <row r="156" spans="1:6" ht="15" x14ac:dyDescent="0.3">
      <c r="A156" s="230">
        <v>45672</v>
      </c>
      <c r="B156" s="11" t="s">
        <v>1006</v>
      </c>
      <c r="C156" s="112" t="s">
        <v>820</v>
      </c>
      <c r="D156" s="17" t="s">
        <v>1010</v>
      </c>
      <c r="E156" s="282"/>
      <c r="F156" s="290">
        <v>2900</v>
      </c>
    </row>
    <row r="157" spans="1:6" ht="15" x14ac:dyDescent="0.3">
      <c r="A157" s="230">
        <v>45672</v>
      </c>
      <c r="B157" s="11" t="s">
        <v>663</v>
      </c>
      <c r="C157" s="112" t="s">
        <v>820</v>
      </c>
      <c r="D157" s="17" t="s">
        <v>1011</v>
      </c>
      <c r="E157" s="282"/>
      <c r="F157" s="289">
        <v>150000</v>
      </c>
    </row>
    <row r="158" spans="1:6" ht="15" x14ac:dyDescent="0.3">
      <c r="A158" s="230">
        <v>45672</v>
      </c>
      <c r="B158" s="11" t="s">
        <v>663</v>
      </c>
      <c r="C158" s="112" t="s">
        <v>820</v>
      </c>
      <c r="D158" s="17" t="s">
        <v>105</v>
      </c>
      <c r="E158" s="282"/>
      <c r="F158" s="289">
        <v>2000</v>
      </c>
    </row>
    <row r="159" spans="1:6" ht="15" x14ac:dyDescent="0.3">
      <c r="A159" s="230">
        <v>45674</v>
      </c>
      <c r="B159" s="11" t="s">
        <v>235</v>
      </c>
      <c r="C159" s="112" t="s">
        <v>820</v>
      </c>
      <c r="D159" s="17" t="s">
        <v>1012</v>
      </c>
      <c r="E159" s="282"/>
      <c r="F159" s="290">
        <v>100000</v>
      </c>
    </row>
    <row r="160" spans="1:6" ht="15" x14ac:dyDescent="0.3">
      <c r="A160" s="230">
        <v>45674</v>
      </c>
      <c r="B160" s="11" t="s">
        <v>235</v>
      </c>
      <c r="C160" s="112" t="s">
        <v>820</v>
      </c>
      <c r="D160" s="17" t="s">
        <v>1013</v>
      </c>
      <c r="E160" s="282"/>
      <c r="F160" s="290">
        <v>802200</v>
      </c>
    </row>
    <row r="161" spans="1:6" ht="15" x14ac:dyDescent="0.3">
      <c r="A161" s="230">
        <v>45674</v>
      </c>
      <c r="B161" s="11" t="s">
        <v>1014</v>
      </c>
      <c r="C161" s="112" t="s">
        <v>820</v>
      </c>
      <c r="D161" s="17" t="s">
        <v>1015</v>
      </c>
      <c r="E161" s="282"/>
      <c r="F161" s="290">
        <v>547000</v>
      </c>
    </row>
    <row r="162" spans="1:6" ht="15" x14ac:dyDescent="0.3">
      <c r="A162" s="230">
        <v>45674</v>
      </c>
      <c r="B162" s="11" t="s">
        <v>1014</v>
      </c>
      <c r="C162" s="112" t="s">
        <v>820</v>
      </c>
      <c r="D162" s="17" t="s">
        <v>1016</v>
      </c>
      <c r="E162" s="282"/>
      <c r="F162" s="290">
        <v>51000</v>
      </c>
    </row>
    <row r="163" spans="1:6" ht="15" x14ac:dyDescent="0.3">
      <c r="A163" s="230">
        <v>45674</v>
      </c>
      <c r="B163" s="11" t="s">
        <v>1014</v>
      </c>
      <c r="C163" s="112" t="s">
        <v>820</v>
      </c>
      <c r="D163" s="17" t="s">
        <v>1017</v>
      </c>
      <c r="E163" s="282"/>
      <c r="F163" s="290">
        <v>894300</v>
      </c>
    </row>
    <row r="164" spans="1:6" ht="15" x14ac:dyDescent="0.3">
      <c r="A164" s="230">
        <v>45674</v>
      </c>
      <c r="B164" s="11" t="s">
        <v>1014</v>
      </c>
      <c r="C164" s="112" t="s">
        <v>820</v>
      </c>
      <c r="D164" s="17" t="s">
        <v>1018</v>
      </c>
      <c r="E164" s="282"/>
      <c r="F164" s="290">
        <v>80500</v>
      </c>
    </row>
    <row r="165" spans="1:6" ht="15" x14ac:dyDescent="0.3">
      <c r="A165" s="230">
        <v>45674</v>
      </c>
      <c r="B165" s="11" t="s">
        <v>1014</v>
      </c>
      <c r="C165" s="112" t="s">
        <v>820</v>
      </c>
      <c r="D165" s="17" t="s">
        <v>1019</v>
      </c>
      <c r="E165" s="282"/>
      <c r="F165" s="290">
        <v>300000</v>
      </c>
    </row>
    <row r="166" spans="1:6" ht="15" x14ac:dyDescent="0.3">
      <c r="A166" s="230">
        <v>45674</v>
      </c>
      <c r="B166" s="11" t="s">
        <v>1020</v>
      </c>
      <c r="C166" s="386" t="s">
        <v>820</v>
      </c>
      <c r="D166" s="17" t="s">
        <v>1021</v>
      </c>
      <c r="E166" s="282"/>
      <c r="F166" s="290">
        <v>2000000</v>
      </c>
    </row>
    <row r="167" spans="1:6" ht="15" x14ac:dyDescent="0.3">
      <c r="A167" s="230">
        <v>45674</v>
      </c>
      <c r="B167" s="11" t="s">
        <v>1020</v>
      </c>
      <c r="C167" s="386" t="s">
        <v>820</v>
      </c>
      <c r="D167" s="17" t="s">
        <v>1022</v>
      </c>
      <c r="E167" s="282"/>
      <c r="F167" s="290">
        <v>2500</v>
      </c>
    </row>
    <row r="168" spans="1:6" ht="15" x14ac:dyDescent="0.3">
      <c r="A168" s="230">
        <v>45677</v>
      </c>
      <c r="B168" s="11" t="s">
        <v>1023</v>
      </c>
      <c r="C168" s="112" t="s">
        <v>820</v>
      </c>
      <c r="D168" s="17" t="s">
        <v>239</v>
      </c>
      <c r="E168" s="282"/>
      <c r="F168" s="290">
        <v>19918333.329999998</v>
      </c>
    </row>
    <row r="169" spans="1:6" ht="15" x14ac:dyDescent="0.3">
      <c r="A169" s="230">
        <v>45679</v>
      </c>
      <c r="B169" s="11" t="s">
        <v>1024</v>
      </c>
      <c r="C169" s="112" t="s">
        <v>820</v>
      </c>
      <c r="D169" s="17" t="s">
        <v>1025</v>
      </c>
      <c r="E169" s="282"/>
      <c r="F169" s="290">
        <v>612245</v>
      </c>
    </row>
    <row r="170" spans="1:6" ht="15" x14ac:dyDescent="0.3">
      <c r="A170" s="230">
        <v>45679</v>
      </c>
      <c r="B170" s="11" t="s">
        <v>1024</v>
      </c>
      <c r="C170" s="112" t="s">
        <v>820</v>
      </c>
      <c r="D170" s="17" t="s">
        <v>1026</v>
      </c>
      <c r="E170" s="282"/>
      <c r="F170" s="290">
        <v>-12245</v>
      </c>
    </row>
    <row r="171" spans="1:6" ht="15" x14ac:dyDescent="0.3">
      <c r="A171" s="230">
        <v>45679</v>
      </c>
      <c r="B171" s="11" t="s">
        <v>1024</v>
      </c>
      <c r="C171" s="112" t="s">
        <v>820</v>
      </c>
      <c r="D171" s="17" t="s">
        <v>1027</v>
      </c>
      <c r="E171" s="282"/>
      <c r="F171" s="290">
        <v>2500</v>
      </c>
    </row>
    <row r="172" spans="1:6" ht="15" x14ac:dyDescent="0.3">
      <c r="A172" s="230">
        <v>45681</v>
      </c>
      <c r="B172" s="11" t="s">
        <v>684</v>
      </c>
      <c r="C172" s="112" t="s">
        <v>820</v>
      </c>
      <c r="D172" s="17" t="s">
        <v>1028</v>
      </c>
      <c r="E172" s="282"/>
      <c r="F172" s="289">
        <v>60000</v>
      </c>
    </row>
    <row r="173" spans="1:6" ht="15" x14ac:dyDescent="0.3">
      <c r="A173" s="230">
        <v>45681</v>
      </c>
      <c r="B173" s="11" t="s">
        <v>684</v>
      </c>
      <c r="C173" s="112" t="s">
        <v>820</v>
      </c>
      <c r="D173" s="17" t="s">
        <v>1029</v>
      </c>
      <c r="E173" s="282"/>
      <c r="F173" s="289">
        <v>597500</v>
      </c>
    </row>
    <row r="174" spans="1:6" ht="15" x14ac:dyDescent="0.3">
      <c r="A174" s="230">
        <v>45681</v>
      </c>
      <c r="B174" s="11" t="s">
        <v>1030</v>
      </c>
      <c r="C174" s="112" t="s">
        <v>820</v>
      </c>
      <c r="D174" s="17" t="s">
        <v>1031</v>
      </c>
      <c r="E174" s="282"/>
      <c r="F174" s="289">
        <v>412500</v>
      </c>
    </row>
    <row r="175" spans="1:6" ht="15" x14ac:dyDescent="0.3">
      <c r="A175" s="230">
        <v>45681</v>
      </c>
      <c r="B175" s="11" t="s">
        <v>1030</v>
      </c>
      <c r="C175" s="112" t="s">
        <v>820</v>
      </c>
      <c r="D175" s="17" t="s">
        <v>1032</v>
      </c>
      <c r="E175" s="282"/>
      <c r="F175" s="289">
        <v>106500</v>
      </c>
    </row>
    <row r="176" spans="1:6" ht="15" x14ac:dyDescent="0.3">
      <c r="A176" s="230">
        <v>45681</v>
      </c>
      <c r="B176" s="11" t="s">
        <v>1030</v>
      </c>
      <c r="C176" s="112" t="s">
        <v>820</v>
      </c>
      <c r="D176" s="17" t="s">
        <v>1033</v>
      </c>
      <c r="E176" s="282"/>
      <c r="F176" s="289">
        <v>73336</v>
      </c>
    </row>
    <row r="177" spans="1:6" ht="15" x14ac:dyDescent="0.3">
      <c r="A177" s="230">
        <v>45681</v>
      </c>
      <c r="B177" s="11" t="s">
        <v>1034</v>
      </c>
      <c r="C177" s="112" t="s">
        <v>820</v>
      </c>
      <c r="D177" s="17" t="s">
        <v>1035</v>
      </c>
      <c r="E177" s="282"/>
      <c r="F177" s="290">
        <v>19000</v>
      </c>
    </row>
    <row r="178" spans="1:6" ht="15" x14ac:dyDescent="0.3">
      <c r="A178" s="230">
        <v>45681</v>
      </c>
      <c r="B178" s="11" t="s">
        <v>1034</v>
      </c>
      <c r="C178" s="112" t="s">
        <v>820</v>
      </c>
      <c r="D178" s="17" t="s">
        <v>1036</v>
      </c>
      <c r="E178" s="282"/>
      <c r="F178" s="290">
        <v>150000</v>
      </c>
    </row>
    <row r="179" spans="1:6" ht="15" x14ac:dyDescent="0.3">
      <c r="A179" s="230">
        <v>45681</v>
      </c>
      <c r="B179" s="11" t="s">
        <v>1034</v>
      </c>
      <c r="C179" s="112" t="s">
        <v>820</v>
      </c>
      <c r="D179" s="17" t="s">
        <v>1033</v>
      </c>
      <c r="E179" s="282"/>
      <c r="F179" s="290">
        <v>50000</v>
      </c>
    </row>
    <row r="180" spans="1:6" ht="15" x14ac:dyDescent="0.3">
      <c r="A180" s="230">
        <v>45687</v>
      </c>
      <c r="B180" s="11" t="s">
        <v>1037</v>
      </c>
      <c r="C180" s="112" t="s">
        <v>820</v>
      </c>
      <c r="D180" s="17" t="s">
        <v>1035</v>
      </c>
      <c r="E180" s="282"/>
      <c r="F180" s="290">
        <v>118000</v>
      </c>
    </row>
    <row r="181" spans="1:6" ht="15" x14ac:dyDescent="0.3">
      <c r="A181" s="230">
        <v>45687</v>
      </c>
      <c r="B181" s="11" t="s">
        <v>1037</v>
      </c>
      <c r="C181" s="112" t="s">
        <v>820</v>
      </c>
      <c r="D181" s="17" t="s">
        <v>1038</v>
      </c>
      <c r="E181" s="282"/>
      <c r="F181" s="290">
        <v>878120</v>
      </c>
    </row>
    <row r="182" spans="1:6" ht="15" x14ac:dyDescent="0.3">
      <c r="A182" s="230">
        <v>45687</v>
      </c>
      <c r="B182" s="11" t="s">
        <v>1037</v>
      </c>
      <c r="C182" s="112" t="s">
        <v>820</v>
      </c>
      <c r="D182" s="17" t="s">
        <v>1039</v>
      </c>
      <c r="E182" s="282"/>
      <c r="F182" s="290">
        <v>190000</v>
      </c>
    </row>
    <row r="183" spans="1:6" ht="15" x14ac:dyDescent="0.3">
      <c r="A183" s="230">
        <v>45687</v>
      </c>
      <c r="B183" s="11" t="s">
        <v>1037</v>
      </c>
      <c r="C183" s="112" t="s">
        <v>820</v>
      </c>
      <c r="D183" s="17" t="s">
        <v>1040</v>
      </c>
      <c r="E183" s="282"/>
      <c r="F183" s="290">
        <v>140000</v>
      </c>
    </row>
    <row r="184" spans="1:6" ht="15" x14ac:dyDescent="0.3">
      <c r="A184" s="230">
        <v>45687</v>
      </c>
      <c r="B184" s="11" t="s">
        <v>1037</v>
      </c>
      <c r="C184" s="112" t="s">
        <v>820</v>
      </c>
      <c r="D184" s="17" t="s">
        <v>1041</v>
      </c>
      <c r="E184" s="282"/>
      <c r="F184" s="290">
        <v>1779284</v>
      </c>
    </row>
    <row r="185" spans="1:6" ht="15" x14ac:dyDescent="0.3">
      <c r="A185" s="230">
        <v>45691</v>
      </c>
      <c r="B185" s="11" t="s">
        <v>1042</v>
      </c>
      <c r="C185" s="112" t="s">
        <v>820</v>
      </c>
      <c r="D185" s="17" t="s">
        <v>1043</v>
      </c>
      <c r="E185" s="282"/>
      <c r="F185" s="290">
        <v>123000</v>
      </c>
    </row>
    <row r="186" spans="1:6" ht="15" x14ac:dyDescent="0.3">
      <c r="A186" s="230">
        <v>45691</v>
      </c>
      <c r="B186" s="11" t="s">
        <v>1042</v>
      </c>
      <c r="C186" s="112" t="s">
        <v>820</v>
      </c>
      <c r="D186" s="17" t="s">
        <v>1044</v>
      </c>
      <c r="E186" s="282"/>
      <c r="F186" s="290">
        <v>290000</v>
      </c>
    </row>
    <row r="187" spans="1:6" ht="15" x14ac:dyDescent="0.3">
      <c r="A187" s="230">
        <v>45691</v>
      </c>
      <c r="B187" s="11" t="s">
        <v>1042</v>
      </c>
      <c r="C187" s="112" t="s">
        <v>820</v>
      </c>
      <c r="D187" s="17" t="s">
        <v>1045</v>
      </c>
      <c r="E187" s="282"/>
      <c r="F187" s="290">
        <v>8000</v>
      </c>
    </row>
    <row r="188" spans="1:6" ht="15" x14ac:dyDescent="0.3">
      <c r="A188" s="230">
        <v>45691</v>
      </c>
      <c r="B188" s="11" t="s">
        <v>1042</v>
      </c>
      <c r="C188" s="112" t="s">
        <v>820</v>
      </c>
      <c r="D188" s="17" t="s">
        <v>1046</v>
      </c>
      <c r="E188" s="282"/>
      <c r="F188" s="290">
        <v>61000</v>
      </c>
    </row>
    <row r="189" spans="1:6" ht="15" x14ac:dyDescent="0.3">
      <c r="A189" s="230">
        <v>45691</v>
      </c>
      <c r="B189" s="11" t="s">
        <v>693</v>
      </c>
      <c r="C189" s="112" t="s">
        <v>820</v>
      </c>
      <c r="D189" s="17" t="s">
        <v>1047</v>
      </c>
      <c r="E189" s="282"/>
      <c r="F189" s="290">
        <v>627000</v>
      </c>
    </row>
    <row r="190" spans="1:6" ht="15" x14ac:dyDescent="0.3">
      <c r="A190" s="230">
        <v>45693</v>
      </c>
      <c r="B190" s="11" t="s">
        <v>1048</v>
      </c>
      <c r="C190" s="112" t="s">
        <v>820</v>
      </c>
      <c r="D190" s="63" t="s">
        <v>1049</v>
      </c>
      <c r="E190" s="291"/>
      <c r="F190" s="285">
        <v>231400</v>
      </c>
    </row>
    <row r="191" spans="1:6" ht="15" x14ac:dyDescent="0.3">
      <c r="A191" s="230">
        <v>45693</v>
      </c>
      <c r="B191" s="11" t="s">
        <v>1048</v>
      </c>
      <c r="C191" s="112" t="s">
        <v>820</v>
      </c>
      <c r="D191" s="63" t="s">
        <v>1050</v>
      </c>
      <c r="E191" s="291"/>
      <c r="F191" s="285">
        <v>1667000</v>
      </c>
    </row>
    <row r="192" spans="1:6" ht="15" x14ac:dyDescent="0.3">
      <c r="A192" s="230">
        <v>45693</v>
      </c>
      <c r="B192" s="11" t="s">
        <v>1048</v>
      </c>
      <c r="C192" s="112" t="s">
        <v>820</v>
      </c>
      <c r="D192" s="63" t="s">
        <v>1051</v>
      </c>
      <c r="E192" s="291"/>
      <c r="F192" s="285">
        <v>2500</v>
      </c>
    </row>
    <row r="193" spans="1:6" ht="15" x14ac:dyDescent="0.3">
      <c r="A193" s="230">
        <v>45693</v>
      </c>
      <c r="B193" s="11" t="s">
        <v>1048</v>
      </c>
      <c r="C193" s="112" t="s">
        <v>820</v>
      </c>
      <c r="D193" s="63" t="s">
        <v>1052</v>
      </c>
      <c r="E193" s="291"/>
      <c r="F193" s="285">
        <v>1989796</v>
      </c>
    </row>
    <row r="194" spans="1:6" ht="15" x14ac:dyDescent="0.3">
      <c r="A194" s="230">
        <v>45693</v>
      </c>
      <c r="B194" s="11" t="s">
        <v>1048</v>
      </c>
      <c r="C194" s="112" t="s">
        <v>820</v>
      </c>
      <c r="D194" s="63" t="s">
        <v>1053</v>
      </c>
      <c r="E194" s="291"/>
      <c r="F194" s="285">
        <v>-39796</v>
      </c>
    </row>
    <row r="195" spans="1:6" ht="15" x14ac:dyDescent="0.3">
      <c r="A195" s="230">
        <v>45693</v>
      </c>
      <c r="B195" s="11" t="s">
        <v>1048</v>
      </c>
      <c r="C195" s="112" t="s">
        <v>820</v>
      </c>
      <c r="D195" s="63" t="s">
        <v>1054</v>
      </c>
      <c r="E195" s="291"/>
      <c r="F195" s="285">
        <v>2500</v>
      </c>
    </row>
    <row r="196" spans="1:6" ht="15" x14ac:dyDescent="0.3">
      <c r="A196" s="230">
        <v>45693</v>
      </c>
      <c r="B196" s="11" t="s">
        <v>1048</v>
      </c>
      <c r="C196" s="112" t="s">
        <v>820</v>
      </c>
      <c r="D196" s="63" t="s">
        <v>1049</v>
      </c>
      <c r="E196" s="291"/>
      <c r="F196" s="285">
        <v>429000</v>
      </c>
    </row>
    <row r="197" spans="1:6" ht="15" x14ac:dyDescent="0.3">
      <c r="A197" s="230">
        <v>45693</v>
      </c>
      <c r="B197" s="11" t="s">
        <v>1048</v>
      </c>
      <c r="C197" s="112" t="s">
        <v>820</v>
      </c>
      <c r="D197" s="63" t="s">
        <v>1055</v>
      </c>
      <c r="E197" s="291"/>
      <c r="F197" s="285">
        <v>2500</v>
      </c>
    </row>
    <row r="198" spans="1:6" ht="15" x14ac:dyDescent="0.3">
      <c r="A198" s="230">
        <v>45693</v>
      </c>
      <c r="B198" s="11" t="s">
        <v>1048</v>
      </c>
      <c r="C198" s="112" t="s">
        <v>820</v>
      </c>
      <c r="D198" s="63" t="s">
        <v>1049</v>
      </c>
      <c r="E198" s="291"/>
      <c r="F198" s="285">
        <v>938300</v>
      </c>
    </row>
    <row r="199" spans="1:6" ht="15" x14ac:dyDescent="0.3">
      <c r="A199" s="230">
        <v>45693</v>
      </c>
      <c r="B199" s="11" t="s">
        <v>1048</v>
      </c>
      <c r="C199" s="112" t="s">
        <v>820</v>
      </c>
      <c r="D199" s="63" t="s">
        <v>1049</v>
      </c>
      <c r="E199" s="291"/>
      <c r="F199" s="285">
        <v>545050</v>
      </c>
    </row>
    <row r="200" spans="1:6" ht="15" x14ac:dyDescent="0.3">
      <c r="A200" s="230">
        <v>45693</v>
      </c>
      <c r="B200" s="11" t="s">
        <v>1048</v>
      </c>
      <c r="C200" s="112" t="s">
        <v>820</v>
      </c>
      <c r="D200" s="63" t="s">
        <v>1055</v>
      </c>
      <c r="E200" s="291"/>
      <c r="F200" s="285">
        <v>2500</v>
      </c>
    </row>
    <row r="201" spans="1:6" ht="15" x14ac:dyDescent="0.3">
      <c r="A201" s="230">
        <v>45693</v>
      </c>
      <c r="B201" s="11" t="s">
        <v>1056</v>
      </c>
      <c r="C201" s="112" t="s">
        <v>820</v>
      </c>
      <c r="D201" s="17" t="s">
        <v>1057</v>
      </c>
      <c r="E201" s="282"/>
      <c r="F201" s="289">
        <v>7468010</v>
      </c>
    </row>
    <row r="202" spans="1:6" ht="15" x14ac:dyDescent="0.3">
      <c r="A202" s="230">
        <v>45693</v>
      </c>
      <c r="B202" s="11" t="s">
        <v>1056</v>
      </c>
      <c r="C202" s="112" t="s">
        <v>820</v>
      </c>
      <c r="D202" s="17" t="s">
        <v>1058</v>
      </c>
      <c r="E202" s="282"/>
      <c r="F202" s="289">
        <v>821481</v>
      </c>
    </row>
    <row r="203" spans="1:6" ht="15" x14ac:dyDescent="0.3">
      <c r="A203" s="230">
        <v>45693</v>
      </c>
      <c r="B203" s="11" t="s">
        <v>1056</v>
      </c>
      <c r="C203" s="112" t="s">
        <v>820</v>
      </c>
      <c r="D203" s="17" t="s">
        <v>105</v>
      </c>
      <c r="E203" s="282"/>
      <c r="F203" s="289">
        <v>2900</v>
      </c>
    </row>
    <row r="204" spans="1:6" ht="15" x14ac:dyDescent="0.3">
      <c r="A204" s="230">
        <v>45693</v>
      </c>
      <c r="B204" s="11" t="s">
        <v>1059</v>
      </c>
      <c r="C204" s="112" t="s">
        <v>820</v>
      </c>
      <c r="D204" s="17" t="s">
        <v>1060</v>
      </c>
      <c r="E204" s="282"/>
      <c r="F204" s="289">
        <v>360000000</v>
      </c>
    </row>
    <row r="205" spans="1:6" ht="15" x14ac:dyDescent="0.3">
      <c r="A205" s="230">
        <v>45693</v>
      </c>
      <c r="B205" s="11" t="s">
        <v>1059</v>
      </c>
      <c r="C205" s="112" t="s">
        <v>820</v>
      </c>
      <c r="D205" s="17" t="s">
        <v>1061</v>
      </c>
      <c r="E205" s="282"/>
      <c r="F205" s="289">
        <v>39600000</v>
      </c>
    </row>
    <row r="206" spans="1:6" ht="15" x14ac:dyDescent="0.3">
      <c r="A206" s="230">
        <v>45693</v>
      </c>
      <c r="B206" s="11" t="s">
        <v>1059</v>
      </c>
      <c r="C206" s="112" t="s">
        <v>820</v>
      </c>
      <c r="D206" s="17" t="s">
        <v>1062</v>
      </c>
      <c r="E206" s="282"/>
      <c r="F206" s="289">
        <v>-13500000</v>
      </c>
    </row>
    <row r="207" spans="1:6" ht="15" x14ac:dyDescent="0.3">
      <c r="A207" s="230">
        <v>45693</v>
      </c>
      <c r="B207" s="11" t="s">
        <v>1059</v>
      </c>
      <c r="C207" s="112" t="s">
        <v>820</v>
      </c>
      <c r="D207" s="17" t="s">
        <v>105</v>
      </c>
      <c r="E207" s="282"/>
      <c r="F207" s="289">
        <v>2900</v>
      </c>
    </row>
    <row r="208" spans="1:6" ht="15" x14ac:dyDescent="0.3">
      <c r="A208" s="230">
        <v>45695</v>
      </c>
      <c r="B208" s="11" t="s">
        <v>1063</v>
      </c>
      <c r="C208" s="112" t="s">
        <v>820</v>
      </c>
      <c r="D208" s="17" t="s">
        <v>1036</v>
      </c>
      <c r="E208" s="282"/>
      <c r="F208" s="290">
        <v>221700</v>
      </c>
    </row>
    <row r="209" spans="1:6" ht="15" x14ac:dyDescent="0.3">
      <c r="A209" s="230">
        <v>45695</v>
      </c>
      <c r="B209" s="11" t="s">
        <v>1063</v>
      </c>
      <c r="C209" s="112" t="s">
        <v>820</v>
      </c>
      <c r="D209" s="17" t="s">
        <v>1035</v>
      </c>
      <c r="E209" s="282"/>
      <c r="F209" s="290">
        <v>106000</v>
      </c>
    </row>
    <row r="210" spans="1:6" ht="15" x14ac:dyDescent="0.3">
      <c r="A210" s="230">
        <v>45695</v>
      </c>
      <c r="B210" s="11" t="s">
        <v>1063</v>
      </c>
      <c r="C210" s="112" t="s">
        <v>820</v>
      </c>
      <c r="D210" s="17" t="s">
        <v>1064</v>
      </c>
      <c r="E210" s="282"/>
      <c r="F210" s="290">
        <v>1161800</v>
      </c>
    </row>
    <row r="211" spans="1:6" ht="15" x14ac:dyDescent="0.3">
      <c r="A211" s="230">
        <v>45698</v>
      </c>
      <c r="B211" s="11" t="s">
        <v>1065</v>
      </c>
      <c r="C211" s="112" t="s">
        <v>820</v>
      </c>
      <c r="D211" s="17" t="s">
        <v>24</v>
      </c>
      <c r="E211" s="282"/>
      <c r="F211" s="290">
        <v>101000</v>
      </c>
    </row>
    <row r="212" spans="1:6" ht="15" x14ac:dyDescent="0.3">
      <c r="A212" s="230">
        <v>45698</v>
      </c>
      <c r="B212" s="11" t="s">
        <v>1065</v>
      </c>
      <c r="C212" s="112" t="s">
        <v>820</v>
      </c>
      <c r="D212" s="17" t="s">
        <v>1066</v>
      </c>
      <c r="E212" s="282"/>
      <c r="F212" s="290">
        <v>493060</v>
      </c>
    </row>
    <row r="213" spans="1:6" ht="15" x14ac:dyDescent="0.3">
      <c r="A213" s="230">
        <v>45698</v>
      </c>
      <c r="B213" s="11" t="s">
        <v>1065</v>
      </c>
      <c r="C213" s="112" t="s">
        <v>820</v>
      </c>
      <c r="D213" s="17" t="s">
        <v>1067</v>
      </c>
      <c r="E213" s="282"/>
      <c r="F213" s="290">
        <v>58300</v>
      </c>
    </row>
    <row r="214" spans="1:6" ht="15" x14ac:dyDescent="0.3">
      <c r="A214" s="230">
        <v>45698</v>
      </c>
      <c r="B214" s="11" t="s">
        <v>1065</v>
      </c>
      <c r="C214" s="112" t="s">
        <v>820</v>
      </c>
      <c r="D214" s="17" t="s">
        <v>1068</v>
      </c>
      <c r="E214" s="282"/>
      <c r="F214" s="290">
        <v>319400</v>
      </c>
    </row>
    <row r="215" spans="1:6" ht="15" x14ac:dyDescent="0.3">
      <c r="A215" s="230">
        <v>45698</v>
      </c>
      <c r="B215" s="11" t="s">
        <v>1065</v>
      </c>
      <c r="C215" s="112" t="s">
        <v>820</v>
      </c>
      <c r="D215" s="17" t="s">
        <v>1069</v>
      </c>
      <c r="E215" s="282"/>
      <c r="F215" s="290">
        <v>1000000</v>
      </c>
    </row>
    <row r="216" spans="1:6" ht="15" x14ac:dyDescent="0.3">
      <c r="A216" s="230">
        <v>45698</v>
      </c>
      <c r="B216" s="11" t="s">
        <v>1065</v>
      </c>
      <c r="C216" s="112" t="s">
        <v>820</v>
      </c>
      <c r="D216" s="17" t="s">
        <v>24</v>
      </c>
      <c r="E216" s="282"/>
      <c r="F216" s="290">
        <v>168000</v>
      </c>
    </row>
    <row r="217" spans="1:6" ht="15" x14ac:dyDescent="0.3">
      <c r="A217" s="230">
        <v>45698</v>
      </c>
      <c r="B217" s="11" t="s">
        <v>1065</v>
      </c>
      <c r="C217" s="112" t="s">
        <v>820</v>
      </c>
      <c r="D217" s="17" t="s">
        <v>25</v>
      </c>
      <c r="E217" s="282"/>
      <c r="F217" s="290">
        <v>300000</v>
      </c>
    </row>
    <row r="218" spans="1:6" ht="15" x14ac:dyDescent="0.3">
      <c r="A218" s="230">
        <v>45698</v>
      </c>
      <c r="B218" s="11" t="s">
        <v>1065</v>
      </c>
      <c r="C218" s="112" t="s">
        <v>820</v>
      </c>
      <c r="D218" s="17" t="s">
        <v>1070</v>
      </c>
      <c r="E218" s="282"/>
      <c r="F218" s="290">
        <v>10900</v>
      </c>
    </row>
    <row r="219" spans="1:6" ht="15" x14ac:dyDescent="0.3">
      <c r="A219" s="230">
        <v>45698</v>
      </c>
      <c r="B219" s="11" t="s">
        <v>1065</v>
      </c>
      <c r="C219" s="112" t="s">
        <v>820</v>
      </c>
      <c r="D219" s="17" t="s">
        <v>1068</v>
      </c>
      <c r="E219" s="282"/>
      <c r="F219" s="290">
        <v>28000</v>
      </c>
    </row>
    <row r="220" spans="1:6" ht="15" x14ac:dyDescent="0.3">
      <c r="A220" s="230">
        <v>45698</v>
      </c>
      <c r="B220" s="11" t="s">
        <v>1065</v>
      </c>
      <c r="C220" s="112" t="s">
        <v>820</v>
      </c>
      <c r="D220" s="17" t="s">
        <v>24</v>
      </c>
      <c r="E220" s="282"/>
      <c r="F220" s="290">
        <v>70000</v>
      </c>
    </row>
    <row r="221" spans="1:6" ht="15" x14ac:dyDescent="0.3">
      <c r="A221" s="230">
        <v>45698</v>
      </c>
      <c r="B221" s="11" t="s">
        <v>1065</v>
      </c>
      <c r="C221" s="112" t="s">
        <v>820</v>
      </c>
      <c r="D221" s="17" t="s">
        <v>25</v>
      </c>
      <c r="E221" s="282"/>
      <c r="F221" s="290">
        <v>200000</v>
      </c>
    </row>
    <row r="222" spans="1:6" ht="15" x14ac:dyDescent="0.3">
      <c r="A222" s="230">
        <v>45698</v>
      </c>
      <c r="B222" s="11" t="s">
        <v>1065</v>
      </c>
      <c r="C222" s="112" t="s">
        <v>820</v>
      </c>
      <c r="D222" s="17" t="s">
        <v>1068</v>
      </c>
      <c r="E222" s="282"/>
      <c r="F222" s="290">
        <v>234500</v>
      </c>
    </row>
    <row r="223" spans="1:6" ht="15" x14ac:dyDescent="0.3">
      <c r="A223" s="230">
        <v>45698</v>
      </c>
      <c r="B223" s="11" t="s">
        <v>1065</v>
      </c>
      <c r="C223" s="112" t="s">
        <v>820</v>
      </c>
      <c r="D223" s="17" t="s">
        <v>302</v>
      </c>
      <c r="E223" s="282"/>
      <c r="F223" s="290">
        <v>2900</v>
      </c>
    </row>
    <row r="224" spans="1:6" ht="15" x14ac:dyDescent="0.3">
      <c r="A224" s="230">
        <v>45698</v>
      </c>
      <c r="B224" s="11" t="s">
        <v>1071</v>
      </c>
      <c r="C224" s="112" t="s">
        <v>820</v>
      </c>
      <c r="D224" s="28" t="s">
        <v>1072</v>
      </c>
      <c r="E224" s="282"/>
      <c r="F224" s="290">
        <v>44202613</v>
      </c>
    </row>
    <row r="225" spans="1:6" ht="15" x14ac:dyDescent="0.3">
      <c r="A225" s="230">
        <v>45698</v>
      </c>
      <c r="B225" s="11" t="s">
        <v>1071</v>
      </c>
      <c r="C225" s="112" t="s">
        <v>820</v>
      </c>
      <c r="D225" s="16" t="s">
        <v>1073</v>
      </c>
      <c r="E225" s="282"/>
      <c r="F225" s="290">
        <v>4862287</v>
      </c>
    </row>
    <row r="226" spans="1:6" ht="15" x14ac:dyDescent="0.3">
      <c r="A226" s="230">
        <v>45700</v>
      </c>
      <c r="B226" s="11" t="s">
        <v>1074</v>
      </c>
      <c r="C226" s="112" t="s">
        <v>820</v>
      </c>
      <c r="D226" s="12" t="s">
        <v>1075</v>
      </c>
      <c r="E226" s="282"/>
      <c r="F226" s="290">
        <v>3700000</v>
      </c>
    </row>
    <row r="227" spans="1:6" ht="15" x14ac:dyDescent="0.3">
      <c r="A227" s="230">
        <v>45700</v>
      </c>
      <c r="B227" s="11" t="s">
        <v>1074</v>
      </c>
      <c r="C227" s="112" t="s">
        <v>820</v>
      </c>
      <c r="D227" s="12" t="s">
        <v>1076</v>
      </c>
      <c r="E227" s="282"/>
      <c r="F227" s="290">
        <v>2500</v>
      </c>
    </row>
    <row r="228" spans="1:6" ht="15" x14ac:dyDescent="0.3">
      <c r="A228" s="230">
        <v>45700</v>
      </c>
      <c r="B228" s="11" t="s">
        <v>1077</v>
      </c>
      <c r="C228" s="112" t="s">
        <v>820</v>
      </c>
      <c r="D228" s="12" t="s">
        <v>1013</v>
      </c>
      <c r="E228" s="282"/>
      <c r="F228" s="290">
        <v>937300</v>
      </c>
    </row>
    <row r="229" spans="1:6" ht="15" x14ac:dyDescent="0.3">
      <c r="A229" s="230">
        <v>45702</v>
      </c>
      <c r="B229" s="11" t="s">
        <v>247</v>
      </c>
      <c r="C229" s="113" t="s">
        <v>820</v>
      </c>
      <c r="D229" s="16" t="s">
        <v>1078</v>
      </c>
      <c r="E229" s="282"/>
      <c r="F229" s="290">
        <v>100000</v>
      </c>
    </row>
    <row r="230" spans="1:6" ht="15" x14ac:dyDescent="0.3">
      <c r="A230" s="230">
        <v>45702</v>
      </c>
      <c r="B230" s="11" t="s">
        <v>247</v>
      </c>
      <c r="C230" s="113" t="s">
        <v>820</v>
      </c>
      <c r="D230" s="16" t="s">
        <v>1047</v>
      </c>
      <c r="E230" s="282"/>
      <c r="F230" s="290">
        <v>462800</v>
      </c>
    </row>
    <row r="231" spans="1:6" ht="15" x14ac:dyDescent="0.3">
      <c r="A231" s="230">
        <v>45702</v>
      </c>
      <c r="B231" s="11" t="s">
        <v>247</v>
      </c>
      <c r="C231" s="113" t="s">
        <v>820</v>
      </c>
      <c r="D231" s="16" t="s">
        <v>1079</v>
      </c>
      <c r="E231" s="282"/>
      <c r="F231" s="290">
        <v>125700</v>
      </c>
    </row>
    <row r="232" spans="1:6" ht="15" x14ac:dyDescent="0.3">
      <c r="A232" s="230">
        <v>45702</v>
      </c>
      <c r="B232" s="11" t="s">
        <v>1080</v>
      </c>
      <c r="C232" s="112" t="s">
        <v>820</v>
      </c>
      <c r="D232" s="12" t="s">
        <v>1081</v>
      </c>
      <c r="E232" s="282"/>
      <c r="F232" s="290">
        <v>100000</v>
      </c>
    </row>
    <row r="233" spans="1:6" ht="15" x14ac:dyDescent="0.3">
      <c r="A233" s="230">
        <v>45702</v>
      </c>
      <c r="B233" s="11" t="s">
        <v>1080</v>
      </c>
      <c r="C233" s="112" t="s">
        <v>820</v>
      </c>
      <c r="D233" s="12" t="s">
        <v>1082</v>
      </c>
      <c r="E233" s="282"/>
      <c r="F233" s="290">
        <v>38500</v>
      </c>
    </row>
    <row r="234" spans="1:6" ht="15" x14ac:dyDescent="0.3">
      <c r="A234" s="230">
        <v>45702</v>
      </c>
      <c r="B234" s="11" t="s">
        <v>1080</v>
      </c>
      <c r="C234" s="112" t="s">
        <v>820</v>
      </c>
      <c r="D234" s="12" t="s">
        <v>105</v>
      </c>
      <c r="E234" s="282"/>
      <c r="F234" s="290">
        <v>2900</v>
      </c>
    </row>
    <row r="235" spans="1:6" ht="15" x14ac:dyDescent="0.3">
      <c r="A235" s="230">
        <v>45707</v>
      </c>
      <c r="B235" s="11" t="s">
        <v>1083</v>
      </c>
      <c r="C235" s="112" t="s">
        <v>820</v>
      </c>
      <c r="D235" s="17" t="s">
        <v>82</v>
      </c>
      <c r="E235" s="282"/>
      <c r="F235" s="290">
        <v>19918333.329999998</v>
      </c>
    </row>
    <row r="236" spans="1:6" ht="15" x14ac:dyDescent="0.3">
      <c r="A236" s="230">
        <v>45708</v>
      </c>
      <c r="B236" s="11" t="s">
        <v>1084</v>
      </c>
      <c r="C236" s="113" t="s">
        <v>820</v>
      </c>
      <c r="D236" s="16" t="s">
        <v>1085</v>
      </c>
      <c r="E236" s="282"/>
      <c r="F236" s="290">
        <v>18270000</v>
      </c>
    </row>
    <row r="237" spans="1:6" ht="15" x14ac:dyDescent="0.3">
      <c r="A237" s="230">
        <v>45708</v>
      </c>
      <c r="B237" s="11" t="s">
        <v>1084</v>
      </c>
      <c r="C237" s="113" t="s">
        <v>820</v>
      </c>
      <c r="D237" s="16" t="s">
        <v>1086</v>
      </c>
      <c r="E237" s="282"/>
      <c r="F237" s="290">
        <v>2009700</v>
      </c>
    </row>
    <row r="238" spans="1:6" ht="15" x14ac:dyDescent="0.3">
      <c r="A238" s="230">
        <v>45708</v>
      </c>
      <c r="B238" s="11" t="s">
        <v>1084</v>
      </c>
      <c r="C238" s="113" t="s">
        <v>820</v>
      </c>
      <c r="D238" s="16" t="s">
        <v>105</v>
      </c>
      <c r="E238" s="282"/>
      <c r="F238" s="290">
        <v>2900</v>
      </c>
    </row>
    <row r="239" spans="1:6" ht="15" x14ac:dyDescent="0.3">
      <c r="A239" s="230">
        <v>45708</v>
      </c>
      <c r="B239" s="11" t="s">
        <v>1087</v>
      </c>
      <c r="C239" s="387" t="s">
        <v>820</v>
      </c>
      <c r="D239" s="64" t="s">
        <v>1088</v>
      </c>
      <c r="E239" s="291"/>
      <c r="F239" s="285">
        <v>66000</v>
      </c>
    </row>
    <row r="240" spans="1:6" ht="15" x14ac:dyDescent="0.3">
      <c r="A240" s="230">
        <v>45708</v>
      </c>
      <c r="B240" s="11" t="s">
        <v>1087</v>
      </c>
      <c r="C240" s="387" t="s">
        <v>820</v>
      </c>
      <c r="D240" s="64" t="s">
        <v>1089</v>
      </c>
      <c r="E240" s="291"/>
      <c r="F240" s="285">
        <v>97000</v>
      </c>
    </row>
    <row r="241" spans="1:6" ht="15" x14ac:dyDescent="0.3">
      <c r="A241" s="230">
        <v>45708</v>
      </c>
      <c r="B241" s="11" t="s">
        <v>1087</v>
      </c>
      <c r="C241" s="387" t="s">
        <v>820</v>
      </c>
      <c r="D241" s="64" t="s">
        <v>1090</v>
      </c>
      <c r="E241" s="291"/>
      <c r="F241" s="285">
        <v>393997</v>
      </c>
    </row>
    <row r="242" spans="1:6" ht="15" x14ac:dyDescent="0.3">
      <c r="A242" s="230">
        <v>45708</v>
      </c>
      <c r="B242" s="11" t="s">
        <v>1087</v>
      </c>
      <c r="C242" s="387" t="s">
        <v>820</v>
      </c>
      <c r="D242" s="64" t="s">
        <v>1091</v>
      </c>
      <c r="E242" s="291"/>
      <c r="F242" s="285">
        <v>4000000</v>
      </c>
    </row>
    <row r="243" spans="1:6" ht="15" x14ac:dyDescent="0.3">
      <c r="A243" s="230">
        <v>45708</v>
      </c>
      <c r="B243" s="11" t="s">
        <v>1087</v>
      </c>
      <c r="C243" s="387" t="s">
        <v>820</v>
      </c>
      <c r="D243" s="64" t="s">
        <v>105</v>
      </c>
      <c r="E243" s="291"/>
      <c r="F243" s="285">
        <v>2500</v>
      </c>
    </row>
    <row r="244" spans="1:6" ht="15" x14ac:dyDescent="0.3">
      <c r="A244" s="230">
        <v>45708</v>
      </c>
      <c r="B244" s="11" t="s">
        <v>1087</v>
      </c>
      <c r="C244" s="387" t="s">
        <v>820</v>
      </c>
      <c r="D244" s="64" t="s">
        <v>1092</v>
      </c>
      <c r="E244" s="291"/>
      <c r="F244" s="285">
        <v>3440200</v>
      </c>
    </row>
    <row r="245" spans="1:6" ht="15" x14ac:dyDescent="0.3">
      <c r="A245" s="270">
        <v>45708</v>
      </c>
      <c r="B245" s="106" t="s">
        <v>1093</v>
      </c>
      <c r="C245" s="111" t="s">
        <v>820</v>
      </c>
      <c r="D245" s="65" t="s">
        <v>1094</v>
      </c>
      <c r="E245" s="286"/>
      <c r="F245" s="375">
        <v>20000000</v>
      </c>
    </row>
    <row r="246" spans="1:6" ht="15" x14ac:dyDescent="0.3">
      <c r="A246" s="230">
        <v>45708</v>
      </c>
      <c r="B246" s="11" t="s">
        <v>1095</v>
      </c>
      <c r="C246" s="113" t="s">
        <v>820</v>
      </c>
      <c r="D246" s="12" t="s">
        <v>1096</v>
      </c>
      <c r="E246" s="282"/>
      <c r="F246" s="290">
        <v>12500000</v>
      </c>
    </row>
    <row r="247" spans="1:6" ht="15" x14ac:dyDescent="0.3">
      <c r="A247" s="230">
        <v>45708</v>
      </c>
      <c r="B247" s="11" t="s">
        <v>1095</v>
      </c>
      <c r="C247" s="113" t="s">
        <v>820</v>
      </c>
      <c r="D247" s="12" t="s">
        <v>1097</v>
      </c>
      <c r="E247" s="282"/>
      <c r="F247" s="290">
        <v>1375000</v>
      </c>
    </row>
    <row r="248" spans="1:6" ht="15" x14ac:dyDescent="0.3">
      <c r="A248" s="230">
        <v>45708</v>
      </c>
      <c r="B248" s="11" t="s">
        <v>1095</v>
      </c>
      <c r="C248" s="113" t="s">
        <v>820</v>
      </c>
      <c r="D248" s="12" t="s">
        <v>1098</v>
      </c>
      <c r="E248" s="282"/>
      <c r="F248" s="290">
        <v>-250000</v>
      </c>
    </row>
    <row r="249" spans="1:6" ht="15" x14ac:dyDescent="0.3">
      <c r="A249" s="230">
        <v>45708</v>
      </c>
      <c r="B249" s="11" t="s">
        <v>1095</v>
      </c>
      <c r="C249" s="113" t="s">
        <v>820</v>
      </c>
      <c r="D249" s="12" t="s">
        <v>105</v>
      </c>
      <c r="E249" s="282"/>
      <c r="F249" s="290">
        <v>2900</v>
      </c>
    </row>
    <row r="250" spans="1:6" ht="15" x14ac:dyDescent="0.3">
      <c r="A250" s="230">
        <v>45708</v>
      </c>
      <c r="B250" s="11" t="s">
        <v>1099</v>
      </c>
      <c r="C250" s="113" t="s">
        <v>1100</v>
      </c>
      <c r="D250" s="12" t="s">
        <v>1101</v>
      </c>
      <c r="E250" s="282"/>
      <c r="F250" s="290">
        <v>12017500</v>
      </c>
    </row>
    <row r="251" spans="1:6" ht="15" x14ac:dyDescent="0.3">
      <c r="A251" s="230">
        <v>45708</v>
      </c>
      <c r="B251" s="11" t="s">
        <v>1102</v>
      </c>
      <c r="C251" s="113" t="s">
        <v>820</v>
      </c>
      <c r="D251" s="12" t="s">
        <v>1103</v>
      </c>
      <c r="E251" s="282"/>
      <c r="F251" s="290">
        <v>44100000</v>
      </c>
    </row>
    <row r="252" spans="1:6" ht="15" x14ac:dyDescent="0.3">
      <c r="A252" s="230">
        <v>45708</v>
      </c>
      <c r="B252" s="11" t="s">
        <v>1102</v>
      </c>
      <c r="C252" s="113" t="s">
        <v>820</v>
      </c>
      <c r="D252" s="12" t="s">
        <v>1104</v>
      </c>
      <c r="E252" s="282"/>
      <c r="F252" s="290">
        <v>4851000</v>
      </c>
    </row>
    <row r="253" spans="1:6" ht="15" x14ac:dyDescent="0.3">
      <c r="A253" s="230">
        <v>45708</v>
      </c>
      <c r="B253" s="11" t="s">
        <v>1102</v>
      </c>
      <c r="C253" s="113" t="s">
        <v>820</v>
      </c>
      <c r="D253" s="12" t="s">
        <v>105</v>
      </c>
      <c r="E253" s="282"/>
      <c r="F253" s="290">
        <v>2900</v>
      </c>
    </row>
    <row r="254" spans="1:6" ht="15" x14ac:dyDescent="0.3">
      <c r="A254" s="230">
        <v>45709</v>
      </c>
      <c r="B254" s="11" t="s">
        <v>1105</v>
      </c>
      <c r="C254" s="113" t="s">
        <v>820</v>
      </c>
      <c r="D254" s="12" t="s">
        <v>1106</v>
      </c>
      <c r="E254" s="282"/>
      <c r="F254" s="285">
        <v>161500</v>
      </c>
    </row>
    <row r="255" spans="1:6" ht="15" x14ac:dyDescent="0.3">
      <c r="A255" s="230">
        <v>45709</v>
      </c>
      <c r="B255" s="11" t="s">
        <v>1105</v>
      </c>
      <c r="C255" s="113" t="s">
        <v>820</v>
      </c>
      <c r="D255" s="12" t="s">
        <v>1107</v>
      </c>
      <c r="E255" s="282"/>
      <c r="F255" s="285">
        <v>300000</v>
      </c>
    </row>
    <row r="256" spans="1:6" ht="15" x14ac:dyDescent="0.3">
      <c r="A256" s="230">
        <v>45709</v>
      </c>
      <c r="B256" s="11" t="s">
        <v>262</v>
      </c>
      <c r="C256" s="113" t="s">
        <v>820</v>
      </c>
      <c r="D256" s="29" t="s">
        <v>1108</v>
      </c>
      <c r="E256" s="282"/>
      <c r="F256" s="285">
        <v>166000</v>
      </c>
    </row>
    <row r="257" spans="1:6" ht="15" x14ac:dyDescent="0.3">
      <c r="A257" s="230">
        <v>45709</v>
      </c>
      <c r="B257" s="11" t="s">
        <v>262</v>
      </c>
      <c r="C257" s="113" t="s">
        <v>820</v>
      </c>
      <c r="D257" s="29" t="s">
        <v>1047</v>
      </c>
      <c r="E257" s="282"/>
      <c r="F257" s="285">
        <v>533500</v>
      </c>
    </row>
    <row r="258" spans="1:6" ht="15" x14ac:dyDescent="0.3">
      <c r="A258" s="230">
        <v>45709</v>
      </c>
      <c r="B258" s="11" t="s">
        <v>709</v>
      </c>
      <c r="C258" s="113" t="s">
        <v>820</v>
      </c>
      <c r="D258" s="12" t="s">
        <v>1109</v>
      </c>
      <c r="E258" s="282"/>
      <c r="F258" s="290">
        <v>597000</v>
      </c>
    </row>
    <row r="259" spans="1:6" ht="15" x14ac:dyDescent="0.3">
      <c r="A259" s="230">
        <v>45709</v>
      </c>
      <c r="B259" s="11" t="s">
        <v>709</v>
      </c>
      <c r="C259" s="113" t="s">
        <v>820</v>
      </c>
      <c r="D259" s="12" t="s">
        <v>1110</v>
      </c>
      <c r="E259" s="282"/>
      <c r="F259" s="290">
        <v>347000</v>
      </c>
    </row>
    <row r="260" spans="1:6" ht="15" x14ac:dyDescent="0.3">
      <c r="A260" s="230">
        <v>45709</v>
      </c>
      <c r="B260" s="11" t="s">
        <v>709</v>
      </c>
      <c r="C260" s="113" t="s">
        <v>820</v>
      </c>
      <c r="D260" s="12" t="s">
        <v>1111</v>
      </c>
      <c r="E260" s="282"/>
      <c r="F260" s="290">
        <v>478800</v>
      </c>
    </row>
    <row r="261" spans="1:6" ht="15" x14ac:dyDescent="0.3">
      <c r="A261" s="230">
        <v>45709</v>
      </c>
      <c r="B261" s="11" t="s">
        <v>709</v>
      </c>
      <c r="C261" s="113" t="s">
        <v>820</v>
      </c>
      <c r="D261" s="12" t="s">
        <v>1112</v>
      </c>
      <c r="E261" s="282"/>
      <c r="F261" s="290">
        <v>135000</v>
      </c>
    </row>
    <row r="262" spans="1:6" ht="15" x14ac:dyDescent="0.3">
      <c r="A262" s="230">
        <v>45712</v>
      </c>
      <c r="B262" s="11" t="s">
        <v>1113</v>
      </c>
      <c r="C262" s="113" t="s">
        <v>820</v>
      </c>
      <c r="D262" s="12" t="s">
        <v>1114</v>
      </c>
      <c r="E262" s="282"/>
      <c r="F262" s="290">
        <v>51000</v>
      </c>
    </row>
    <row r="263" spans="1:6" ht="15" x14ac:dyDescent="0.3">
      <c r="A263" s="230">
        <v>45712</v>
      </c>
      <c r="B263" s="11" t="s">
        <v>1113</v>
      </c>
      <c r="C263" s="113" t="s">
        <v>820</v>
      </c>
      <c r="D263" s="12" t="s">
        <v>1115</v>
      </c>
      <c r="E263" s="282"/>
      <c r="F263" s="290">
        <v>37500</v>
      </c>
    </row>
    <row r="264" spans="1:6" ht="15" x14ac:dyDescent="0.3">
      <c r="A264" s="230">
        <v>45712</v>
      </c>
      <c r="B264" s="11" t="s">
        <v>1113</v>
      </c>
      <c r="C264" s="113" t="s">
        <v>820</v>
      </c>
      <c r="D264" s="12" t="s">
        <v>1116</v>
      </c>
      <c r="E264" s="282"/>
      <c r="F264" s="290">
        <v>30000</v>
      </c>
    </row>
    <row r="265" spans="1:6" ht="15" x14ac:dyDescent="0.3">
      <c r="A265" s="230">
        <v>45712</v>
      </c>
      <c r="B265" s="11" t="s">
        <v>1113</v>
      </c>
      <c r="C265" s="113" t="s">
        <v>820</v>
      </c>
      <c r="D265" s="12" t="s">
        <v>1117</v>
      </c>
      <c r="E265" s="282"/>
      <c r="F265" s="290">
        <v>2900</v>
      </c>
    </row>
    <row r="266" spans="1:6" ht="15" x14ac:dyDescent="0.3">
      <c r="A266" s="230">
        <v>45714</v>
      </c>
      <c r="B266" s="11" t="s">
        <v>1118</v>
      </c>
      <c r="C266" s="113" t="s">
        <v>820</v>
      </c>
      <c r="D266" s="12" t="s">
        <v>1119</v>
      </c>
      <c r="E266" s="293"/>
      <c r="F266" s="290">
        <v>5950000</v>
      </c>
    </row>
    <row r="267" spans="1:6" ht="15" x14ac:dyDescent="0.3">
      <c r="A267" s="230">
        <v>45714</v>
      </c>
      <c r="B267" s="11" t="s">
        <v>1118</v>
      </c>
      <c r="C267" s="113" t="s">
        <v>820</v>
      </c>
      <c r="D267" s="12" t="s">
        <v>1120</v>
      </c>
      <c r="E267" s="282"/>
      <c r="F267" s="290">
        <v>654500</v>
      </c>
    </row>
    <row r="268" spans="1:6" ht="15" x14ac:dyDescent="0.3">
      <c r="A268" s="230">
        <v>45714</v>
      </c>
      <c r="B268" s="11" t="s">
        <v>1118</v>
      </c>
      <c r="C268" s="113" t="s">
        <v>820</v>
      </c>
      <c r="D268" s="12" t="s">
        <v>105</v>
      </c>
      <c r="E268" s="282"/>
      <c r="F268" s="290">
        <v>2900</v>
      </c>
    </row>
    <row r="269" spans="1:6" ht="15" x14ac:dyDescent="0.3">
      <c r="A269" s="230">
        <v>45714</v>
      </c>
      <c r="B269" s="11" t="s">
        <v>713</v>
      </c>
      <c r="C269" s="112" t="s">
        <v>820</v>
      </c>
      <c r="D269" s="39" t="s">
        <v>1121</v>
      </c>
      <c r="E269" s="282"/>
      <c r="F269" s="289">
        <v>34000</v>
      </c>
    </row>
    <row r="270" spans="1:6" ht="15" x14ac:dyDescent="0.3">
      <c r="A270" s="230">
        <v>45714</v>
      </c>
      <c r="B270" s="11" t="s">
        <v>713</v>
      </c>
      <c r="C270" s="112" t="s">
        <v>820</v>
      </c>
      <c r="D270" s="39" t="s">
        <v>1122</v>
      </c>
      <c r="E270" s="282"/>
      <c r="F270" s="289">
        <v>363300</v>
      </c>
    </row>
    <row r="271" spans="1:6" ht="15" x14ac:dyDescent="0.3">
      <c r="A271" s="230">
        <v>45714</v>
      </c>
      <c r="B271" s="11" t="s">
        <v>713</v>
      </c>
      <c r="C271" s="112" t="s">
        <v>820</v>
      </c>
      <c r="D271" s="39" t="s">
        <v>1029</v>
      </c>
      <c r="E271" s="282"/>
      <c r="F271" s="289">
        <v>25000</v>
      </c>
    </row>
    <row r="272" spans="1:6" ht="15" x14ac:dyDescent="0.3">
      <c r="A272" s="230">
        <v>45714</v>
      </c>
      <c r="B272" s="11" t="s">
        <v>713</v>
      </c>
      <c r="C272" s="112" t="s">
        <v>820</v>
      </c>
      <c r="D272" s="39" t="s">
        <v>1123</v>
      </c>
      <c r="E272" s="282"/>
      <c r="F272" s="289">
        <v>1055000</v>
      </c>
    </row>
    <row r="273" spans="1:6" ht="15" x14ac:dyDescent="0.3">
      <c r="A273" s="230">
        <v>45714</v>
      </c>
      <c r="B273" s="11" t="s">
        <v>713</v>
      </c>
      <c r="C273" s="112" t="s">
        <v>820</v>
      </c>
      <c r="D273" s="39" t="s">
        <v>1124</v>
      </c>
      <c r="E273" s="282"/>
      <c r="F273" s="289">
        <v>866000</v>
      </c>
    </row>
    <row r="274" spans="1:6" ht="15" x14ac:dyDescent="0.3">
      <c r="A274" s="230">
        <v>45714</v>
      </c>
      <c r="B274" s="11" t="s">
        <v>713</v>
      </c>
      <c r="C274" s="112" t="s">
        <v>820</v>
      </c>
      <c r="D274" s="39" t="s">
        <v>1125</v>
      </c>
      <c r="E274" s="282"/>
      <c r="F274" s="289">
        <v>200000</v>
      </c>
    </row>
    <row r="275" spans="1:6" ht="15" x14ac:dyDescent="0.3">
      <c r="A275" s="230">
        <v>45714</v>
      </c>
      <c r="B275" s="11" t="s">
        <v>713</v>
      </c>
      <c r="C275" s="112" t="s">
        <v>820</v>
      </c>
      <c r="D275" s="39" t="s">
        <v>1126</v>
      </c>
      <c r="E275" s="282"/>
      <c r="F275" s="289">
        <v>2000000</v>
      </c>
    </row>
    <row r="276" spans="1:6" ht="15" x14ac:dyDescent="0.3">
      <c r="A276" s="230">
        <v>45714</v>
      </c>
      <c r="B276" s="11" t="s">
        <v>713</v>
      </c>
      <c r="C276" s="112" t="s">
        <v>820</v>
      </c>
      <c r="D276" s="39" t="s">
        <v>1127</v>
      </c>
      <c r="E276" s="282"/>
      <c r="F276" s="289">
        <v>192500</v>
      </c>
    </row>
    <row r="277" spans="1:6" ht="15" x14ac:dyDescent="0.3">
      <c r="A277" s="230">
        <v>45714</v>
      </c>
      <c r="B277" s="11" t="s">
        <v>713</v>
      </c>
      <c r="C277" s="112" t="s">
        <v>820</v>
      </c>
      <c r="D277" s="39" t="s">
        <v>1128</v>
      </c>
      <c r="E277" s="282"/>
      <c r="F277" s="290">
        <v>273700</v>
      </c>
    </row>
    <row r="278" spans="1:6" ht="15" x14ac:dyDescent="0.3">
      <c r="A278" s="230">
        <v>45714</v>
      </c>
      <c r="B278" s="11" t="s">
        <v>713</v>
      </c>
      <c r="C278" s="112" t="s">
        <v>820</v>
      </c>
      <c r="D278" s="39" t="s">
        <v>1129</v>
      </c>
      <c r="E278" s="282"/>
      <c r="F278" s="285">
        <v>492400</v>
      </c>
    </row>
    <row r="279" spans="1:6" ht="15" x14ac:dyDescent="0.3">
      <c r="A279" s="230">
        <v>45714</v>
      </c>
      <c r="B279" s="11" t="s">
        <v>713</v>
      </c>
      <c r="C279" s="112" t="s">
        <v>820</v>
      </c>
      <c r="D279" s="39" t="s">
        <v>1128</v>
      </c>
      <c r="E279" s="282"/>
      <c r="F279" s="285">
        <v>197700</v>
      </c>
    </row>
    <row r="280" spans="1:6" ht="15" x14ac:dyDescent="0.3">
      <c r="A280" s="230">
        <v>45714</v>
      </c>
      <c r="B280" s="11" t="s">
        <v>713</v>
      </c>
      <c r="C280" s="112" t="s">
        <v>820</v>
      </c>
      <c r="D280" s="39" t="s">
        <v>1130</v>
      </c>
      <c r="E280" s="282"/>
      <c r="F280" s="285">
        <v>2062047</v>
      </c>
    </row>
    <row r="281" spans="1:6" ht="15" x14ac:dyDescent="0.3">
      <c r="A281" s="230">
        <v>45714</v>
      </c>
      <c r="B281" s="11" t="s">
        <v>713</v>
      </c>
      <c r="C281" s="112" t="s">
        <v>820</v>
      </c>
      <c r="D281" s="39" t="s">
        <v>105</v>
      </c>
      <c r="E281" s="282"/>
      <c r="F281" s="285">
        <v>2500</v>
      </c>
    </row>
    <row r="282" spans="1:6" ht="15" x14ac:dyDescent="0.3">
      <c r="A282" s="230">
        <v>45714</v>
      </c>
      <c r="B282" s="11" t="s">
        <v>713</v>
      </c>
      <c r="C282" s="112" t="s">
        <v>820</v>
      </c>
      <c r="D282" s="39" t="s">
        <v>1127</v>
      </c>
      <c r="E282" s="282"/>
      <c r="F282" s="285">
        <v>330000</v>
      </c>
    </row>
    <row r="283" spans="1:6" ht="15" x14ac:dyDescent="0.3">
      <c r="A283" s="230">
        <v>45714</v>
      </c>
      <c r="B283" s="11" t="s">
        <v>713</v>
      </c>
      <c r="C283" s="112" t="s">
        <v>820</v>
      </c>
      <c r="D283" s="39" t="s">
        <v>1131</v>
      </c>
      <c r="E283" s="282"/>
      <c r="F283" s="285">
        <v>41000</v>
      </c>
    </row>
    <row r="284" spans="1:6" ht="15" x14ac:dyDescent="0.3">
      <c r="A284" s="230">
        <v>45716</v>
      </c>
      <c r="B284" s="11" t="s">
        <v>1132</v>
      </c>
      <c r="C284" s="388" t="s">
        <v>820</v>
      </c>
      <c r="D284" s="80" t="s">
        <v>1133</v>
      </c>
      <c r="E284" s="282"/>
      <c r="F284" s="290">
        <v>58000</v>
      </c>
    </row>
    <row r="285" spans="1:6" ht="15" x14ac:dyDescent="0.3">
      <c r="A285" s="230">
        <v>45716</v>
      </c>
      <c r="B285" s="11" t="s">
        <v>1132</v>
      </c>
      <c r="C285" s="388" t="s">
        <v>820</v>
      </c>
      <c r="D285" s="39" t="s">
        <v>1045</v>
      </c>
      <c r="E285" s="282"/>
      <c r="F285" s="290">
        <v>10000</v>
      </c>
    </row>
    <row r="286" spans="1:6" ht="15" x14ac:dyDescent="0.3">
      <c r="A286" s="230">
        <v>45716</v>
      </c>
      <c r="B286" s="11" t="s">
        <v>1132</v>
      </c>
      <c r="C286" s="388" t="s">
        <v>820</v>
      </c>
      <c r="D286" s="39" t="s">
        <v>1044</v>
      </c>
      <c r="E286" s="282"/>
      <c r="F286" s="290">
        <v>46000</v>
      </c>
    </row>
    <row r="287" spans="1:6" ht="15" x14ac:dyDescent="0.3">
      <c r="A287" s="230">
        <v>45716</v>
      </c>
      <c r="B287" s="11" t="s">
        <v>1132</v>
      </c>
      <c r="C287" s="328" t="s">
        <v>820</v>
      </c>
      <c r="D287" s="39" t="s">
        <v>1134</v>
      </c>
      <c r="E287" s="282"/>
      <c r="F287" s="290">
        <v>448310</v>
      </c>
    </row>
    <row r="288" spans="1:6" ht="15" x14ac:dyDescent="0.3">
      <c r="A288" s="230">
        <v>45716</v>
      </c>
      <c r="B288" s="11" t="s">
        <v>266</v>
      </c>
      <c r="C288" s="328" t="s">
        <v>820</v>
      </c>
      <c r="D288" s="39" t="s">
        <v>1125</v>
      </c>
      <c r="E288" s="282"/>
      <c r="F288" s="285">
        <v>200000</v>
      </c>
    </row>
    <row r="289" spans="1:6" ht="15" x14ac:dyDescent="0.3">
      <c r="A289" s="230">
        <v>45716</v>
      </c>
      <c r="B289" s="11" t="s">
        <v>266</v>
      </c>
      <c r="C289" s="328" t="s">
        <v>820</v>
      </c>
      <c r="D289" s="39" t="s">
        <v>1122</v>
      </c>
      <c r="E289" s="282"/>
      <c r="F289" s="285">
        <v>415000</v>
      </c>
    </row>
    <row r="290" spans="1:6" ht="15" x14ac:dyDescent="0.3">
      <c r="A290" s="230">
        <v>45716</v>
      </c>
      <c r="B290" s="11" t="s">
        <v>266</v>
      </c>
      <c r="C290" s="328" t="s">
        <v>820</v>
      </c>
      <c r="D290" s="39" t="s">
        <v>1121</v>
      </c>
      <c r="E290" s="282"/>
      <c r="F290" s="285">
        <v>34000</v>
      </c>
    </row>
    <row r="291" spans="1:6" ht="15" x14ac:dyDescent="0.3">
      <c r="A291" s="230">
        <v>45716</v>
      </c>
      <c r="B291" s="11" t="s">
        <v>266</v>
      </c>
      <c r="C291" s="328" t="s">
        <v>820</v>
      </c>
      <c r="D291" s="39" t="s">
        <v>1135</v>
      </c>
      <c r="E291" s="282"/>
      <c r="F291" s="285">
        <v>36000</v>
      </c>
    </row>
    <row r="292" spans="1:6" ht="15" x14ac:dyDescent="0.3">
      <c r="A292" s="230">
        <v>45716</v>
      </c>
      <c r="B292" s="11" t="s">
        <v>266</v>
      </c>
      <c r="C292" s="328" t="s">
        <v>820</v>
      </c>
      <c r="D292" s="39" t="s">
        <v>1136</v>
      </c>
      <c r="E292" s="282"/>
      <c r="F292" s="285">
        <v>83000</v>
      </c>
    </row>
    <row r="293" spans="1:6" ht="15" x14ac:dyDescent="0.3">
      <c r="A293" s="230">
        <v>45716</v>
      </c>
      <c r="B293" s="11" t="s">
        <v>266</v>
      </c>
      <c r="C293" s="328" t="s">
        <v>820</v>
      </c>
      <c r="D293" s="39" t="s">
        <v>1137</v>
      </c>
      <c r="E293" s="282"/>
      <c r="F293" s="285">
        <v>560000</v>
      </c>
    </row>
    <row r="294" spans="1:6" ht="15" x14ac:dyDescent="0.3">
      <c r="A294" s="230">
        <v>45716</v>
      </c>
      <c r="B294" s="11" t="s">
        <v>1138</v>
      </c>
      <c r="C294" s="328" t="s">
        <v>820</v>
      </c>
      <c r="D294" s="39" t="s">
        <v>1139</v>
      </c>
      <c r="E294" s="282"/>
      <c r="F294" s="285">
        <v>20000</v>
      </c>
    </row>
    <row r="295" spans="1:6" ht="15" x14ac:dyDescent="0.3">
      <c r="A295" s="230">
        <v>45716</v>
      </c>
      <c r="B295" s="11" t="s">
        <v>1138</v>
      </c>
      <c r="C295" s="328" t="s">
        <v>820</v>
      </c>
      <c r="D295" s="39" t="s">
        <v>1140</v>
      </c>
      <c r="E295" s="282"/>
      <c r="F295" s="285">
        <v>317600</v>
      </c>
    </row>
    <row r="296" spans="1:6" ht="15" x14ac:dyDescent="0.3">
      <c r="A296" s="230">
        <v>45716</v>
      </c>
      <c r="B296" s="11" t="s">
        <v>1138</v>
      </c>
      <c r="C296" s="328" t="s">
        <v>820</v>
      </c>
      <c r="D296" s="39" t="s">
        <v>379</v>
      </c>
      <c r="E296" s="282"/>
      <c r="F296" s="285">
        <v>46000</v>
      </c>
    </row>
    <row r="297" spans="1:6" ht="15" x14ac:dyDescent="0.3">
      <c r="A297" s="232">
        <v>45722</v>
      </c>
      <c r="B297" s="9" t="s">
        <v>1141</v>
      </c>
      <c r="C297" s="144" t="s">
        <v>820</v>
      </c>
      <c r="D297" s="42" t="s">
        <v>1142</v>
      </c>
      <c r="E297" s="294"/>
      <c r="F297" s="408">
        <v>5917500</v>
      </c>
    </row>
    <row r="298" spans="1:6" ht="15" x14ac:dyDescent="0.3">
      <c r="A298" s="232">
        <v>45722</v>
      </c>
      <c r="B298" s="9" t="s">
        <v>1141</v>
      </c>
      <c r="C298" s="144" t="s">
        <v>820</v>
      </c>
      <c r="D298" s="42" t="s">
        <v>1143</v>
      </c>
      <c r="E298" s="294"/>
      <c r="F298" s="408">
        <v>650925</v>
      </c>
    </row>
    <row r="299" spans="1:6" ht="15" x14ac:dyDescent="0.3">
      <c r="A299" s="232">
        <v>45722</v>
      </c>
      <c r="B299" s="9" t="s">
        <v>1141</v>
      </c>
      <c r="C299" s="144" t="s">
        <v>820</v>
      </c>
      <c r="D299" s="42" t="s">
        <v>724</v>
      </c>
      <c r="E299" s="294"/>
      <c r="F299" s="408">
        <v>2900</v>
      </c>
    </row>
    <row r="300" spans="1:6" ht="15" x14ac:dyDescent="0.3">
      <c r="A300" s="232">
        <v>45722</v>
      </c>
      <c r="B300" s="9" t="s">
        <v>1144</v>
      </c>
      <c r="C300" s="144" t="s">
        <v>820</v>
      </c>
      <c r="D300" s="42" t="s">
        <v>1145</v>
      </c>
      <c r="E300" s="294"/>
      <c r="F300" s="295">
        <v>14400000</v>
      </c>
    </row>
    <row r="301" spans="1:6" ht="15" x14ac:dyDescent="0.3">
      <c r="A301" s="232">
        <v>45722</v>
      </c>
      <c r="B301" s="9" t="s">
        <v>1144</v>
      </c>
      <c r="C301" s="144" t="s">
        <v>820</v>
      </c>
      <c r="D301" s="42" t="s">
        <v>1146</v>
      </c>
      <c r="E301" s="294"/>
      <c r="F301" s="295">
        <v>1584000</v>
      </c>
    </row>
    <row r="302" spans="1:6" ht="15" x14ac:dyDescent="0.3">
      <c r="A302" s="232">
        <v>45722</v>
      </c>
      <c r="B302" s="9" t="s">
        <v>1144</v>
      </c>
      <c r="C302" s="144" t="s">
        <v>820</v>
      </c>
      <c r="D302" s="42" t="s">
        <v>1147</v>
      </c>
      <c r="E302" s="294"/>
      <c r="F302" s="295">
        <v>-288000</v>
      </c>
    </row>
    <row r="303" spans="1:6" ht="15" x14ac:dyDescent="0.3">
      <c r="A303" s="232">
        <v>45722</v>
      </c>
      <c r="B303" s="9" t="s">
        <v>1144</v>
      </c>
      <c r="C303" s="144" t="s">
        <v>820</v>
      </c>
      <c r="D303" s="42" t="s">
        <v>724</v>
      </c>
      <c r="E303" s="294"/>
      <c r="F303" s="295">
        <v>2900</v>
      </c>
    </row>
    <row r="304" spans="1:6" ht="15" x14ac:dyDescent="0.3">
      <c r="A304" s="232">
        <v>45722</v>
      </c>
      <c r="B304" s="9" t="s">
        <v>1148</v>
      </c>
      <c r="C304" s="144" t="s">
        <v>820</v>
      </c>
      <c r="D304" s="42" t="s">
        <v>1149</v>
      </c>
      <c r="E304" s="294"/>
      <c r="F304" s="408">
        <v>4907500</v>
      </c>
    </row>
    <row r="305" spans="1:6" ht="15" x14ac:dyDescent="0.3">
      <c r="A305" s="232">
        <v>45722</v>
      </c>
      <c r="B305" s="9" t="s">
        <v>1148</v>
      </c>
      <c r="C305" s="144" t="s">
        <v>820</v>
      </c>
      <c r="D305" s="42" t="s">
        <v>1150</v>
      </c>
      <c r="E305" s="294"/>
      <c r="F305" s="408">
        <v>539825</v>
      </c>
    </row>
    <row r="306" spans="1:6" ht="15" x14ac:dyDescent="0.3">
      <c r="A306" s="232">
        <v>45722</v>
      </c>
      <c r="B306" s="9" t="s">
        <v>1148</v>
      </c>
      <c r="C306" s="144" t="s">
        <v>820</v>
      </c>
      <c r="D306" s="42" t="s">
        <v>1151</v>
      </c>
      <c r="E306" s="294"/>
      <c r="F306" s="408">
        <v>-98150</v>
      </c>
    </row>
    <row r="307" spans="1:6" ht="15" x14ac:dyDescent="0.3">
      <c r="A307" s="232">
        <v>45722</v>
      </c>
      <c r="B307" s="9" t="s">
        <v>1148</v>
      </c>
      <c r="C307" s="144" t="s">
        <v>820</v>
      </c>
      <c r="D307" s="42" t="s">
        <v>1152</v>
      </c>
      <c r="E307" s="294"/>
      <c r="F307" s="295">
        <v>16337500</v>
      </c>
    </row>
    <row r="308" spans="1:6" ht="15" x14ac:dyDescent="0.3">
      <c r="A308" s="232">
        <v>45722</v>
      </c>
      <c r="B308" s="9" t="s">
        <v>1148</v>
      </c>
      <c r="C308" s="144" t="s">
        <v>820</v>
      </c>
      <c r="D308" s="42" t="s">
        <v>1153</v>
      </c>
      <c r="E308" s="294"/>
      <c r="F308" s="408">
        <v>179712</v>
      </c>
    </row>
    <row r="309" spans="1:6" ht="15" x14ac:dyDescent="0.3">
      <c r="A309" s="232">
        <v>45722</v>
      </c>
      <c r="B309" s="9" t="s">
        <v>1148</v>
      </c>
      <c r="C309" s="144" t="s">
        <v>820</v>
      </c>
      <c r="D309" s="42" t="s">
        <v>1154</v>
      </c>
      <c r="E309" s="294"/>
      <c r="F309" s="408">
        <v>-326750</v>
      </c>
    </row>
    <row r="310" spans="1:6" ht="15" x14ac:dyDescent="0.3">
      <c r="A310" s="232">
        <v>45722</v>
      </c>
      <c r="B310" s="9" t="s">
        <v>1148</v>
      </c>
      <c r="C310" s="144" t="s">
        <v>820</v>
      </c>
      <c r="D310" s="42" t="s">
        <v>1155</v>
      </c>
      <c r="E310" s="294"/>
      <c r="F310" s="408">
        <v>310000</v>
      </c>
    </row>
    <row r="311" spans="1:6" ht="15" x14ac:dyDescent="0.3">
      <c r="A311" s="232">
        <v>45722</v>
      </c>
      <c r="B311" s="9" t="s">
        <v>1148</v>
      </c>
      <c r="C311" s="144" t="s">
        <v>820</v>
      </c>
      <c r="D311" s="42" t="s">
        <v>1156</v>
      </c>
      <c r="E311" s="294"/>
      <c r="F311" s="408">
        <v>34100</v>
      </c>
    </row>
    <row r="312" spans="1:6" ht="15" x14ac:dyDescent="0.3">
      <c r="A312" s="232">
        <v>45722</v>
      </c>
      <c r="B312" s="9" t="s">
        <v>1148</v>
      </c>
      <c r="C312" s="144" t="s">
        <v>820</v>
      </c>
      <c r="D312" s="67" t="s">
        <v>1157</v>
      </c>
      <c r="E312" s="294"/>
      <c r="F312" s="408">
        <v>-6200</v>
      </c>
    </row>
    <row r="313" spans="1:6" ht="15" x14ac:dyDescent="0.3">
      <c r="A313" s="232">
        <v>45722</v>
      </c>
      <c r="B313" s="9" t="s">
        <v>1148</v>
      </c>
      <c r="C313" s="144" t="s">
        <v>820</v>
      </c>
      <c r="D313" s="42" t="s">
        <v>724</v>
      </c>
      <c r="E313" s="294"/>
      <c r="F313" s="408">
        <v>2900</v>
      </c>
    </row>
    <row r="314" spans="1:6" ht="15" x14ac:dyDescent="0.3">
      <c r="A314" s="232">
        <v>45722</v>
      </c>
      <c r="B314" s="9" t="s">
        <v>1158</v>
      </c>
      <c r="C314" s="142" t="s">
        <v>820</v>
      </c>
      <c r="D314" s="30" t="s">
        <v>1159</v>
      </c>
      <c r="E314" s="294"/>
      <c r="F314" s="335">
        <v>1013000</v>
      </c>
    </row>
    <row r="315" spans="1:6" ht="15" x14ac:dyDescent="0.3">
      <c r="A315" s="232">
        <v>45722</v>
      </c>
      <c r="B315" s="9" t="s">
        <v>1158</v>
      </c>
      <c r="C315" s="142" t="s">
        <v>820</v>
      </c>
      <c r="D315" s="30" t="s">
        <v>1160</v>
      </c>
      <c r="E315" s="294"/>
      <c r="F315" s="335">
        <v>1225168</v>
      </c>
    </row>
    <row r="316" spans="1:6" ht="15" x14ac:dyDescent="0.3">
      <c r="A316" s="232">
        <v>45722</v>
      </c>
      <c r="B316" s="9" t="s">
        <v>1158</v>
      </c>
      <c r="C316" s="142" t="s">
        <v>820</v>
      </c>
      <c r="D316" s="30" t="s">
        <v>1161</v>
      </c>
      <c r="E316" s="294"/>
      <c r="F316" s="335">
        <v>278425</v>
      </c>
    </row>
    <row r="317" spans="1:6" ht="15" x14ac:dyDescent="0.3">
      <c r="A317" s="232">
        <v>45723</v>
      </c>
      <c r="B317" s="9" t="s">
        <v>1162</v>
      </c>
      <c r="C317" s="144" t="s">
        <v>820</v>
      </c>
      <c r="D317" s="42" t="s">
        <v>1163</v>
      </c>
      <c r="E317" s="294">
        <v>2000000</v>
      </c>
      <c r="F317" s="408"/>
    </row>
    <row r="318" spans="1:6" ht="15" x14ac:dyDescent="0.3">
      <c r="A318" s="232">
        <v>45723</v>
      </c>
      <c r="B318" s="9" t="s">
        <v>1162</v>
      </c>
      <c r="C318" s="144" t="s">
        <v>820</v>
      </c>
      <c r="D318" s="42" t="s">
        <v>1164</v>
      </c>
      <c r="E318" s="294"/>
      <c r="F318" s="408">
        <v>2000000</v>
      </c>
    </row>
    <row r="319" spans="1:6" ht="15" x14ac:dyDescent="0.3">
      <c r="A319" s="232">
        <v>45723</v>
      </c>
      <c r="B319" s="9" t="s">
        <v>1162</v>
      </c>
      <c r="C319" s="144" t="s">
        <v>820</v>
      </c>
      <c r="D319" s="42" t="s">
        <v>1044</v>
      </c>
      <c r="E319" s="294"/>
      <c r="F319" s="408">
        <v>241000</v>
      </c>
    </row>
    <row r="320" spans="1:6" ht="15" x14ac:dyDescent="0.3">
      <c r="A320" s="232">
        <v>45723</v>
      </c>
      <c r="B320" s="9" t="s">
        <v>1162</v>
      </c>
      <c r="C320" s="144" t="s">
        <v>820</v>
      </c>
      <c r="D320" s="42" t="s">
        <v>1045</v>
      </c>
      <c r="E320" s="294"/>
      <c r="F320" s="408">
        <v>12000</v>
      </c>
    </row>
    <row r="321" spans="1:6" ht="15" x14ac:dyDescent="0.3">
      <c r="A321" s="232">
        <v>45723</v>
      </c>
      <c r="B321" s="9" t="s">
        <v>1162</v>
      </c>
      <c r="C321" s="144" t="s">
        <v>820</v>
      </c>
      <c r="D321" s="42" t="s">
        <v>1043</v>
      </c>
      <c r="E321" s="294"/>
      <c r="F321" s="408">
        <v>94500</v>
      </c>
    </row>
    <row r="322" spans="1:6" ht="15" x14ac:dyDescent="0.3">
      <c r="A322" s="232">
        <v>45723</v>
      </c>
      <c r="B322" s="9" t="s">
        <v>1162</v>
      </c>
      <c r="C322" s="144" t="s">
        <v>820</v>
      </c>
      <c r="D322" s="42" t="s">
        <v>1165</v>
      </c>
      <c r="E322" s="294"/>
      <c r="F322" s="408">
        <v>15000</v>
      </c>
    </row>
    <row r="323" spans="1:6" ht="15" x14ac:dyDescent="0.3">
      <c r="A323" s="232">
        <v>45723</v>
      </c>
      <c r="B323" s="9" t="s">
        <v>1162</v>
      </c>
      <c r="C323" s="144" t="s">
        <v>820</v>
      </c>
      <c r="D323" s="42" t="s">
        <v>1166</v>
      </c>
      <c r="E323" s="294"/>
      <c r="F323" s="408">
        <v>49000</v>
      </c>
    </row>
    <row r="324" spans="1:6" ht="15" x14ac:dyDescent="0.3">
      <c r="A324" s="232">
        <v>45723</v>
      </c>
      <c r="B324" s="9" t="s">
        <v>1162</v>
      </c>
      <c r="C324" s="144" t="s">
        <v>820</v>
      </c>
      <c r="D324" s="42" t="s">
        <v>1167</v>
      </c>
      <c r="E324" s="294"/>
      <c r="F324" s="408">
        <v>325000</v>
      </c>
    </row>
    <row r="325" spans="1:6" ht="15" x14ac:dyDescent="0.3">
      <c r="A325" s="232">
        <v>45723</v>
      </c>
      <c r="B325" s="9" t="s">
        <v>1162</v>
      </c>
      <c r="C325" s="144" t="s">
        <v>820</v>
      </c>
      <c r="D325" s="42" t="s">
        <v>1168</v>
      </c>
      <c r="E325" s="294"/>
      <c r="F325" s="408">
        <v>325300</v>
      </c>
    </row>
    <row r="326" spans="1:6" ht="15" x14ac:dyDescent="0.3">
      <c r="A326" s="232">
        <v>45723</v>
      </c>
      <c r="B326" s="9" t="s">
        <v>1162</v>
      </c>
      <c r="C326" s="144" t="s">
        <v>820</v>
      </c>
      <c r="D326" s="42" t="s">
        <v>1169</v>
      </c>
      <c r="E326" s="294"/>
      <c r="F326" s="408">
        <v>171500</v>
      </c>
    </row>
    <row r="327" spans="1:6" ht="15" x14ac:dyDescent="0.3">
      <c r="A327" s="232">
        <v>45723</v>
      </c>
      <c r="B327" s="9" t="s">
        <v>1162</v>
      </c>
      <c r="C327" s="144" t="s">
        <v>820</v>
      </c>
      <c r="D327" s="42" t="s">
        <v>1170</v>
      </c>
      <c r="E327" s="294"/>
      <c r="F327" s="408">
        <v>350000</v>
      </c>
    </row>
    <row r="328" spans="1:6" ht="15" x14ac:dyDescent="0.3">
      <c r="A328" s="232">
        <v>45723</v>
      </c>
      <c r="B328" s="9" t="s">
        <v>273</v>
      </c>
      <c r="C328" s="389" t="s">
        <v>820</v>
      </c>
      <c r="D328" s="41" t="s">
        <v>1171</v>
      </c>
      <c r="E328" s="294"/>
      <c r="F328" s="408">
        <v>612000</v>
      </c>
    </row>
    <row r="329" spans="1:6" ht="15" x14ac:dyDescent="0.3">
      <c r="A329" s="232">
        <v>45723</v>
      </c>
      <c r="B329" s="9" t="s">
        <v>273</v>
      </c>
      <c r="C329" s="389" t="s">
        <v>820</v>
      </c>
      <c r="D329" s="41" t="s">
        <v>1172</v>
      </c>
      <c r="E329" s="294"/>
      <c r="F329" s="408">
        <v>51000</v>
      </c>
    </row>
    <row r="330" spans="1:6" ht="15" x14ac:dyDescent="0.3">
      <c r="A330" s="232">
        <v>45723</v>
      </c>
      <c r="B330" s="9" t="s">
        <v>273</v>
      </c>
      <c r="C330" s="389" t="s">
        <v>820</v>
      </c>
      <c r="D330" s="41" t="s">
        <v>1173</v>
      </c>
      <c r="E330" s="294"/>
      <c r="F330" s="408">
        <v>200000</v>
      </c>
    </row>
    <row r="331" spans="1:6" ht="15" x14ac:dyDescent="0.3">
      <c r="A331" s="232">
        <v>45723</v>
      </c>
      <c r="B331" s="9" t="s">
        <v>273</v>
      </c>
      <c r="C331" s="389" t="s">
        <v>820</v>
      </c>
      <c r="D331" s="41" t="s">
        <v>1174</v>
      </c>
      <c r="E331" s="294"/>
      <c r="F331" s="408">
        <v>333000</v>
      </c>
    </row>
    <row r="332" spans="1:6" ht="15" x14ac:dyDescent="0.3">
      <c r="A332" s="232">
        <v>45723</v>
      </c>
      <c r="B332" s="9" t="s">
        <v>273</v>
      </c>
      <c r="C332" s="389" t="s">
        <v>820</v>
      </c>
      <c r="D332" s="41" t="s">
        <v>1175</v>
      </c>
      <c r="E332" s="294"/>
      <c r="F332" s="408">
        <v>165000</v>
      </c>
    </row>
    <row r="333" spans="1:6" ht="15" x14ac:dyDescent="0.3">
      <c r="A333" s="232">
        <v>45723</v>
      </c>
      <c r="B333" s="9" t="s">
        <v>273</v>
      </c>
      <c r="C333" s="389" t="s">
        <v>820</v>
      </c>
      <c r="D333" s="41" t="s">
        <v>1176</v>
      </c>
      <c r="E333" s="294"/>
      <c r="F333" s="408">
        <v>6000</v>
      </c>
    </row>
    <row r="334" spans="1:6" ht="15" x14ac:dyDescent="0.3">
      <c r="A334" s="230">
        <v>45730</v>
      </c>
      <c r="B334" s="11" t="s">
        <v>1177</v>
      </c>
      <c r="C334" s="113" t="s">
        <v>820</v>
      </c>
      <c r="D334" s="12" t="s">
        <v>1178</v>
      </c>
      <c r="E334" s="282"/>
      <c r="F334" s="290">
        <v>108297</v>
      </c>
    </row>
    <row r="335" spans="1:6" ht="15" x14ac:dyDescent="0.3">
      <c r="A335" s="230">
        <v>45730</v>
      </c>
      <c r="B335" s="11" t="s">
        <v>1179</v>
      </c>
      <c r="C335" s="113" t="s">
        <v>820</v>
      </c>
      <c r="D335" s="12" t="s">
        <v>1180</v>
      </c>
      <c r="E335" s="282"/>
      <c r="F335" s="285">
        <v>200000</v>
      </c>
    </row>
    <row r="336" spans="1:6" ht="15" x14ac:dyDescent="0.3">
      <c r="A336" s="230">
        <v>45730</v>
      </c>
      <c r="B336" s="11" t="s">
        <v>1179</v>
      </c>
      <c r="C336" s="113" t="s">
        <v>820</v>
      </c>
      <c r="D336" s="12" t="s">
        <v>1181</v>
      </c>
      <c r="E336" s="282"/>
      <c r="F336" s="290">
        <v>14000</v>
      </c>
    </row>
    <row r="337" spans="1:6" ht="15" x14ac:dyDescent="0.3">
      <c r="A337" s="230">
        <v>45730</v>
      </c>
      <c r="B337" s="11" t="s">
        <v>1179</v>
      </c>
      <c r="C337" s="113" t="s">
        <v>820</v>
      </c>
      <c r="D337" s="12" t="s">
        <v>1182</v>
      </c>
      <c r="E337" s="282"/>
      <c r="F337" s="290">
        <v>56000</v>
      </c>
    </row>
    <row r="338" spans="1:6" ht="15" x14ac:dyDescent="0.3">
      <c r="A338" s="230">
        <v>45733</v>
      </c>
      <c r="B338" s="11" t="s">
        <v>1183</v>
      </c>
      <c r="C338" s="113" t="s">
        <v>820</v>
      </c>
      <c r="D338" s="12" t="s">
        <v>1184</v>
      </c>
      <c r="E338" s="282"/>
      <c r="F338" s="290">
        <v>100000</v>
      </c>
    </row>
    <row r="339" spans="1:6" ht="15" x14ac:dyDescent="0.3">
      <c r="A339" s="230">
        <v>45733</v>
      </c>
      <c r="B339" s="11" t="s">
        <v>1183</v>
      </c>
      <c r="C339" s="113" t="s">
        <v>820</v>
      </c>
      <c r="D339" s="12" t="s">
        <v>1185</v>
      </c>
      <c r="E339" s="282"/>
      <c r="F339" s="290">
        <v>126500</v>
      </c>
    </row>
    <row r="340" spans="1:6" ht="15" x14ac:dyDescent="0.3">
      <c r="A340" s="230">
        <v>45733</v>
      </c>
      <c r="B340" s="11" t="s">
        <v>1183</v>
      </c>
      <c r="C340" s="113" t="s">
        <v>820</v>
      </c>
      <c r="D340" s="12" t="s">
        <v>1184</v>
      </c>
      <c r="E340" s="282"/>
      <c r="F340" s="290">
        <v>500000</v>
      </c>
    </row>
    <row r="341" spans="1:6" ht="15" x14ac:dyDescent="0.3">
      <c r="A341" s="230">
        <v>45733</v>
      </c>
      <c r="B341" s="11" t="s">
        <v>1183</v>
      </c>
      <c r="C341" s="113" t="s">
        <v>820</v>
      </c>
      <c r="D341" s="12" t="s">
        <v>1184</v>
      </c>
      <c r="E341" s="282"/>
      <c r="F341" s="290">
        <v>200000</v>
      </c>
    </row>
    <row r="342" spans="1:6" ht="15" x14ac:dyDescent="0.3">
      <c r="A342" s="230">
        <v>45733</v>
      </c>
      <c r="B342" s="11" t="s">
        <v>1183</v>
      </c>
      <c r="C342" s="113" t="s">
        <v>820</v>
      </c>
      <c r="D342" s="12" t="s">
        <v>1185</v>
      </c>
      <c r="E342" s="282"/>
      <c r="F342" s="290">
        <v>92500</v>
      </c>
    </row>
    <row r="343" spans="1:6" ht="15" x14ac:dyDescent="0.3">
      <c r="A343" s="230">
        <v>45733</v>
      </c>
      <c r="B343" s="11" t="s">
        <v>1183</v>
      </c>
      <c r="C343" s="113" t="s">
        <v>820</v>
      </c>
      <c r="D343" s="12" t="s">
        <v>1184</v>
      </c>
      <c r="E343" s="282"/>
      <c r="F343" s="290">
        <v>400000</v>
      </c>
    </row>
    <row r="344" spans="1:6" ht="15" x14ac:dyDescent="0.3">
      <c r="A344" s="230">
        <v>45733</v>
      </c>
      <c r="B344" s="11" t="s">
        <v>1183</v>
      </c>
      <c r="C344" s="112" t="s">
        <v>820</v>
      </c>
      <c r="D344" s="17" t="s">
        <v>1186</v>
      </c>
      <c r="E344" s="282"/>
      <c r="F344" s="290">
        <v>8000</v>
      </c>
    </row>
    <row r="345" spans="1:6" ht="15" x14ac:dyDescent="0.3">
      <c r="A345" s="230">
        <v>45733</v>
      </c>
      <c r="B345" s="11" t="s">
        <v>1183</v>
      </c>
      <c r="C345" s="112" t="s">
        <v>820</v>
      </c>
      <c r="D345" s="17" t="s">
        <v>1187</v>
      </c>
      <c r="E345" s="282"/>
      <c r="F345" s="290">
        <v>2900</v>
      </c>
    </row>
    <row r="346" spans="1:6" ht="15" x14ac:dyDescent="0.3">
      <c r="A346" s="230">
        <v>45735</v>
      </c>
      <c r="B346" s="11" t="s">
        <v>1188</v>
      </c>
      <c r="C346" s="113" t="s">
        <v>820</v>
      </c>
      <c r="D346" s="12" t="s">
        <v>1189</v>
      </c>
      <c r="E346" s="282"/>
      <c r="F346" s="290">
        <v>12500000</v>
      </c>
    </row>
    <row r="347" spans="1:6" ht="15" x14ac:dyDescent="0.3">
      <c r="A347" s="230">
        <v>45735</v>
      </c>
      <c r="B347" s="11" t="s">
        <v>1188</v>
      </c>
      <c r="C347" s="113" t="s">
        <v>820</v>
      </c>
      <c r="D347" s="12" t="s">
        <v>1190</v>
      </c>
      <c r="E347" s="282"/>
      <c r="F347" s="290">
        <v>1375000</v>
      </c>
    </row>
    <row r="348" spans="1:6" ht="15" x14ac:dyDescent="0.3">
      <c r="A348" s="230">
        <v>45735</v>
      </c>
      <c r="B348" s="11" t="s">
        <v>1188</v>
      </c>
      <c r="C348" s="113" t="s">
        <v>820</v>
      </c>
      <c r="D348" s="12" t="s">
        <v>1191</v>
      </c>
      <c r="E348" s="282"/>
      <c r="F348" s="290">
        <v>-250000</v>
      </c>
    </row>
    <row r="349" spans="1:6" ht="15" x14ac:dyDescent="0.3">
      <c r="A349" s="230">
        <v>45735</v>
      </c>
      <c r="B349" s="11" t="s">
        <v>1188</v>
      </c>
      <c r="C349" s="113" t="s">
        <v>820</v>
      </c>
      <c r="D349" s="12" t="s">
        <v>1192</v>
      </c>
      <c r="E349" s="282"/>
      <c r="F349" s="290">
        <v>2900</v>
      </c>
    </row>
    <row r="350" spans="1:6" ht="15" x14ac:dyDescent="0.3">
      <c r="A350" s="230">
        <v>45735</v>
      </c>
      <c r="B350" s="11" t="s">
        <v>1193</v>
      </c>
      <c r="C350" s="113" t="s">
        <v>820</v>
      </c>
      <c r="D350" s="12" t="s">
        <v>1194</v>
      </c>
      <c r="E350" s="291"/>
      <c r="F350" s="285">
        <v>1653000</v>
      </c>
    </row>
    <row r="351" spans="1:6" ht="15" x14ac:dyDescent="0.3">
      <c r="A351" s="230">
        <v>45735</v>
      </c>
      <c r="B351" s="11" t="s">
        <v>1193</v>
      </c>
      <c r="C351" s="113" t="s">
        <v>820</v>
      </c>
      <c r="D351" s="12" t="s">
        <v>295</v>
      </c>
      <c r="E351" s="291"/>
      <c r="F351" s="285">
        <v>2500</v>
      </c>
    </row>
    <row r="352" spans="1:6" ht="15" x14ac:dyDescent="0.3">
      <c r="A352" s="230">
        <v>45735</v>
      </c>
      <c r="B352" s="11" t="s">
        <v>1193</v>
      </c>
      <c r="C352" s="113" t="s">
        <v>820</v>
      </c>
      <c r="D352" s="12" t="s">
        <v>1195</v>
      </c>
      <c r="E352" s="291"/>
      <c r="F352" s="285">
        <v>320000</v>
      </c>
    </row>
    <row r="353" spans="1:6" ht="15" x14ac:dyDescent="0.3">
      <c r="A353" s="230">
        <v>45735</v>
      </c>
      <c r="B353" s="11" t="s">
        <v>1193</v>
      </c>
      <c r="C353" s="113" t="s">
        <v>820</v>
      </c>
      <c r="D353" s="12" t="s">
        <v>295</v>
      </c>
      <c r="E353" s="291"/>
      <c r="F353" s="285">
        <v>2500</v>
      </c>
    </row>
    <row r="354" spans="1:6" ht="15" x14ac:dyDescent="0.3">
      <c r="A354" s="230">
        <v>45737</v>
      </c>
      <c r="B354" s="11" t="s">
        <v>1196</v>
      </c>
      <c r="C354" s="113" t="s">
        <v>820</v>
      </c>
      <c r="D354" s="12" t="s">
        <v>1197</v>
      </c>
      <c r="E354" s="297"/>
      <c r="F354" s="285">
        <v>55986</v>
      </c>
    </row>
    <row r="355" spans="1:6" ht="15" x14ac:dyDescent="0.3">
      <c r="A355" s="230">
        <v>45737</v>
      </c>
      <c r="B355" s="11" t="s">
        <v>1196</v>
      </c>
      <c r="C355" s="113" t="s">
        <v>820</v>
      </c>
      <c r="D355" s="12" t="s">
        <v>1198</v>
      </c>
      <c r="E355" s="297"/>
      <c r="F355" s="285">
        <v>17000</v>
      </c>
    </row>
    <row r="356" spans="1:6" ht="15" x14ac:dyDescent="0.3">
      <c r="A356" s="230">
        <v>45737</v>
      </c>
      <c r="B356" s="11" t="s">
        <v>1196</v>
      </c>
      <c r="C356" s="113" t="s">
        <v>820</v>
      </c>
      <c r="D356" s="12" t="s">
        <v>1199</v>
      </c>
      <c r="E356" s="297"/>
      <c r="F356" s="285">
        <v>400000</v>
      </c>
    </row>
    <row r="357" spans="1:6" ht="15" x14ac:dyDescent="0.3">
      <c r="A357" s="230">
        <v>45737</v>
      </c>
      <c r="B357" s="11" t="s">
        <v>1196</v>
      </c>
      <c r="C357" s="113" t="s">
        <v>820</v>
      </c>
      <c r="D357" s="12" t="s">
        <v>1200</v>
      </c>
      <c r="E357" s="297"/>
      <c r="F357" s="285">
        <v>106000</v>
      </c>
    </row>
    <row r="358" spans="1:6" ht="15" x14ac:dyDescent="0.3">
      <c r="A358" s="230">
        <v>45737</v>
      </c>
      <c r="B358" s="11" t="s">
        <v>1201</v>
      </c>
      <c r="C358" s="113" t="s">
        <v>820</v>
      </c>
      <c r="D358" s="24" t="s">
        <v>1202</v>
      </c>
      <c r="E358" s="297"/>
      <c r="F358" s="285">
        <v>4249195</v>
      </c>
    </row>
    <row r="359" spans="1:6" ht="15" x14ac:dyDescent="0.3">
      <c r="A359" s="230">
        <v>45737</v>
      </c>
      <c r="B359" s="11" t="s">
        <v>1201</v>
      </c>
      <c r="C359" s="113" t="s">
        <v>820</v>
      </c>
      <c r="D359" s="24" t="s">
        <v>295</v>
      </c>
      <c r="E359" s="297"/>
      <c r="F359" s="285">
        <v>2500</v>
      </c>
    </row>
    <row r="360" spans="1:6" ht="15" x14ac:dyDescent="0.3">
      <c r="A360" s="230">
        <v>45742</v>
      </c>
      <c r="B360" s="11" t="s">
        <v>1203</v>
      </c>
      <c r="C360" s="113" t="s">
        <v>820</v>
      </c>
      <c r="D360" s="12" t="s">
        <v>1204</v>
      </c>
      <c r="E360" s="297"/>
      <c r="F360" s="285">
        <v>1925600</v>
      </c>
    </row>
    <row r="361" spans="1:6" ht="15" x14ac:dyDescent="0.3">
      <c r="A361" s="230">
        <v>45742</v>
      </c>
      <c r="B361" s="11" t="s">
        <v>1203</v>
      </c>
      <c r="C361" s="113" t="s">
        <v>820</v>
      </c>
      <c r="D361" s="12" t="s">
        <v>1205</v>
      </c>
      <c r="E361" s="297"/>
      <c r="F361" s="285">
        <v>211816</v>
      </c>
    </row>
    <row r="362" spans="1:6" ht="15" x14ac:dyDescent="0.3">
      <c r="A362" s="230">
        <v>45742</v>
      </c>
      <c r="B362" s="11" t="s">
        <v>1203</v>
      </c>
      <c r="C362" s="113" t="s">
        <v>820</v>
      </c>
      <c r="D362" s="12" t="s">
        <v>1206</v>
      </c>
      <c r="E362" s="297"/>
      <c r="F362" s="285">
        <v>-38512</v>
      </c>
    </row>
    <row r="363" spans="1:6" ht="15" x14ac:dyDescent="0.3">
      <c r="A363" s="230">
        <v>45742</v>
      </c>
      <c r="B363" s="11" t="s">
        <v>1203</v>
      </c>
      <c r="C363" s="113" t="s">
        <v>820</v>
      </c>
      <c r="D363" s="12" t="s">
        <v>1207</v>
      </c>
      <c r="E363" s="297"/>
      <c r="F363" s="285">
        <v>24915580</v>
      </c>
    </row>
    <row r="364" spans="1:6" ht="15" x14ac:dyDescent="0.3">
      <c r="A364" s="230">
        <v>45742</v>
      </c>
      <c r="B364" s="11" t="s">
        <v>1203</v>
      </c>
      <c r="C364" s="113" t="s">
        <v>820</v>
      </c>
      <c r="D364" s="12" t="s">
        <v>1208</v>
      </c>
      <c r="E364" s="297"/>
      <c r="F364" s="285">
        <v>274071</v>
      </c>
    </row>
    <row r="365" spans="1:6" ht="15" x14ac:dyDescent="0.3">
      <c r="A365" s="230">
        <v>45742</v>
      </c>
      <c r="B365" s="11" t="s">
        <v>1203</v>
      </c>
      <c r="C365" s="113" t="s">
        <v>820</v>
      </c>
      <c r="D365" s="12" t="s">
        <v>1209</v>
      </c>
      <c r="E365" s="297"/>
      <c r="F365" s="285">
        <v>-498312</v>
      </c>
    </row>
    <row r="366" spans="1:6" ht="15" x14ac:dyDescent="0.3">
      <c r="A366" s="230">
        <v>45742</v>
      </c>
      <c r="B366" s="11" t="s">
        <v>1203</v>
      </c>
      <c r="C366" s="113" t="s">
        <v>820</v>
      </c>
      <c r="D366" s="12" t="s">
        <v>1210</v>
      </c>
      <c r="E366" s="297"/>
      <c r="F366" s="285">
        <v>1433936</v>
      </c>
    </row>
    <row r="367" spans="1:6" ht="15" x14ac:dyDescent="0.3">
      <c r="A367" s="230">
        <v>45742</v>
      </c>
      <c r="B367" s="11" t="s">
        <v>1203</v>
      </c>
      <c r="C367" s="113" t="s">
        <v>820</v>
      </c>
      <c r="D367" s="12" t="s">
        <v>1211</v>
      </c>
      <c r="E367" s="297"/>
      <c r="F367" s="285">
        <v>157733</v>
      </c>
    </row>
    <row r="368" spans="1:6" ht="15" x14ac:dyDescent="0.3">
      <c r="A368" s="230">
        <v>45742</v>
      </c>
      <c r="B368" s="11" t="s">
        <v>1203</v>
      </c>
      <c r="C368" s="113" t="s">
        <v>820</v>
      </c>
      <c r="D368" s="12" t="s">
        <v>1212</v>
      </c>
      <c r="E368" s="297"/>
      <c r="F368" s="285">
        <v>-28679</v>
      </c>
    </row>
    <row r="369" spans="1:6" ht="15" x14ac:dyDescent="0.3">
      <c r="A369" s="230">
        <v>45742</v>
      </c>
      <c r="B369" s="11" t="s">
        <v>1213</v>
      </c>
      <c r="C369" s="113" t="s">
        <v>820</v>
      </c>
      <c r="D369" s="12" t="s">
        <v>1214</v>
      </c>
      <c r="E369" s="297"/>
      <c r="F369" s="285">
        <v>5917500</v>
      </c>
    </row>
    <row r="370" spans="1:6" ht="15" x14ac:dyDescent="0.3">
      <c r="A370" s="230">
        <v>45742</v>
      </c>
      <c r="B370" s="11" t="s">
        <v>1213</v>
      </c>
      <c r="C370" s="113" t="s">
        <v>820</v>
      </c>
      <c r="D370" s="12" t="s">
        <v>1215</v>
      </c>
      <c r="E370" s="297"/>
      <c r="F370" s="285">
        <v>650925</v>
      </c>
    </row>
    <row r="371" spans="1:6" ht="15" x14ac:dyDescent="0.3">
      <c r="A371" s="230">
        <v>45742</v>
      </c>
      <c r="B371" s="11" t="s">
        <v>1213</v>
      </c>
      <c r="C371" s="113" t="s">
        <v>820</v>
      </c>
      <c r="D371" s="12" t="s">
        <v>1216</v>
      </c>
      <c r="E371" s="297"/>
      <c r="F371" s="285">
        <v>-236700</v>
      </c>
    </row>
    <row r="372" spans="1:6" ht="15" x14ac:dyDescent="0.3">
      <c r="A372" s="230">
        <v>45742</v>
      </c>
      <c r="B372" s="11" t="s">
        <v>1213</v>
      </c>
      <c r="C372" s="113" t="s">
        <v>820</v>
      </c>
      <c r="D372" s="12" t="s">
        <v>1192</v>
      </c>
      <c r="E372" s="297"/>
      <c r="F372" s="285">
        <v>2900</v>
      </c>
    </row>
    <row r="373" spans="1:6" ht="15" x14ac:dyDescent="0.3">
      <c r="A373" s="230">
        <v>45742</v>
      </c>
      <c r="B373" s="11" t="s">
        <v>1217</v>
      </c>
      <c r="C373" s="113" t="s">
        <v>820</v>
      </c>
      <c r="D373" s="12" t="s">
        <v>1218</v>
      </c>
      <c r="E373" s="297"/>
      <c r="F373" s="285">
        <v>54625000</v>
      </c>
    </row>
    <row r="374" spans="1:6" ht="15" x14ac:dyDescent="0.3">
      <c r="A374" s="230">
        <v>45742</v>
      </c>
      <c r="B374" s="11" t="s">
        <v>1217</v>
      </c>
      <c r="C374" s="113" t="s">
        <v>820</v>
      </c>
      <c r="D374" s="12" t="s">
        <v>1219</v>
      </c>
      <c r="E374" s="297"/>
      <c r="F374" s="285">
        <v>6008750</v>
      </c>
    </row>
    <row r="375" spans="1:6" ht="15" x14ac:dyDescent="0.3">
      <c r="A375" s="230">
        <v>45742</v>
      </c>
      <c r="B375" s="11" t="s">
        <v>1217</v>
      </c>
      <c r="C375" s="113" t="s">
        <v>820</v>
      </c>
      <c r="D375" s="12" t="s">
        <v>1220</v>
      </c>
      <c r="E375" s="297"/>
      <c r="F375" s="285">
        <v>2900</v>
      </c>
    </row>
    <row r="376" spans="1:6" ht="15" x14ac:dyDescent="0.3">
      <c r="A376" s="230">
        <v>45743</v>
      </c>
      <c r="B376" s="11" t="s">
        <v>1221</v>
      </c>
      <c r="C376" s="112" t="s">
        <v>820</v>
      </c>
      <c r="D376" s="17" t="s">
        <v>1222</v>
      </c>
      <c r="E376" s="282">
        <v>34100</v>
      </c>
      <c r="F376" s="289"/>
    </row>
    <row r="377" spans="1:6" ht="15" x14ac:dyDescent="0.3">
      <c r="A377" s="230">
        <v>45743</v>
      </c>
      <c r="B377" s="11" t="s">
        <v>1223</v>
      </c>
      <c r="C377" s="113" t="s">
        <v>820</v>
      </c>
      <c r="D377" s="12" t="s">
        <v>1224</v>
      </c>
      <c r="E377" s="282"/>
      <c r="F377" s="285">
        <v>4000000</v>
      </c>
    </row>
    <row r="378" spans="1:6" ht="15" x14ac:dyDescent="0.3">
      <c r="A378" s="232">
        <v>45757</v>
      </c>
      <c r="B378" s="9" t="s">
        <v>1225</v>
      </c>
      <c r="C378" s="144" t="s">
        <v>820</v>
      </c>
      <c r="D378" s="42" t="s">
        <v>1226</v>
      </c>
      <c r="E378" s="409"/>
      <c r="F378" s="408">
        <v>9100000</v>
      </c>
    </row>
    <row r="379" spans="1:6" ht="15" x14ac:dyDescent="0.3">
      <c r="A379" s="232">
        <v>45757</v>
      </c>
      <c r="B379" s="9" t="s">
        <v>1225</v>
      </c>
      <c r="C379" s="144" t="s">
        <v>820</v>
      </c>
      <c r="D379" s="42" t="s">
        <v>1227</v>
      </c>
      <c r="E379" s="409"/>
      <c r="F379" s="408">
        <v>-182000</v>
      </c>
    </row>
    <row r="380" spans="1:6" ht="15" x14ac:dyDescent="0.3">
      <c r="A380" s="232">
        <v>45758</v>
      </c>
      <c r="B380" s="9" t="s">
        <v>1228</v>
      </c>
      <c r="C380" s="142" t="s">
        <v>820</v>
      </c>
      <c r="D380" s="42" t="s">
        <v>1229</v>
      </c>
      <c r="E380" s="294"/>
      <c r="F380" s="335">
        <v>307500</v>
      </c>
    </row>
    <row r="381" spans="1:6" ht="15" x14ac:dyDescent="0.3">
      <c r="A381" s="232">
        <v>45758</v>
      </c>
      <c r="B381" s="9" t="s">
        <v>1228</v>
      </c>
      <c r="C381" s="142" t="s">
        <v>820</v>
      </c>
      <c r="D381" s="42" t="s">
        <v>1178</v>
      </c>
      <c r="E381" s="294"/>
      <c r="F381" s="335">
        <v>83383</v>
      </c>
    </row>
    <row r="382" spans="1:6" ht="15" x14ac:dyDescent="0.3">
      <c r="A382" s="232">
        <v>45758</v>
      </c>
      <c r="B382" s="9" t="s">
        <v>1228</v>
      </c>
      <c r="C382" s="142" t="s">
        <v>820</v>
      </c>
      <c r="D382" s="42" t="s">
        <v>1230</v>
      </c>
      <c r="E382" s="294"/>
      <c r="F382" s="335">
        <v>250195</v>
      </c>
    </row>
    <row r="383" spans="1:6" ht="15" x14ac:dyDescent="0.3">
      <c r="A383" s="232">
        <v>45758</v>
      </c>
      <c r="B383" s="9" t="s">
        <v>1228</v>
      </c>
      <c r="C383" s="142" t="s">
        <v>820</v>
      </c>
      <c r="D383" s="42" t="s">
        <v>295</v>
      </c>
      <c r="E383" s="294"/>
      <c r="F383" s="335">
        <v>2500</v>
      </c>
    </row>
    <row r="384" spans="1:6" ht="15" x14ac:dyDescent="0.3">
      <c r="A384" s="232">
        <v>45758</v>
      </c>
      <c r="B384" s="9" t="s">
        <v>1228</v>
      </c>
      <c r="C384" s="142" t="s">
        <v>820</v>
      </c>
      <c r="D384" s="42" t="s">
        <v>1229</v>
      </c>
      <c r="E384" s="399"/>
      <c r="F384" s="335">
        <v>191000</v>
      </c>
    </row>
    <row r="385" spans="1:6" ht="15" x14ac:dyDescent="0.3">
      <c r="A385" s="232">
        <v>45758</v>
      </c>
      <c r="B385" s="9" t="s">
        <v>1228</v>
      </c>
      <c r="C385" s="142" t="s">
        <v>820</v>
      </c>
      <c r="D385" s="42" t="s">
        <v>295</v>
      </c>
      <c r="E385" s="294"/>
      <c r="F385" s="408">
        <v>2500</v>
      </c>
    </row>
    <row r="386" spans="1:6" ht="15" x14ac:dyDescent="0.3">
      <c r="A386" s="232">
        <v>45758</v>
      </c>
      <c r="B386" s="9" t="s">
        <v>1228</v>
      </c>
      <c r="C386" s="142" t="s">
        <v>820</v>
      </c>
      <c r="D386" s="42" t="s">
        <v>1231</v>
      </c>
      <c r="E386" s="294"/>
      <c r="F386" s="408">
        <v>2000000</v>
      </c>
    </row>
    <row r="387" spans="1:6" ht="15" x14ac:dyDescent="0.3">
      <c r="A387" s="232">
        <v>45763</v>
      </c>
      <c r="B387" s="9" t="s">
        <v>1232</v>
      </c>
      <c r="C387" s="144" t="s">
        <v>820</v>
      </c>
      <c r="D387" s="42" t="s">
        <v>1233</v>
      </c>
      <c r="E387" s="409"/>
      <c r="F387" s="408">
        <v>14844709</v>
      </c>
    </row>
    <row r="388" spans="1:6" ht="15" x14ac:dyDescent="0.3">
      <c r="A388" s="232">
        <v>45763</v>
      </c>
      <c r="B388" s="9" t="s">
        <v>1232</v>
      </c>
      <c r="C388" s="144" t="s">
        <v>820</v>
      </c>
      <c r="D388" s="42" t="s">
        <v>1234</v>
      </c>
      <c r="E388" s="409"/>
      <c r="F388" s="408">
        <v>1632918</v>
      </c>
    </row>
    <row r="389" spans="1:6" ht="15" x14ac:dyDescent="0.3">
      <c r="A389" s="232">
        <v>45763</v>
      </c>
      <c r="B389" s="9" t="s">
        <v>1232</v>
      </c>
      <c r="C389" s="144" t="s">
        <v>820</v>
      </c>
      <c r="D389" s="42" t="s">
        <v>1235</v>
      </c>
      <c r="E389" s="409"/>
      <c r="F389" s="408">
        <v>-393385</v>
      </c>
    </row>
    <row r="390" spans="1:6" ht="15" x14ac:dyDescent="0.3">
      <c r="A390" s="232">
        <v>45763</v>
      </c>
      <c r="B390" s="9" t="s">
        <v>1232</v>
      </c>
      <c r="C390" s="144" t="s">
        <v>820</v>
      </c>
      <c r="D390" s="42" t="s">
        <v>1236</v>
      </c>
      <c r="E390" s="409"/>
      <c r="F390" s="408">
        <v>96491</v>
      </c>
    </row>
    <row r="391" spans="1:6" ht="15" x14ac:dyDescent="0.3">
      <c r="A391" s="232">
        <v>45763</v>
      </c>
      <c r="B391" s="9" t="s">
        <v>1232</v>
      </c>
      <c r="C391" s="144" t="s">
        <v>820</v>
      </c>
      <c r="D391" s="42" t="s">
        <v>1237</v>
      </c>
      <c r="E391" s="409"/>
      <c r="F391" s="408">
        <v>2900</v>
      </c>
    </row>
    <row r="392" spans="1:6" ht="15" x14ac:dyDescent="0.3">
      <c r="A392" s="232">
        <v>45763</v>
      </c>
      <c r="B392" s="9" t="s">
        <v>312</v>
      </c>
      <c r="C392" s="142" t="s">
        <v>820</v>
      </c>
      <c r="D392" s="42" t="s">
        <v>1238</v>
      </c>
      <c r="E392" s="294"/>
      <c r="F392" s="335">
        <v>657000</v>
      </c>
    </row>
    <row r="393" spans="1:6" ht="15" x14ac:dyDescent="0.3">
      <c r="A393" s="232">
        <v>45763</v>
      </c>
      <c r="B393" s="9" t="s">
        <v>312</v>
      </c>
      <c r="C393" s="142" t="s">
        <v>820</v>
      </c>
      <c r="D393" s="42" t="s">
        <v>295</v>
      </c>
      <c r="E393" s="294"/>
      <c r="F393" s="335">
        <v>2500</v>
      </c>
    </row>
    <row r="394" spans="1:6" ht="15" x14ac:dyDescent="0.3">
      <c r="A394" s="232">
        <v>45763</v>
      </c>
      <c r="B394" s="9" t="s">
        <v>312</v>
      </c>
      <c r="C394" s="142" t="s">
        <v>820</v>
      </c>
      <c r="D394" s="42" t="s">
        <v>1239</v>
      </c>
      <c r="E394" s="294"/>
      <c r="F394" s="335">
        <v>45000</v>
      </c>
    </row>
    <row r="395" spans="1:6" ht="15" x14ac:dyDescent="0.3">
      <c r="A395" s="232">
        <v>45763</v>
      </c>
      <c r="B395" s="9" t="s">
        <v>312</v>
      </c>
      <c r="C395" s="142" t="s">
        <v>820</v>
      </c>
      <c r="D395" s="43" t="s">
        <v>1240</v>
      </c>
      <c r="E395" s="294"/>
      <c r="F395" s="335">
        <v>175000</v>
      </c>
    </row>
    <row r="396" spans="1:6" ht="15" x14ac:dyDescent="0.3">
      <c r="A396" s="232">
        <v>45770</v>
      </c>
      <c r="B396" s="9" t="s">
        <v>325</v>
      </c>
      <c r="C396" s="142" t="s">
        <v>820</v>
      </c>
      <c r="D396" s="42" t="s">
        <v>1241</v>
      </c>
      <c r="E396" s="294"/>
      <c r="F396" s="335">
        <v>709300</v>
      </c>
    </row>
    <row r="397" spans="1:6" ht="15" x14ac:dyDescent="0.3">
      <c r="A397" s="232">
        <v>45770</v>
      </c>
      <c r="B397" s="9" t="s">
        <v>325</v>
      </c>
      <c r="C397" s="142" t="s">
        <v>820</v>
      </c>
      <c r="D397" s="42" t="s">
        <v>1242</v>
      </c>
      <c r="E397" s="294"/>
      <c r="F397" s="335">
        <v>276000</v>
      </c>
    </row>
    <row r="398" spans="1:6" ht="15" x14ac:dyDescent="0.3">
      <c r="A398" s="232">
        <v>45770</v>
      </c>
      <c r="B398" s="9" t="s">
        <v>325</v>
      </c>
      <c r="C398" s="142" t="s">
        <v>820</v>
      </c>
      <c r="D398" s="42" t="s">
        <v>1243</v>
      </c>
      <c r="E398" s="294"/>
      <c r="F398" s="335">
        <v>385000</v>
      </c>
    </row>
    <row r="399" spans="1:6" ht="15" x14ac:dyDescent="0.3">
      <c r="A399" s="232">
        <v>45770</v>
      </c>
      <c r="B399" s="9" t="s">
        <v>325</v>
      </c>
      <c r="C399" s="142" t="s">
        <v>820</v>
      </c>
      <c r="D399" s="42" t="s">
        <v>1244</v>
      </c>
      <c r="E399" s="294"/>
      <c r="F399" s="335">
        <v>36000</v>
      </c>
    </row>
    <row r="400" spans="1:6" ht="15" x14ac:dyDescent="0.3">
      <c r="A400" s="232">
        <v>45770</v>
      </c>
      <c r="B400" s="9" t="s">
        <v>325</v>
      </c>
      <c r="C400" s="142" t="s">
        <v>820</v>
      </c>
      <c r="D400" s="42" t="s">
        <v>295</v>
      </c>
      <c r="E400" s="294"/>
      <c r="F400" s="335">
        <v>2500</v>
      </c>
    </row>
    <row r="401" spans="1:6" ht="15" x14ac:dyDescent="0.3">
      <c r="A401" s="232">
        <v>45772</v>
      </c>
      <c r="B401" s="9" t="s">
        <v>350</v>
      </c>
      <c r="C401" s="142" t="s">
        <v>820</v>
      </c>
      <c r="D401" s="42" t="s">
        <v>1202</v>
      </c>
      <c r="E401" s="294"/>
      <c r="F401" s="408">
        <v>2000000</v>
      </c>
    </row>
    <row r="402" spans="1:6" ht="15" x14ac:dyDescent="0.3">
      <c r="A402" s="232">
        <v>45772</v>
      </c>
      <c r="B402" s="9" t="s">
        <v>350</v>
      </c>
      <c r="C402" s="142" t="s">
        <v>820</v>
      </c>
      <c r="D402" s="42" t="s">
        <v>295</v>
      </c>
      <c r="E402" s="294"/>
      <c r="F402" s="408">
        <v>2500</v>
      </c>
    </row>
    <row r="403" spans="1:6" ht="15" x14ac:dyDescent="0.3">
      <c r="A403" s="232">
        <v>45772</v>
      </c>
      <c r="B403" s="9" t="s">
        <v>350</v>
      </c>
      <c r="C403" s="142" t="s">
        <v>820</v>
      </c>
      <c r="D403" s="42" t="s">
        <v>1245</v>
      </c>
      <c r="E403" s="294"/>
      <c r="F403" s="408">
        <v>3415000</v>
      </c>
    </row>
    <row r="404" spans="1:6" ht="15" x14ac:dyDescent="0.3">
      <c r="A404" s="232">
        <v>45772</v>
      </c>
      <c r="B404" s="9" t="s">
        <v>350</v>
      </c>
      <c r="C404" s="142" t="s">
        <v>820</v>
      </c>
      <c r="D404" s="42" t="s">
        <v>295</v>
      </c>
      <c r="E404" s="294"/>
      <c r="F404" s="408">
        <v>2500</v>
      </c>
    </row>
    <row r="405" spans="1:6" ht="15" x14ac:dyDescent="0.3">
      <c r="A405" s="232">
        <v>45772</v>
      </c>
      <c r="B405" s="9" t="s">
        <v>350</v>
      </c>
      <c r="C405" s="142" t="s">
        <v>820</v>
      </c>
      <c r="D405" s="42" t="s">
        <v>1246</v>
      </c>
      <c r="E405" s="294"/>
      <c r="F405" s="408">
        <v>506857</v>
      </c>
    </row>
    <row r="406" spans="1:6" ht="15" x14ac:dyDescent="0.3">
      <c r="A406" s="232">
        <v>45772</v>
      </c>
      <c r="B406" s="9" t="s">
        <v>1247</v>
      </c>
      <c r="C406" s="142" t="s">
        <v>820</v>
      </c>
      <c r="D406" s="42" t="s">
        <v>1248</v>
      </c>
      <c r="E406" s="294"/>
      <c r="F406" s="335">
        <v>2434320</v>
      </c>
    </row>
    <row r="407" spans="1:6" ht="15" x14ac:dyDescent="0.3">
      <c r="A407" s="232">
        <v>45772</v>
      </c>
      <c r="B407" s="9" t="s">
        <v>1247</v>
      </c>
      <c r="C407" s="142" t="s">
        <v>820</v>
      </c>
      <c r="D407" s="42" t="s">
        <v>1249</v>
      </c>
      <c r="E407" s="294"/>
      <c r="F407" s="335">
        <v>267775</v>
      </c>
    </row>
    <row r="408" spans="1:6" ht="15" x14ac:dyDescent="0.3">
      <c r="A408" s="232">
        <v>45772</v>
      </c>
      <c r="B408" s="9" t="s">
        <v>1247</v>
      </c>
      <c r="C408" s="142" t="s">
        <v>820</v>
      </c>
      <c r="D408" s="42" t="s">
        <v>1250</v>
      </c>
      <c r="E408" s="294"/>
      <c r="F408" s="335">
        <v>2900</v>
      </c>
    </row>
    <row r="409" spans="1:6" ht="15" x14ac:dyDescent="0.3">
      <c r="A409" s="232">
        <v>45772</v>
      </c>
      <c r="B409" s="9" t="s">
        <v>1251</v>
      </c>
      <c r="C409" s="142" t="s">
        <v>820</v>
      </c>
      <c r="D409" s="42" t="s">
        <v>1252</v>
      </c>
      <c r="E409" s="294"/>
      <c r="F409" s="335">
        <v>200000</v>
      </c>
    </row>
    <row r="410" spans="1:6" ht="15" x14ac:dyDescent="0.3">
      <c r="A410" s="232">
        <v>45772</v>
      </c>
      <c r="B410" s="9" t="s">
        <v>1251</v>
      </c>
      <c r="C410" s="142" t="s">
        <v>820</v>
      </c>
      <c r="D410" s="42" t="s">
        <v>1253</v>
      </c>
      <c r="E410" s="294"/>
      <c r="F410" s="335">
        <v>91500</v>
      </c>
    </row>
    <row r="411" spans="1:6" ht="15" x14ac:dyDescent="0.3">
      <c r="A411" s="232">
        <v>45772</v>
      </c>
      <c r="B411" s="9" t="s">
        <v>1251</v>
      </c>
      <c r="C411" s="142" t="s">
        <v>820</v>
      </c>
      <c r="D411" s="42" t="s">
        <v>1254</v>
      </c>
      <c r="E411" s="294"/>
      <c r="F411" s="335">
        <v>2025000</v>
      </c>
    </row>
    <row r="412" spans="1:6" ht="15" x14ac:dyDescent="0.3">
      <c r="A412" s="232">
        <v>45772</v>
      </c>
      <c r="B412" s="9" t="s">
        <v>1251</v>
      </c>
      <c r="C412" s="142" t="s">
        <v>820</v>
      </c>
      <c r="D412" s="42" t="s">
        <v>1255</v>
      </c>
      <c r="E412" s="294"/>
      <c r="F412" s="335">
        <v>2900</v>
      </c>
    </row>
    <row r="413" spans="1:6" ht="15" x14ac:dyDescent="0.3">
      <c r="A413" s="232">
        <v>45772</v>
      </c>
      <c r="B413" s="9" t="s">
        <v>1256</v>
      </c>
      <c r="C413" s="142" t="s">
        <v>820</v>
      </c>
      <c r="D413" s="42" t="s">
        <v>1257</v>
      </c>
      <c r="E413" s="294"/>
      <c r="F413" s="335">
        <v>80000</v>
      </c>
    </row>
    <row r="414" spans="1:6" ht="15" x14ac:dyDescent="0.3">
      <c r="A414" s="232">
        <v>45772</v>
      </c>
      <c r="B414" s="9" t="s">
        <v>1256</v>
      </c>
      <c r="C414" s="142" t="s">
        <v>820</v>
      </c>
      <c r="D414" s="42" t="s">
        <v>1258</v>
      </c>
      <c r="E414" s="294"/>
      <c r="F414" s="335">
        <v>2900</v>
      </c>
    </row>
    <row r="415" spans="1:6" ht="15" x14ac:dyDescent="0.3">
      <c r="A415" s="232">
        <v>45772</v>
      </c>
      <c r="B415" s="9" t="s">
        <v>377</v>
      </c>
      <c r="C415" s="144" t="s">
        <v>820</v>
      </c>
      <c r="D415" s="42" t="s">
        <v>1259</v>
      </c>
      <c r="E415" s="294"/>
      <c r="F415" s="408">
        <v>20000</v>
      </c>
    </row>
    <row r="416" spans="1:6" ht="15" x14ac:dyDescent="0.3">
      <c r="A416" s="232">
        <v>45775</v>
      </c>
      <c r="B416" s="9" t="s">
        <v>388</v>
      </c>
      <c r="C416" s="142" t="s">
        <v>820</v>
      </c>
      <c r="D416" s="30" t="s">
        <v>1260</v>
      </c>
      <c r="E416" s="294"/>
      <c r="F416" s="335">
        <v>1075000</v>
      </c>
    </row>
    <row r="417" spans="1:6" ht="15" x14ac:dyDescent="0.3">
      <c r="A417" s="232">
        <v>45775</v>
      </c>
      <c r="B417" s="9" t="s">
        <v>388</v>
      </c>
      <c r="C417" s="142" t="s">
        <v>820</v>
      </c>
      <c r="D417" s="30" t="s">
        <v>1261</v>
      </c>
      <c r="E417" s="294"/>
      <c r="F417" s="335">
        <v>118250</v>
      </c>
    </row>
    <row r="418" spans="1:6" ht="15" x14ac:dyDescent="0.3">
      <c r="A418" s="232">
        <v>45775</v>
      </c>
      <c r="B418" s="9" t="s">
        <v>388</v>
      </c>
      <c r="C418" s="142" t="s">
        <v>820</v>
      </c>
      <c r="D418" s="30" t="s">
        <v>1262</v>
      </c>
      <c r="E418" s="294"/>
      <c r="F418" s="335">
        <v>-21500</v>
      </c>
    </row>
    <row r="419" spans="1:6" ht="15" x14ac:dyDescent="0.3">
      <c r="A419" s="232">
        <v>45775</v>
      </c>
      <c r="B419" s="9" t="s">
        <v>388</v>
      </c>
      <c r="C419" s="142" t="s">
        <v>820</v>
      </c>
      <c r="D419" s="30" t="s">
        <v>275</v>
      </c>
      <c r="E419" s="294"/>
      <c r="F419" s="335">
        <v>2500</v>
      </c>
    </row>
    <row r="420" spans="1:6" ht="15" x14ac:dyDescent="0.3">
      <c r="A420" s="232">
        <v>45775</v>
      </c>
      <c r="B420" s="9" t="s">
        <v>388</v>
      </c>
      <c r="C420" s="142" t="s">
        <v>820</v>
      </c>
      <c r="D420" s="30" t="s">
        <v>1263</v>
      </c>
      <c r="E420" s="294"/>
      <c r="F420" s="335">
        <v>1500500</v>
      </c>
    </row>
    <row r="421" spans="1:6" ht="15" x14ac:dyDescent="0.3">
      <c r="A421" s="232">
        <v>45777</v>
      </c>
      <c r="B421" s="9" t="s">
        <v>1264</v>
      </c>
      <c r="C421" s="144" t="s">
        <v>820</v>
      </c>
      <c r="D421" s="42" t="s">
        <v>1265</v>
      </c>
      <c r="E421" s="294"/>
      <c r="F421" s="408">
        <v>163100</v>
      </c>
    </row>
    <row r="422" spans="1:6" ht="15" x14ac:dyDescent="0.3">
      <c r="A422" s="230">
        <v>45779</v>
      </c>
      <c r="B422" s="11" t="s">
        <v>401</v>
      </c>
      <c r="C422" s="112" t="s">
        <v>820</v>
      </c>
      <c r="D422" s="17" t="s">
        <v>1259</v>
      </c>
      <c r="E422" s="282"/>
      <c r="F422" s="289">
        <v>40000</v>
      </c>
    </row>
    <row r="423" spans="1:6" ht="15" x14ac:dyDescent="0.3">
      <c r="A423" s="230">
        <v>45779</v>
      </c>
      <c r="B423" s="11" t="s">
        <v>401</v>
      </c>
      <c r="C423" s="112" t="s">
        <v>820</v>
      </c>
      <c r="D423" s="17" t="s">
        <v>1266</v>
      </c>
      <c r="E423" s="282"/>
      <c r="F423" s="289">
        <v>198700</v>
      </c>
    </row>
    <row r="424" spans="1:6" ht="15" x14ac:dyDescent="0.3">
      <c r="A424" s="230">
        <v>45779</v>
      </c>
      <c r="B424" s="11" t="s">
        <v>415</v>
      </c>
      <c r="C424" s="112" t="s">
        <v>820</v>
      </c>
      <c r="D424" s="26" t="s">
        <v>1267</v>
      </c>
      <c r="E424" s="282"/>
      <c r="F424" s="289">
        <v>1127500</v>
      </c>
    </row>
    <row r="425" spans="1:6" ht="15" x14ac:dyDescent="0.3">
      <c r="A425" s="230">
        <v>45784</v>
      </c>
      <c r="B425" s="11" t="s">
        <v>774</v>
      </c>
      <c r="C425" s="112" t="s">
        <v>820</v>
      </c>
      <c r="D425" s="26" t="s">
        <v>1268</v>
      </c>
      <c r="E425" s="300"/>
      <c r="F425" s="299">
        <v>742500</v>
      </c>
    </row>
    <row r="426" spans="1:6" ht="15" x14ac:dyDescent="0.3">
      <c r="A426" s="232">
        <v>45790</v>
      </c>
      <c r="B426" s="9" t="s">
        <v>1269</v>
      </c>
      <c r="C426" s="112" t="s">
        <v>820</v>
      </c>
      <c r="D426" s="26" t="s">
        <v>1270</v>
      </c>
      <c r="E426" s="300"/>
      <c r="F426" s="299">
        <v>730000</v>
      </c>
    </row>
    <row r="427" spans="1:6" ht="15" x14ac:dyDescent="0.3">
      <c r="A427" s="232">
        <v>45790</v>
      </c>
      <c r="B427" s="9" t="s">
        <v>1269</v>
      </c>
      <c r="C427" s="112" t="s">
        <v>820</v>
      </c>
      <c r="D427" s="26" t="s">
        <v>1271</v>
      </c>
      <c r="E427" s="300"/>
      <c r="F427" s="299">
        <v>41500</v>
      </c>
    </row>
    <row r="428" spans="1:6" ht="15" x14ac:dyDescent="0.3">
      <c r="A428" s="232">
        <v>45790</v>
      </c>
      <c r="B428" s="9" t="s">
        <v>1269</v>
      </c>
      <c r="C428" s="112" t="s">
        <v>820</v>
      </c>
      <c r="D428" s="26" t="s">
        <v>1272</v>
      </c>
      <c r="E428" s="300"/>
      <c r="F428" s="299">
        <v>724800</v>
      </c>
    </row>
    <row r="429" spans="1:6" ht="15" x14ac:dyDescent="0.3">
      <c r="A429" s="232">
        <v>45790</v>
      </c>
      <c r="B429" s="9" t="s">
        <v>1269</v>
      </c>
      <c r="C429" s="112" t="s">
        <v>820</v>
      </c>
      <c r="D429" s="26" t="s">
        <v>1273</v>
      </c>
      <c r="E429" s="300"/>
      <c r="F429" s="299">
        <v>10000</v>
      </c>
    </row>
    <row r="430" spans="1:6" ht="15" x14ac:dyDescent="0.3">
      <c r="A430" s="232">
        <v>45791</v>
      </c>
      <c r="B430" s="9" t="s">
        <v>1274</v>
      </c>
      <c r="C430" s="112" t="s">
        <v>820</v>
      </c>
      <c r="D430" s="26" t="s">
        <v>1275</v>
      </c>
      <c r="E430" s="300"/>
      <c r="F430" s="299">
        <v>40000000</v>
      </c>
    </row>
    <row r="431" spans="1:6" ht="15" x14ac:dyDescent="0.3">
      <c r="A431" s="232">
        <v>45791</v>
      </c>
      <c r="B431" s="9" t="s">
        <v>1274</v>
      </c>
      <c r="C431" s="112" t="s">
        <v>820</v>
      </c>
      <c r="D431" s="26" t="s">
        <v>1276</v>
      </c>
      <c r="E431" s="300"/>
      <c r="F431" s="299">
        <v>4400000</v>
      </c>
    </row>
    <row r="432" spans="1:6" ht="15" x14ac:dyDescent="0.3">
      <c r="A432" s="232">
        <v>45791</v>
      </c>
      <c r="B432" s="9" t="s">
        <v>1274</v>
      </c>
      <c r="C432" s="112" t="s">
        <v>820</v>
      </c>
      <c r="D432" s="26" t="s">
        <v>1277</v>
      </c>
      <c r="E432" s="300"/>
      <c r="F432" s="299">
        <v>-800000</v>
      </c>
    </row>
    <row r="433" spans="1:6" ht="15" x14ac:dyDescent="0.3">
      <c r="A433" s="232">
        <v>45791</v>
      </c>
      <c r="B433" s="9" t="s">
        <v>1274</v>
      </c>
      <c r="C433" s="112" t="s">
        <v>820</v>
      </c>
      <c r="D433" s="26" t="s">
        <v>1278</v>
      </c>
      <c r="E433" s="300"/>
      <c r="F433" s="299">
        <v>2900</v>
      </c>
    </row>
    <row r="434" spans="1:6" ht="15" x14ac:dyDescent="0.3">
      <c r="A434" s="232">
        <v>45791</v>
      </c>
      <c r="B434" s="9" t="s">
        <v>1279</v>
      </c>
      <c r="C434" s="142" t="s">
        <v>820</v>
      </c>
      <c r="D434" s="26" t="s">
        <v>1280</v>
      </c>
      <c r="E434" s="300"/>
      <c r="F434" s="299">
        <v>7615500</v>
      </c>
    </row>
    <row r="435" spans="1:6" ht="15" x14ac:dyDescent="0.3">
      <c r="A435" s="232">
        <v>45791</v>
      </c>
      <c r="B435" s="9" t="s">
        <v>1279</v>
      </c>
      <c r="C435" s="142" t="s">
        <v>820</v>
      </c>
      <c r="D435" s="26" t="s">
        <v>1281</v>
      </c>
      <c r="E435" s="300"/>
      <c r="F435" s="299">
        <v>837705</v>
      </c>
    </row>
    <row r="436" spans="1:6" ht="15" x14ac:dyDescent="0.3">
      <c r="A436" s="232">
        <v>45791</v>
      </c>
      <c r="B436" s="9" t="s">
        <v>1279</v>
      </c>
      <c r="C436" s="142" t="s">
        <v>820</v>
      </c>
      <c r="D436" s="26" t="s">
        <v>1282</v>
      </c>
      <c r="E436" s="300"/>
      <c r="F436" s="299">
        <v>-152310</v>
      </c>
    </row>
    <row r="437" spans="1:6" ht="15" x14ac:dyDescent="0.3">
      <c r="A437" s="232">
        <v>45791</v>
      </c>
      <c r="B437" s="9" t="s">
        <v>1279</v>
      </c>
      <c r="C437" s="142" t="s">
        <v>820</v>
      </c>
      <c r="D437" s="26" t="s">
        <v>1283</v>
      </c>
      <c r="E437" s="300"/>
      <c r="F437" s="299">
        <v>21495000</v>
      </c>
    </row>
    <row r="438" spans="1:6" ht="15" x14ac:dyDescent="0.3">
      <c r="A438" s="232">
        <v>45791</v>
      </c>
      <c r="B438" s="9" t="s">
        <v>1279</v>
      </c>
      <c r="C438" s="142" t="s">
        <v>820</v>
      </c>
      <c r="D438" s="26" t="s">
        <v>1284</v>
      </c>
      <c r="E438" s="300"/>
      <c r="F438" s="299">
        <v>236445</v>
      </c>
    </row>
    <row r="439" spans="1:6" ht="15" x14ac:dyDescent="0.3">
      <c r="A439" s="232">
        <v>45791</v>
      </c>
      <c r="B439" s="9" t="s">
        <v>1279</v>
      </c>
      <c r="C439" s="142" t="s">
        <v>820</v>
      </c>
      <c r="D439" s="26" t="s">
        <v>1285</v>
      </c>
      <c r="E439" s="300"/>
      <c r="F439" s="299">
        <v>-429900</v>
      </c>
    </row>
    <row r="440" spans="1:6" ht="15" x14ac:dyDescent="0.3">
      <c r="A440" s="232">
        <v>45791</v>
      </c>
      <c r="B440" s="9" t="s">
        <v>1279</v>
      </c>
      <c r="C440" s="142" t="s">
        <v>820</v>
      </c>
      <c r="D440" s="26" t="s">
        <v>1286</v>
      </c>
      <c r="E440" s="300"/>
      <c r="F440" s="299">
        <v>495000</v>
      </c>
    </row>
    <row r="441" spans="1:6" ht="15" x14ac:dyDescent="0.3">
      <c r="A441" s="232">
        <v>45791</v>
      </c>
      <c r="B441" s="9" t="s">
        <v>1279</v>
      </c>
      <c r="C441" s="142" t="s">
        <v>820</v>
      </c>
      <c r="D441" s="26" t="s">
        <v>1287</v>
      </c>
      <c r="E441" s="300"/>
      <c r="F441" s="299">
        <v>54450</v>
      </c>
    </row>
    <row r="442" spans="1:6" ht="15" x14ac:dyDescent="0.3">
      <c r="A442" s="232">
        <v>45791</v>
      </c>
      <c r="B442" s="9" t="s">
        <v>1279</v>
      </c>
      <c r="C442" s="142" t="s">
        <v>820</v>
      </c>
      <c r="D442" s="26" t="s">
        <v>1288</v>
      </c>
      <c r="E442" s="300"/>
      <c r="F442" s="299">
        <v>-9900</v>
      </c>
    </row>
    <row r="443" spans="1:6" ht="15" x14ac:dyDescent="0.3">
      <c r="A443" s="232">
        <v>45793</v>
      </c>
      <c r="B443" s="9" t="s">
        <v>1289</v>
      </c>
      <c r="C443" s="112" t="s">
        <v>820</v>
      </c>
      <c r="D443" s="26" t="s">
        <v>1290</v>
      </c>
      <c r="E443" s="300"/>
      <c r="F443" s="299">
        <v>34000</v>
      </c>
    </row>
    <row r="444" spans="1:6" ht="15" x14ac:dyDescent="0.3">
      <c r="A444" s="232">
        <v>45793</v>
      </c>
      <c r="B444" s="9" t="s">
        <v>1289</v>
      </c>
      <c r="C444" s="112" t="s">
        <v>820</v>
      </c>
      <c r="D444" s="26" t="s">
        <v>1291</v>
      </c>
      <c r="E444" s="300"/>
      <c r="F444" s="299">
        <v>200000</v>
      </c>
    </row>
    <row r="445" spans="1:6" ht="15" x14ac:dyDescent="0.3">
      <c r="A445" s="232">
        <v>45793</v>
      </c>
      <c r="B445" s="9" t="s">
        <v>1289</v>
      </c>
      <c r="C445" s="112" t="s">
        <v>820</v>
      </c>
      <c r="D445" s="26" t="s">
        <v>1292</v>
      </c>
      <c r="E445" s="300"/>
      <c r="F445" s="299">
        <v>162000</v>
      </c>
    </row>
    <row r="446" spans="1:6" ht="15" x14ac:dyDescent="0.3">
      <c r="A446" s="232">
        <v>45793</v>
      </c>
      <c r="B446" s="9" t="s">
        <v>1289</v>
      </c>
      <c r="C446" s="112" t="s">
        <v>820</v>
      </c>
      <c r="D446" s="26" t="s">
        <v>1293</v>
      </c>
      <c r="E446" s="300"/>
      <c r="F446" s="299">
        <v>139500</v>
      </c>
    </row>
    <row r="447" spans="1:6" ht="15" x14ac:dyDescent="0.3">
      <c r="A447" s="232">
        <v>45793</v>
      </c>
      <c r="B447" s="9" t="s">
        <v>463</v>
      </c>
      <c r="C447" s="142" t="s">
        <v>820</v>
      </c>
      <c r="D447" s="26" t="s">
        <v>1294</v>
      </c>
      <c r="E447" s="300"/>
      <c r="F447" s="299">
        <v>60000</v>
      </c>
    </row>
    <row r="448" spans="1:6" ht="15" x14ac:dyDescent="0.3">
      <c r="A448" s="232">
        <v>45800</v>
      </c>
      <c r="B448" s="9" t="s">
        <v>478</v>
      </c>
      <c r="C448" s="112" t="s">
        <v>820</v>
      </c>
      <c r="D448" s="43" t="s">
        <v>1295</v>
      </c>
      <c r="E448" s="294"/>
      <c r="F448" s="335">
        <v>59500</v>
      </c>
    </row>
    <row r="449" spans="1:6" ht="15" x14ac:dyDescent="0.3">
      <c r="A449" s="232">
        <v>45800</v>
      </c>
      <c r="B449" s="9" t="s">
        <v>480</v>
      </c>
      <c r="C449" s="112" t="s">
        <v>820</v>
      </c>
      <c r="D449" s="43" t="s">
        <v>481</v>
      </c>
      <c r="E449" s="294"/>
      <c r="F449" s="335">
        <v>95180</v>
      </c>
    </row>
    <row r="450" spans="1:6" ht="15" x14ac:dyDescent="0.3">
      <c r="A450" s="232">
        <v>45800</v>
      </c>
      <c r="B450" s="9" t="s">
        <v>480</v>
      </c>
      <c r="C450" s="112" t="s">
        <v>820</v>
      </c>
      <c r="D450" s="43" t="s">
        <v>1296</v>
      </c>
      <c r="E450" s="294"/>
      <c r="F450" s="335">
        <v>231500</v>
      </c>
    </row>
    <row r="451" spans="1:6" ht="15" x14ac:dyDescent="0.3">
      <c r="A451" s="232">
        <v>45805</v>
      </c>
      <c r="B451" s="9" t="s">
        <v>1297</v>
      </c>
      <c r="C451" s="112" t="s">
        <v>820</v>
      </c>
      <c r="D451" s="43" t="s">
        <v>1298</v>
      </c>
      <c r="E451" s="294"/>
      <c r="F451" s="335">
        <v>225000000</v>
      </c>
    </row>
    <row r="452" spans="1:6" ht="15" x14ac:dyDescent="0.3">
      <c r="A452" s="232">
        <v>45805</v>
      </c>
      <c r="B452" s="9" t="s">
        <v>1297</v>
      </c>
      <c r="C452" s="112" t="s">
        <v>820</v>
      </c>
      <c r="D452" s="43" t="s">
        <v>1299</v>
      </c>
      <c r="E452" s="294"/>
      <c r="F452" s="335">
        <v>24750000</v>
      </c>
    </row>
    <row r="453" spans="1:6" ht="15" x14ac:dyDescent="0.3">
      <c r="A453" s="232">
        <v>45805</v>
      </c>
      <c r="B453" s="9" t="s">
        <v>1297</v>
      </c>
      <c r="C453" s="112" t="s">
        <v>820</v>
      </c>
      <c r="D453" s="43" t="s">
        <v>1300</v>
      </c>
      <c r="E453" s="294"/>
      <c r="F453" s="335">
        <v>-5962500</v>
      </c>
    </row>
    <row r="454" spans="1:6" ht="15" x14ac:dyDescent="0.3">
      <c r="A454" s="232">
        <v>45805</v>
      </c>
      <c r="B454" s="9" t="s">
        <v>1297</v>
      </c>
      <c r="C454" s="112" t="s">
        <v>820</v>
      </c>
      <c r="D454" s="43" t="s">
        <v>1301</v>
      </c>
      <c r="E454" s="294"/>
      <c r="F454" s="335">
        <v>-4387500</v>
      </c>
    </row>
    <row r="455" spans="1:6" ht="15" x14ac:dyDescent="0.3">
      <c r="A455" s="232">
        <v>45805</v>
      </c>
      <c r="B455" s="9" t="s">
        <v>1297</v>
      </c>
      <c r="C455" s="112" t="s">
        <v>820</v>
      </c>
      <c r="D455" s="43" t="s">
        <v>1302</v>
      </c>
      <c r="E455" s="294"/>
      <c r="F455" s="335">
        <v>2900</v>
      </c>
    </row>
    <row r="456" spans="1:6" ht="15" x14ac:dyDescent="0.3">
      <c r="A456" s="232">
        <v>45805</v>
      </c>
      <c r="B456" s="9" t="s">
        <v>1303</v>
      </c>
      <c r="C456" s="112" t="s">
        <v>820</v>
      </c>
      <c r="D456" s="43" t="s">
        <v>1304</v>
      </c>
      <c r="E456" s="294"/>
      <c r="F456" s="335">
        <v>1750000</v>
      </c>
    </row>
    <row r="457" spans="1:6" ht="15" x14ac:dyDescent="0.3">
      <c r="A457" s="232">
        <v>45805</v>
      </c>
      <c r="B457" s="9" t="s">
        <v>1303</v>
      </c>
      <c r="C457" s="112" t="s">
        <v>820</v>
      </c>
      <c r="D457" s="43" t="s">
        <v>1305</v>
      </c>
      <c r="E457" s="294"/>
      <c r="F457" s="335">
        <v>192500</v>
      </c>
    </row>
    <row r="458" spans="1:6" ht="15" x14ac:dyDescent="0.3">
      <c r="A458" s="232">
        <v>45805</v>
      </c>
      <c r="B458" s="9" t="s">
        <v>1303</v>
      </c>
      <c r="C458" s="112" t="s">
        <v>820</v>
      </c>
      <c r="D458" s="43" t="s">
        <v>1306</v>
      </c>
      <c r="E458" s="294"/>
      <c r="F458" s="335">
        <v>-35000</v>
      </c>
    </row>
    <row r="459" spans="1:6" ht="15" x14ac:dyDescent="0.3">
      <c r="A459" s="232">
        <v>45805</v>
      </c>
      <c r="B459" s="9" t="s">
        <v>1303</v>
      </c>
      <c r="C459" s="112" t="s">
        <v>820</v>
      </c>
      <c r="D459" s="43" t="s">
        <v>1307</v>
      </c>
      <c r="E459" s="294"/>
      <c r="F459" s="335">
        <v>13000000</v>
      </c>
    </row>
    <row r="460" spans="1:6" ht="15" x14ac:dyDescent="0.3">
      <c r="A460" s="232">
        <v>45805</v>
      </c>
      <c r="B460" s="9" t="s">
        <v>1303</v>
      </c>
      <c r="C460" s="112" t="s">
        <v>820</v>
      </c>
      <c r="D460" s="43" t="s">
        <v>1308</v>
      </c>
      <c r="E460" s="294"/>
      <c r="F460" s="335">
        <v>143000</v>
      </c>
    </row>
    <row r="461" spans="1:6" ht="15" x14ac:dyDescent="0.3">
      <c r="A461" s="232">
        <v>45805</v>
      </c>
      <c r="B461" s="9" t="s">
        <v>1303</v>
      </c>
      <c r="C461" s="112" t="s">
        <v>820</v>
      </c>
      <c r="D461" s="43" t="s">
        <v>1309</v>
      </c>
      <c r="E461" s="294"/>
      <c r="F461" s="335">
        <v>-260000</v>
      </c>
    </row>
    <row r="462" spans="1:6" ht="15" x14ac:dyDescent="0.3">
      <c r="A462" s="232">
        <v>45805</v>
      </c>
      <c r="B462" s="9" t="s">
        <v>1303</v>
      </c>
      <c r="C462" s="112" t="s">
        <v>820</v>
      </c>
      <c r="D462" s="43" t="s">
        <v>1310</v>
      </c>
      <c r="E462" s="294"/>
      <c r="F462" s="335">
        <v>365154</v>
      </c>
    </row>
    <row r="463" spans="1:6" ht="15" x14ac:dyDescent="0.3">
      <c r="A463" s="232">
        <v>45805</v>
      </c>
      <c r="B463" s="9" t="s">
        <v>1303</v>
      </c>
      <c r="C463" s="112" t="s">
        <v>820</v>
      </c>
      <c r="D463" s="43" t="s">
        <v>1311</v>
      </c>
      <c r="E463" s="294"/>
      <c r="F463" s="335">
        <v>40167</v>
      </c>
    </row>
    <row r="464" spans="1:6" ht="15" x14ac:dyDescent="0.3">
      <c r="A464" s="232">
        <v>45805</v>
      </c>
      <c r="B464" s="9" t="s">
        <v>1303</v>
      </c>
      <c r="C464" s="112" t="s">
        <v>820</v>
      </c>
      <c r="D464" s="43" t="s">
        <v>1312</v>
      </c>
      <c r="E464" s="294"/>
      <c r="F464" s="335">
        <v>-7303</v>
      </c>
    </row>
    <row r="465" spans="1:6" ht="15" x14ac:dyDescent="0.3">
      <c r="A465" s="232">
        <v>45805</v>
      </c>
      <c r="B465" s="9" t="s">
        <v>1303</v>
      </c>
      <c r="C465" s="112" t="s">
        <v>820</v>
      </c>
      <c r="D465" s="43" t="s">
        <v>311</v>
      </c>
      <c r="E465" s="294"/>
      <c r="F465" s="335">
        <v>2900</v>
      </c>
    </row>
    <row r="466" spans="1:6" ht="15" x14ac:dyDescent="0.3">
      <c r="A466" s="232">
        <v>45805</v>
      </c>
      <c r="B466" s="9" t="s">
        <v>1313</v>
      </c>
      <c r="C466" s="112" t="s">
        <v>820</v>
      </c>
      <c r="D466" s="43" t="s">
        <v>1314</v>
      </c>
      <c r="E466" s="294"/>
      <c r="F466" s="335">
        <v>13000000</v>
      </c>
    </row>
    <row r="467" spans="1:6" ht="15" x14ac:dyDescent="0.3">
      <c r="A467" s="232">
        <v>45805</v>
      </c>
      <c r="B467" s="9" t="s">
        <v>1313</v>
      </c>
      <c r="C467" s="112" t="s">
        <v>820</v>
      </c>
      <c r="D467" s="43" t="s">
        <v>1315</v>
      </c>
      <c r="E467" s="294"/>
      <c r="F467" s="335">
        <v>1430000</v>
      </c>
    </row>
    <row r="468" spans="1:6" ht="15" x14ac:dyDescent="0.3">
      <c r="A468" s="232">
        <v>45805</v>
      </c>
      <c r="B468" s="9" t="s">
        <v>1313</v>
      </c>
      <c r="C468" s="112" t="s">
        <v>820</v>
      </c>
      <c r="D468" s="43" t="s">
        <v>1316</v>
      </c>
      <c r="E468" s="294"/>
      <c r="F468" s="335">
        <v>-260000</v>
      </c>
    </row>
    <row r="469" spans="1:6" ht="15" x14ac:dyDescent="0.3">
      <c r="A469" s="232">
        <v>45805</v>
      </c>
      <c r="B469" s="9" t="s">
        <v>1313</v>
      </c>
      <c r="C469" s="112" t="s">
        <v>820</v>
      </c>
      <c r="D469" s="43" t="s">
        <v>1302</v>
      </c>
      <c r="E469" s="294"/>
      <c r="F469" s="335">
        <v>2900</v>
      </c>
    </row>
    <row r="470" spans="1:6" ht="15" x14ac:dyDescent="0.3">
      <c r="A470" s="232">
        <v>45807</v>
      </c>
      <c r="B470" s="9" t="s">
        <v>503</v>
      </c>
      <c r="C470" s="112" t="s">
        <v>820</v>
      </c>
      <c r="D470" s="26" t="s">
        <v>1317</v>
      </c>
      <c r="E470" s="300"/>
      <c r="F470" s="299">
        <v>80000</v>
      </c>
    </row>
    <row r="471" spans="1:6" ht="15" x14ac:dyDescent="0.3">
      <c r="A471" s="232">
        <v>45807</v>
      </c>
      <c r="B471" s="9" t="s">
        <v>503</v>
      </c>
      <c r="C471" s="112" t="s">
        <v>820</v>
      </c>
      <c r="D471" s="26" t="s">
        <v>1318</v>
      </c>
      <c r="E471" s="300"/>
      <c r="F471" s="299">
        <v>20000</v>
      </c>
    </row>
    <row r="472" spans="1:6" ht="15" x14ac:dyDescent="0.3">
      <c r="A472" s="232">
        <v>45808</v>
      </c>
      <c r="B472" s="9" t="s">
        <v>1319</v>
      </c>
      <c r="C472" s="112" t="s">
        <v>820</v>
      </c>
      <c r="D472" s="26" t="s">
        <v>1320</v>
      </c>
      <c r="E472" s="300"/>
      <c r="F472" s="299">
        <v>10000000</v>
      </c>
    </row>
    <row r="473" spans="1:6" ht="15" x14ac:dyDescent="0.3">
      <c r="A473" s="232">
        <v>45808</v>
      </c>
      <c r="B473" s="9" t="s">
        <v>1319</v>
      </c>
      <c r="C473" s="112" t="s">
        <v>820</v>
      </c>
      <c r="D473" s="26" t="s">
        <v>1321</v>
      </c>
      <c r="E473" s="300"/>
      <c r="F473" s="299">
        <v>10000000</v>
      </c>
    </row>
    <row r="474" spans="1:6" ht="15" x14ac:dyDescent="0.3">
      <c r="A474" s="232">
        <v>45813</v>
      </c>
      <c r="B474" s="9" t="s">
        <v>1322</v>
      </c>
      <c r="C474" s="112" t="s">
        <v>820</v>
      </c>
      <c r="D474" s="30" t="s">
        <v>1323</v>
      </c>
      <c r="E474" s="294">
        <v>96491</v>
      </c>
      <c r="F474" s="335"/>
    </row>
    <row r="475" spans="1:6" ht="15" x14ac:dyDescent="0.3">
      <c r="A475" s="232">
        <v>45819</v>
      </c>
      <c r="B475" s="9" t="s">
        <v>1324</v>
      </c>
      <c r="C475" s="142" t="s">
        <v>820</v>
      </c>
      <c r="D475" s="43" t="s">
        <v>1325</v>
      </c>
      <c r="E475" s="294"/>
      <c r="F475" s="335">
        <v>586000</v>
      </c>
    </row>
    <row r="476" spans="1:6" ht="15" x14ac:dyDescent="0.3">
      <c r="A476" s="232">
        <v>45819</v>
      </c>
      <c r="B476" s="9" t="s">
        <v>1324</v>
      </c>
      <c r="C476" s="142" t="s">
        <v>820</v>
      </c>
      <c r="D476" s="43" t="s">
        <v>1326</v>
      </c>
      <c r="E476" s="294"/>
      <c r="F476" s="335">
        <v>1200000</v>
      </c>
    </row>
    <row r="477" spans="1:6" ht="15" x14ac:dyDescent="0.3">
      <c r="A477" s="232">
        <v>45819</v>
      </c>
      <c r="B477" s="9" t="s">
        <v>1324</v>
      </c>
      <c r="C477" s="142" t="s">
        <v>820</v>
      </c>
      <c r="D477" s="43" t="s">
        <v>1327</v>
      </c>
      <c r="E477" s="294"/>
      <c r="F477" s="335">
        <v>25000</v>
      </c>
    </row>
    <row r="478" spans="1:6" ht="15" x14ac:dyDescent="0.3">
      <c r="A478" s="232">
        <v>45819</v>
      </c>
      <c r="B478" s="9" t="s">
        <v>1324</v>
      </c>
      <c r="C478" s="142" t="s">
        <v>820</v>
      </c>
      <c r="D478" s="43" t="s">
        <v>1328</v>
      </c>
      <c r="E478" s="294"/>
      <c r="F478" s="335">
        <v>490000</v>
      </c>
    </row>
    <row r="479" spans="1:6" ht="15" x14ac:dyDescent="0.3">
      <c r="A479" s="232">
        <v>45819</v>
      </c>
      <c r="B479" s="9" t="s">
        <v>1324</v>
      </c>
      <c r="C479" s="142" t="s">
        <v>820</v>
      </c>
      <c r="D479" s="43" t="s">
        <v>1329</v>
      </c>
      <c r="E479" s="294"/>
      <c r="F479" s="335">
        <v>107000</v>
      </c>
    </row>
    <row r="480" spans="1:6" ht="15" x14ac:dyDescent="0.3">
      <c r="A480" s="232">
        <v>45819</v>
      </c>
      <c r="B480" s="9" t="s">
        <v>1324</v>
      </c>
      <c r="C480" s="142" t="s">
        <v>820</v>
      </c>
      <c r="D480" s="43" t="s">
        <v>1330</v>
      </c>
      <c r="E480" s="294"/>
      <c r="F480" s="335">
        <v>1845100</v>
      </c>
    </row>
    <row r="481" spans="1:6" ht="15" x14ac:dyDescent="0.3">
      <c r="A481" s="232">
        <v>45819</v>
      </c>
      <c r="B481" s="9" t="s">
        <v>1324</v>
      </c>
      <c r="C481" s="142" t="s">
        <v>820</v>
      </c>
      <c r="D481" s="43" t="s">
        <v>1331</v>
      </c>
      <c r="E481" s="294"/>
      <c r="F481" s="335">
        <v>90500</v>
      </c>
    </row>
    <row r="482" spans="1:6" ht="15" x14ac:dyDescent="0.3">
      <c r="A482" s="232">
        <v>45819</v>
      </c>
      <c r="B482" s="9" t="s">
        <v>1324</v>
      </c>
      <c r="C482" s="142" t="s">
        <v>820</v>
      </c>
      <c r="D482" s="43" t="s">
        <v>1332</v>
      </c>
      <c r="E482" s="294"/>
      <c r="F482" s="335">
        <v>700000</v>
      </c>
    </row>
    <row r="483" spans="1:6" ht="15" x14ac:dyDescent="0.3">
      <c r="A483" s="232">
        <v>45819</v>
      </c>
      <c r="B483" s="9" t="s">
        <v>1324</v>
      </c>
      <c r="C483" s="142" t="s">
        <v>820</v>
      </c>
      <c r="D483" s="43" t="s">
        <v>1333</v>
      </c>
      <c r="E483" s="294"/>
      <c r="F483" s="335">
        <v>350000</v>
      </c>
    </row>
    <row r="484" spans="1:6" ht="15" x14ac:dyDescent="0.3">
      <c r="A484" s="232">
        <v>45819</v>
      </c>
      <c r="B484" s="9" t="s">
        <v>1324</v>
      </c>
      <c r="C484" s="142" t="s">
        <v>820</v>
      </c>
      <c r="D484" s="43" t="s">
        <v>1334</v>
      </c>
      <c r="E484" s="294"/>
      <c r="F484" s="335">
        <v>61000</v>
      </c>
    </row>
    <row r="485" spans="1:6" ht="15" x14ac:dyDescent="0.3">
      <c r="A485" s="232">
        <v>45819</v>
      </c>
      <c r="B485" s="9" t="s">
        <v>1324</v>
      </c>
      <c r="C485" s="142" t="s">
        <v>820</v>
      </c>
      <c r="D485" s="43" t="s">
        <v>1335</v>
      </c>
      <c r="E485" s="294"/>
      <c r="F485" s="335">
        <v>140000</v>
      </c>
    </row>
    <row r="486" spans="1:6" ht="15" x14ac:dyDescent="0.3">
      <c r="A486" s="232">
        <v>45819</v>
      </c>
      <c r="B486" s="9" t="s">
        <v>1324</v>
      </c>
      <c r="C486" s="142" t="s">
        <v>820</v>
      </c>
      <c r="D486" s="43" t="s">
        <v>1336</v>
      </c>
      <c r="E486" s="294"/>
      <c r="F486" s="335">
        <v>169000</v>
      </c>
    </row>
    <row r="487" spans="1:6" ht="15" x14ac:dyDescent="0.3">
      <c r="A487" s="232">
        <v>45819</v>
      </c>
      <c r="B487" s="9" t="s">
        <v>1337</v>
      </c>
      <c r="C487" s="142" t="s">
        <v>820</v>
      </c>
      <c r="D487" s="43" t="s">
        <v>1338</v>
      </c>
      <c r="E487" s="294"/>
      <c r="F487" s="335">
        <v>404205</v>
      </c>
    </row>
    <row r="488" spans="1:6" ht="15" x14ac:dyDescent="0.3">
      <c r="A488" s="232">
        <v>45819</v>
      </c>
      <c r="B488" s="9" t="s">
        <v>1337</v>
      </c>
      <c r="C488" s="142" t="s">
        <v>820</v>
      </c>
      <c r="D488" s="43" t="s">
        <v>1339</v>
      </c>
      <c r="E488" s="294"/>
      <c r="F488" s="335">
        <v>1000000</v>
      </c>
    </row>
    <row r="489" spans="1:6" ht="15" x14ac:dyDescent="0.3">
      <c r="A489" s="232">
        <v>45819</v>
      </c>
      <c r="B489" s="9" t="s">
        <v>1337</v>
      </c>
      <c r="C489" s="142" t="s">
        <v>820</v>
      </c>
      <c r="D489" s="43" t="s">
        <v>1340</v>
      </c>
      <c r="E489" s="294"/>
      <c r="F489" s="335">
        <v>378500</v>
      </c>
    </row>
    <row r="490" spans="1:6" ht="15" x14ac:dyDescent="0.3">
      <c r="A490" s="232">
        <v>45819</v>
      </c>
      <c r="B490" s="9" t="s">
        <v>1337</v>
      </c>
      <c r="C490" s="142" t="s">
        <v>820</v>
      </c>
      <c r="D490" s="43" t="s">
        <v>1341</v>
      </c>
      <c r="E490" s="294"/>
      <c r="F490" s="335">
        <v>349356</v>
      </c>
    </row>
    <row r="491" spans="1:6" ht="15" x14ac:dyDescent="0.3">
      <c r="A491" s="232">
        <v>45819</v>
      </c>
      <c r="B491" s="9" t="s">
        <v>1337</v>
      </c>
      <c r="C491" s="142" t="s">
        <v>820</v>
      </c>
      <c r="D491" s="43" t="s">
        <v>1342</v>
      </c>
      <c r="E491" s="294"/>
      <c r="F491" s="335">
        <v>5191990</v>
      </c>
    </row>
    <row r="492" spans="1:6" ht="15" x14ac:dyDescent="0.3">
      <c r="A492" s="232">
        <v>45819</v>
      </c>
      <c r="B492" s="9" t="s">
        <v>1337</v>
      </c>
      <c r="C492" s="142" t="s">
        <v>820</v>
      </c>
      <c r="D492" s="43" t="s">
        <v>1343</v>
      </c>
      <c r="E492" s="294"/>
      <c r="F492" s="335">
        <v>222300</v>
      </c>
    </row>
    <row r="493" spans="1:6" ht="15" x14ac:dyDescent="0.3">
      <c r="A493" s="232">
        <v>45819</v>
      </c>
      <c r="B493" s="9" t="s">
        <v>1337</v>
      </c>
      <c r="C493" s="142" t="s">
        <v>820</v>
      </c>
      <c r="D493" s="43" t="s">
        <v>1344</v>
      </c>
      <c r="E493" s="294"/>
      <c r="F493" s="335">
        <v>85000</v>
      </c>
    </row>
    <row r="494" spans="1:6" ht="15" x14ac:dyDescent="0.3">
      <c r="A494" s="232">
        <v>45819</v>
      </c>
      <c r="B494" s="9" t="s">
        <v>1337</v>
      </c>
      <c r="C494" s="142" t="s">
        <v>820</v>
      </c>
      <c r="D494" s="43" t="s">
        <v>1345</v>
      </c>
      <c r="E494" s="294"/>
      <c r="F494" s="335">
        <v>105000</v>
      </c>
    </row>
    <row r="495" spans="1:6" ht="15" x14ac:dyDescent="0.3">
      <c r="A495" s="232">
        <v>45819</v>
      </c>
      <c r="B495" s="9" t="s">
        <v>806</v>
      </c>
      <c r="C495" s="142" t="s">
        <v>820</v>
      </c>
      <c r="D495" s="43" t="s">
        <v>1346</v>
      </c>
      <c r="E495" s="294"/>
      <c r="F495" s="335">
        <v>68956</v>
      </c>
    </row>
    <row r="496" spans="1:6" ht="15" x14ac:dyDescent="0.3">
      <c r="A496" s="232">
        <v>45819</v>
      </c>
      <c r="B496" s="9" t="s">
        <v>806</v>
      </c>
      <c r="C496" s="142" t="s">
        <v>820</v>
      </c>
      <c r="D496" s="43" t="s">
        <v>1347</v>
      </c>
      <c r="E496" s="294"/>
      <c r="F496" s="335">
        <v>1620000</v>
      </c>
    </row>
    <row r="497" spans="1:6" ht="15" x14ac:dyDescent="0.3">
      <c r="A497" s="232">
        <v>45819</v>
      </c>
      <c r="B497" s="9" t="s">
        <v>806</v>
      </c>
      <c r="C497" s="142" t="s">
        <v>820</v>
      </c>
      <c r="D497" s="43" t="s">
        <v>1348</v>
      </c>
      <c r="E497" s="294"/>
      <c r="F497" s="335">
        <v>2500</v>
      </c>
    </row>
    <row r="498" spans="1:6" ht="15" x14ac:dyDescent="0.3">
      <c r="A498" s="232">
        <v>45825</v>
      </c>
      <c r="B498" s="9" t="s">
        <v>522</v>
      </c>
      <c r="C498" s="142" t="s">
        <v>820</v>
      </c>
      <c r="D498" s="43" t="s">
        <v>82</v>
      </c>
      <c r="E498" s="294"/>
      <c r="F498" s="335">
        <v>15725000</v>
      </c>
    </row>
    <row r="499" spans="1:6" ht="15" x14ac:dyDescent="0.3">
      <c r="A499" s="232">
        <v>45825</v>
      </c>
      <c r="B499" s="9" t="s">
        <v>1349</v>
      </c>
      <c r="C499" s="112" t="s">
        <v>820</v>
      </c>
      <c r="D499" s="26" t="s">
        <v>481</v>
      </c>
      <c r="E499" s="300"/>
      <c r="F499" s="299">
        <v>249950</v>
      </c>
    </row>
    <row r="500" spans="1:6" ht="15" x14ac:dyDescent="0.3">
      <c r="A500" s="232">
        <v>45825</v>
      </c>
      <c r="B500" s="9" t="s">
        <v>1349</v>
      </c>
      <c r="C500" s="112" t="s">
        <v>820</v>
      </c>
      <c r="D500" s="26" t="s">
        <v>1350</v>
      </c>
      <c r="E500" s="300"/>
      <c r="F500" s="299">
        <v>237000</v>
      </c>
    </row>
    <row r="501" spans="1:6" ht="15" x14ac:dyDescent="0.3">
      <c r="A501" s="232">
        <v>45825</v>
      </c>
      <c r="B501" s="9" t="s">
        <v>1349</v>
      </c>
      <c r="C501" s="112" t="s">
        <v>820</v>
      </c>
      <c r="D501" s="26" t="s">
        <v>1351</v>
      </c>
      <c r="E501" s="300"/>
      <c r="F501" s="299">
        <v>148300</v>
      </c>
    </row>
    <row r="502" spans="1:6" ht="15" x14ac:dyDescent="0.3">
      <c r="A502" s="232">
        <v>45825</v>
      </c>
      <c r="B502" s="9" t="s">
        <v>523</v>
      </c>
      <c r="C502" s="112" t="s">
        <v>820</v>
      </c>
      <c r="D502" s="26" t="s">
        <v>1352</v>
      </c>
      <c r="E502" s="300"/>
      <c r="F502" s="299">
        <v>40000</v>
      </c>
    </row>
    <row r="503" spans="1:6" ht="15" x14ac:dyDescent="0.3">
      <c r="A503" s="232">
        <v>45828</v>
      </c>
      <c r="B503" s="9" t="s">
        <v>1353</v>
      </c>
      <c r="C503" s="112" t="s">
        <v>820</v>
      </c>
      <c r="D503" s="26" t="s">
        <v>1354</v>
      </c>
      <c r="E503" s="300"/>
      <c r="F503" s="299">
        <v>52500</v>
      </c>
    </row>
    <row r="504" spans="1:6" ht="15" x14ac:dyDescent="0.3">
      <c r="A504" s="232">
        <v>45828</v>
      </c>
      <c r="B504" s="9" t="s">
        <v>1353</v>
      </c>
      <c r="C504" s="112" t="s">
        <v>820</v>
      </c>
      <c r="D504" s="26" t="s">
        <v>1355</v>
      </c>
      <c r="E504" s="300"/>
      <c r="F504" s="299">
        <v>75500</v>
      </c>
    </row>
    <row r="505" spans="1:6" ht="15" x14ac:dyDescent="0.3">
      <c r="A505" s="232">
        <v>45828</v>
      </c>
      <c r="B505" s="9" t="s">
        <v>1353</v>
      </c>
      <c r="C505" s="112" t="s">
        <v>820</v>
      </c>
      <c r="D505" s="26" t="s">
        <v>1356</v>
      </c>
      <c r="E505" s="300"/>
      <c r="F505" s="299">
        <v>2900</v>
      </c>
    </row>
    <row r="506" spans="1:6" ht="15" x14ac:dyDescent="0.3">
      <c r="A506" s="232">
        <v>45828</v>
      </c>
      <c r="B506" s="9" t="s">
        <v>1357</v>
      </c>
      <c r="C506" s="112" t="s">
        <v>820</v>
      </c>
      <c r="D506" s="26" t="s">
        <v>1358</v>
      </c>
      <c r="E506" s="300"/>
      <c r="F506" s="299">
        <v>1125000</v>
      </c>
    </row>
    <row r="507" spans="1:6" ht="15" x14ac:dyDescent="0.3">
      <c r="A507" s="232">
        <v>45828</v>
      </c>
      <c r="B507" s="9" t="s">
        <v>1357</v>
      </c>
      <c r="C507" s="112" t="s">
        <v>820</v>
      </c>
      <c r="D507" s="26" t="s">
        <v>1359</v>
      </c>
      <c r="E507" s="300"/>
      <c r="F507" s="299">
        <v>123750</v>
      </c>
    </row>
    <row r="508" spans="1:6" ht="15" x14ac:dyDescent="0.3">
      <c r="A508" s="232">
        <v>45828</v>
      </c>
      <c r="B508" s="9" t="s">
        <v>1357</v>
      </c>
      <c r="C508" s="112" t="s">
        <v>820</v>
      </c>
      <c r="D508" s="26" t="s">
        <v>1360</v>
      </c>
      <c r="E508" s="300"/>
      <c r="F508" s="299">
        <v>-22500</v>
      </c>
    </row>
    <row r="509" spans="1:6" ht="15" x14ac:dyDescent="0.3">
      <c r="A509" s="232">
        <v>45828</v>
      </c>
      <c r="B509" s="9" t="s">
        <v>1357</v>
      </c>
      <c r="C509" s="112" t="s">
        <v>820</v>
      </c>
      <c r="D509" s="26" t="s">
        <v>1361</v>
      </c>
      <c r="E509" s="300"/>
      <c r="F509" s="299">
        <v>3975000</v>
      </c>
    </row>
    <row r="510" spans="1:6" ht="15" x14ac:dyDescent="0.3">
      <c r="A510" s="232">
        <v>45828</v>
      </c>
      <c r="B510" s="9" t="s">
        <v>1357</v>
      </c>
      <c r="C510" s="112" t="s">
        <v>820</v>
      </c>
      <c r="D510" s="26" t="s">
        <v>1362</v>
      </c>
      <c r="E510" s="300"/>
      <c r="F510" s="299">
        <v>437250</v>
      </c>
    </row>
    <row r="511" spans="1:6" ht="15" x14ac:dyDescent="0.3">
      <c r="A511" s="232">
        <v>45828</v>
      </c>
      <c r="B511" s="9" t="s">
        <v>1357</v>
      </c>
      <c r="C511" s="112" t="s">
        <v>820</v>
      </c>
      <c r="D511" s="26" t="s">
        <v>1363</v>
      </c>
      <c r="E511" s="300"/>
      <c r="F511" s="299">
        <v>153640</v>
      </c>
    </row>
    <row r="512" spans="1:6" ht="15" x14ac:dyDescent="0.3">
      <c r="A512" s="232">
        <v>45833</v>
      </c>
      <c r="B512" s="9" t="s">
        <v>1364</v>
      </c>
      <c r="C512" s="112" t="s">
        <v>820</v>
      </c>
      <c r="D512" s="26" t="s">
        <v>1365</v>
      </c>
      <c r="E512" s="300"/>
      <c r="F512" s="299">
        <v>1949000</v>
      </c>
    </row>
    <row r="513" spans="1:6" ht="15" x14ac:dyDescent="0.3">
      <c r="A513" s="232">
        <v>45833</v>
      </c>
      <c r="B513" s="9" t="s">
        <v>1364</v>
      </c>
      <c r="C513" s="112" t="s">
        <v>820</v>
      </c>
      <c r="D513" s="26" t="s">
        <v>1366</v>
      </c>
      <c r="E513" s="300"/>
      <c r="F513" s="299">
        <v>2179980</v>
      </c>
    </row>
    <row r="514" spans="1:6" ht="15" x14ac:dyDescent="0.3">
      <c r="A514" s="232">
        <v>45839</v>
      </c>
      <c r="B514" s="9" t="s">
        <v>1367</v>
      </c>
      <c r="C514" s="112" t="s">
        <v>820</v>
      </c>
      <c r="D514" s="26" t="s">
        <v>1368</v>
      </c>
      <c r="E514" s="300"/>
      <c r="F514" s="299">
        <v>26200</v>
      </c>
    </row>
    <row r="515" spans="1:6" ht="15" x14ac:dyDescent="0.3">
      <c r="A515" s="232">
        <v>45839</v>
      </c>
      <c r="B515" s="9" t="s">
        <v>1367</v>
      </c>
      <c r="C515" s="112" t="s">
        <v>820</v>
      </c>
      <c r="D515" s="26" t="s">
        <v>1369</v>
      </c>
      <c r="E515" s="300"/>
      <c r="F515" s="299">
        <v>82000</v>
      </c>
    </row>
    <row r="516" spans="1:6" ht="15" x14ac:dyDescent="0.3">
      <c r="A516" s="232">
        <v>45839</v>
      </c>
      <c r="B516" s="9" t="s">
        <v>1370</v>
      </c>
      <c r="C516" s="112" t="s">
        <v>820</v>
      </c>
      <c r="D516" s="26" t="s">
        <v>481</v>
      </c>
      <c r="E516" s="300"/>
      <c r="F516" s="299">
        <v>40000</v>
      </c>
    </row>
    <row r="517" spans="1:6" ht="15" x14ac:dyDescent="0.3">
      <c r="A517" s="232">
        <v>45842</v>
      </c>
      <c r="B517" s="9" t="s">
        <v>1371</v>
      </c>
      <c r="C517" s="112" t="s">
        <v>820</v>
      </c>
      <c r="D517" s="26" t="s">
        <v>953</v>
      </c>
      <c r="E517" s="300"/>
      <c r="F517" s="299">
        <v>17000</v>
      </c>
    </row>
    <row r="518" spans="1:6" ht="15" x14ac:dyDescent="0.3">
      <c r="A518" s="230">
        <v>45730</v>
      </c>
      <c r="B518" s="11" t="s">
        <v>1372</v>
      </c>
      <c r="C518" s="113" t="s">
        <v>820</v>
      </c>
      <c r="D518" s="12" t="s">
        <v>1373</v>
      </c>
      <c r="E518" s="282"/>
      <c r="F518" s="289">
        <v>716862745.10000002</v>
      </c>
    </row>
    <row r="519" spans="1:6" ht="15" x14ac:dyDescent="0.3">
      <c r="A519" s="230">
        <v>45825</v>
      </c>
      <c r="B519" s="11" t="s">
        <v>1374</v>
      </c>
      <c r="C519" s="112" t="s">
        <v>820</v>
      </c>
      <c r="D519" s="17" t="s">
        <v>1373</v>
      </c>
      <c r="E519" s="282"/>
      <c r="F519" s="290">
        <v>690697422</v>
      </c>
    </row>
    <row r="520" spans="1:6" ht="15" x14ac:dyDescent="0.3">
      <c r="A520" s="230">
        <v>45825</v>
      </c>
      <c r="B520" s="11" t="s">
        <v>1375</v>
      </c>
      <c r="C520" s="112" t="s">
        <v>820</v>
      </c>
      <c r="D520" s="17" t="s">
        <v>1376</v>
      </c>
      <c r="E520" s="282"/>
      <c r="F520" s="290">
        <v>1295618367.47</v>
      </c>
    </row>
    <row r="521" spans="1:6" ht="15" x14ac:dyDescent="0.3">
      <c r="A521" s="230">
        <v>45859</v>
      </c>
      <c r="B521" s="11" t="s">
        <v>2232</v>
      </c>
      <c r="C521" s="390" t="s">
        <v>820</v>
      </c>
      <c r="D521" s="183" t="s">
        <v>2233</v>
      </c>
      <c r="E521" s="282"/>
      <c r="F521" s="283">
        <v>115000</v>
      </c>
    </row>
    <row r="522" spans="1:6" ht="15" x14ac:dyDescent="0.3">
      <c r="A522" s="230">
        <v>45859</v>
      </c>
      <c r="B522" s="11" t="s">
        <v>2232</v>
      </c>
      <c r="C522" s="390" t="s">
        <v>820</v>
      </c>
      <c r="D522" s="183" t="s">
        <v>2234</v>
      </c>
      <c r="E522" s="282"/>
      <c r="F522" s="283">
        <v>301000</v>
      </c>
    </row>
    <row r="523" spans="1:6" ht="15" x14ac:dyDescent="0.3">
      <c r="A523" s="230">
        <v>45859</v>
      </c>
      <c r="B523" s="11" t="s">
        <v>2232</v>
      </c>
      <c r="C523" s="390" t="s">
        <v>820</v>
      </c>
      <c r="D523" s="183" t="s">
        <v>2235</v>
      </c>
      <c r="E523" s="282"/>
      <c r="F523" s="283">
        <v>34000</v>
      </c>
    </row>
    <row r="524" spans="1:6" ht="15" x14ac:dyDescent="0.3">
      <c r="A524" s="230">
        <v>45861</v>
      </c>
      <c r="B524" s="11" t="s">
        <v>2236</v>
      </c>
      <c r="C524" s="112" t="s">
        <v>820</v>
      </c>
      <c r="D524" s="12" t="s">
        <v>2237</v>
      </c>
      <c r="E524" s="282"/>
      <c r="F524" s="283">
        <v>4056500</v>
      </c>
    </row>
    <row r="525" spans="1:6" ht="15" x14ac:dyDescent="0.3">
      <c r="A525" s="230">
        <v>45863</v>
      </c>
      <c r="B525" s="11" t="s">
        <v>2238</v>
      </c>
      <c r="C525" s="112" t="s">
        <v>820</v>
      </c>
      <c r="D525" s="12" t="s">
        <v>2239</v>
      </c>
      <c r="E525" s="282"/>
      <c r="F525" s="285">
        <v>100000</v>
      </c>
    </row>
    <row r="526" spans="1:6" ht="15" x14ac:dyDescent="0.3">
      <c r="A526" s="230">
        <v>45863</v>
      </c>
      <c r="B526" s="11" t="s">
        <v>2238</v>
      </c>
      <c r="C526" s="112" t="s">
        <v>820</v>
      </c>
      <c r="D526" s="12" t="s">
        <v>2240</v>
      </c>
      <c r="E526" s="282"/>
      <c r="F526" s="285">
        <v>88000</v>
      </c>
    </row>
    <row r="527" spans="1:6" ht="15" x14ac:dyDescent="0.3">
      <c r="A527" s="230">
        <v>45863</v>
      </c>
      <c r="B527" s="11" t="s">
        <v>2238</v>
      </c>
      <c r="C527" s="112" t="s">
        <v>820</v>
      </c>
      <c r="D527" s="12" t="s">
        <v>2241</v>
      </c>
      <c r="E527" s="282"/>
      <c r="F527" s="285">
        <v>55000</v>
      </c>
    </row>
    <row r="528" spans="1:6" ht="15" x14ac:dyDescent="0.3">
      <c r="A528" s="230">
        <v>45863</v>
      </c>
      <c r="B528" s="11" t="s">
        <v>2238</v>
      </c>
      <c r="C528" s="112" t="s">
        <v>820</v>
      </c>
      <c r="D528" s="12" t="s">
        <v>2242</v>
      </c>
      <c r="E528" s="282"/>
      <c r="F528" s="285">
        <v>10000</v>
      </c>
    </row>
    <row r="529" spans="1:6" ht="15" x14ac:dyDescent="0.3">
      <c r="A529" s="230">
        <v>45863</v>
      </c>
      <c r="B529" s="11" t="s">
        <v>2238</v>
      </c>
      <c r="C529" s="112" t="s">
        <v>820</v>
      </c>
      <c r="D529" s="12" t="s">
        <v>2243</v>
      </c>
      <c r="E529" s="282"/>
      <c r="F529" s="285">
        <v>6000</v>
      </c>
    </row>
    <row r="530" spans="1:6" ht="15" x14ac:dyDescent="0.3">
      <c r="A530" s="230">
        <v>45863</v>
      </c>
      <c r="B530" s="11" t="s">
        <v>2238</v>
      </c>
      <c r="C530" s="112" t="s">
        <v>820</v>
      </c>
      <c r="D530" s="12" t="s">
        <v>2244</v>
      </c>
      <c r="E530" s="282"/>
      <c r="F530" s="285">
        <v>60000</v>
      </c>
    </row>
    <row r="531" spans="1:6" ht="15" x14ac:dyDescent="0.3">
      <c r="A531" s="230">
        <v>45863</v>
      </c>
      <c r="B531" s="11" t="s">
        <v>2238</v>
      </c>
      <c r="C531" s="112" t="s">
        <v>820</v>
      </c>
      <c r="D531" s="12" t="s">
        <v>2245</v>
      </c>
      <c r="E531" s="282"/>
      <c r="F531" s="285">
        <v>500000</v>
      </c>
    </row>
    <row r="532" spans="1:6" ht="15" x14ac:dyDescent="0.3">
      <c r="A532" s="230">
        <v>45876</v>
      </c>
      <c r="B532" s="11" t="s">
        <v>4032</v>
      </c>
      <c r="C532" s="112" t="s">
        <v>820</v>
      </c>
      <c r="D532" s="194" t="s">
        <v>4033</v>
      </c>
      <c r="E532" s="282"/>
      <c r="F532" s="289">
        <v>19500000</v>
      </c>
    </row>
    <row r="533" spans="1:6" ht="15" x14ac:dyDescent="0.3">
      <c r="A533" s="230">
        <v>45876</v>
      </c>
      <c r="B533" s="11" t="s">
        <v>4032</v>
      </c>
      <c r="C533" s="112" t="s">
        <v>820</v>
      </c>
      <c r="D533" s="194" t="s">
        <v>4034</v>
      </c>
      <c r="E533" s="282"/>
      <c r="F533" s="289">
        <v>2145000</v>
      </c>
    </row>
    <row r="534" spans="1:6" ht="15" x14ac:dyDescent="0.3">
      <c r="A534" s="230">
        <v>45876</v>
      </c>
      <c r="B534" s="11" t="s">
        <v>4032</v>
      </c>
      <c r="C534" s="112" t="s">
        <v>820</v>
      </c>
      <c r="D534" s="194" t="s">
        <v>4035</v>
      </c>
      <c r="E534" s="282"/>
      <c r="F534" s="289">
        <v>2900</v>
      </c>
    </row>
    <row r="535" spans="1:6" ht="15" x14ac:dyDescent="0.3">
      <c r="A535" s="271">
        <v>45891</v>
      </c>
      <c r="B535" s="15" t="s">
        <v>4036</v>
      </c>
      <c r="C535" s="112" t="s">
        <v>820</v>
      </c>
      <c r="D535" s="194" t="s">
        <v>4037</v>
      </c>
      <c r="E535" s="410"/>
      <c r="F535" s="289">
        <v>5230000</v>
      </c>
    </row>
    <row r="536" spans="1:6" ht="15" x14ac:dyDescent="0.3">
      <c r="A536" s="271">
        <v>45891</v>
      </c>
      <c r="B536" s="15" t="s">
        <v>4036</v>
      </c>
      <c r="C536" s="112" t="s">
        <v>820</v>
      </c>
      <c r="D536" s="194" t="s">
        <v>4038</v>
      </c>
      <c r="E536" s="410"/>
      <c r="F536" s="289">
        <v>575300</v>
      </c>
    </row>
    <row r="537" spans="1:6" ht="15" x14ac:dyDescent="0.3">
      <c r="A537" s="271">
        <v>45891</v>
      </c>
      <c r="B537" s="15" t="s">
        <v>4036</v>
      </c>
      <c r="C537" s="112" t="s">
        <v>820</v>
      </c>
      <c r="D537" s="194" t="s">
        <v>4039</v>
      </c>
      <c r="E537" s="410"/>
      <c r="F537" s="289">
        <v>-104600</v>
      </c>
    </row>
    <row r="538" spans="1:6" ht="15" x14ac:dyDescent="0.3">
      <c r="A538" s="271">
        <v>45891</v>
      </c>
      <c r="B538" s="15" t="s">
        <v>4036</v>
      </c>
      <c r="C538" s="112" t="s">
        <v>820</v>
      </c>
      <c r="D538" s="194" t="s">
        <v>4040</v>
      </c>
      <c r="E538" s="410"/>
      <c r="F538" s="289">
        <v>2500</v>
      </c>
    </row>
    <row r="539" spans="1:6" ht="15" x14ac:dyDescent="0.3">
      <c r="A539" s="230">
        <v>45898</v>
      </c>
      <c r="B539" s="11" t="s">
        <v>4041</v>
      </c>
      <c r="C539" s="112" t="s">
        <v>820</v>
      </c>
      <c r="D539" s="12" t="s">
        <v>4042</v>
      </c>
      <c r="E539" s="410"/>
      <c r="F539" s="289">
        <v>90000</v>
      </c>
    </row>
    <row r="540" spans="1:6" ht="15" x14ac:dyDescent="0.3">
      <c r="A540" s="230">
        <v>45898</v>
      </c>
      <c r="B540" s="11" t="s">
        <v>4041</v>
      </c>
      <c r="C540" s="112" t="s">
        <v>820</v>
      </c>
      <c r="D540" s="12" t="s">
        <v>4043</v>
      </c>
      <c r="E540" s="410"/>
      <c r="F540" s="289">
        <v>278000</v>
      </c>
    </row>
    <row r="541" spans="1:6" ht="15" x14ac:dyDescent="0.3">
      <c r="A541" s="230">
        <v>45930</v>
      </c>
      <c r="B541" s="11" t="s">
        <v>4933</v>
      </c>
      <c r="C541" s="112" t="s">
        <v>820</v>
      </c>
      <c r="D541" s="51" t="s">
        <v>5090</v>
      </c>
      <c r="E541" s="293"/>
      <c r="F541" s="289">
        <v>500000</v>
      </c>
    </row>
    <row r="542" spans="1:6" ht="15" x14ac:dyDescent="0.3">
      <c r="A542" s="230">
        <v>45730</v>
      </c>
      <c r="B542" s="11" t="s">
        <v>1372</v>
      </c>
      <c r="C542" s="113" t="s">
        <v>820</v>
      </c>
      <c r="D542" s="51" t="s">
        <v>1373</v>
      </c>
      <c r="E542" s="282"/>
      <c r="F542" s="289">
        <v>716862745.10000002</v>
      </c>
    </row>
    <row r="543" spans="1:6" ht="15" x14ac:dyDescent="0.3">
      <c r="A543" s="230">
        <v>45825</v>
      </c>
      <c r="B543" s="11" t="s">
        <v>1374</v>
      </c>
      <c r="C543" s="391" t="s">
        <v>820</v>
      </c>
      <c r="D543" s="156" t="s">
        <v>1373</v>
      </c>
      <c r="E543" s="282"/>
      <c r="F543" s="290">
        <v>690697422</v>
      </c>
    </row>
    <row r="544" spans="1:6" ht="15" x14ac:dyDescent="0.3">
      <c r="A544" s="322">
        <v>45825</v>
      </c>
      <c r="B544" s="50" t="s">
        <v>1375</v>
      </c>
      <c r="C544" s="392" t="s">
        <v>820</v>
      </c>
      <c r="D544" s="228" t="s">
        <v>1376</v>
      </c>
      <c r="E544" s="411"/>
      <c r="F544" s="376">
        <v>1295618367.47</v>
      </c>
    </row>
  </sheetData>
  <autoFilter ref="A2:F531" xr:uid="{AC26B227-C909-4977-B212-C99BAE21558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BEBCA-2617-4D54-907E-B3C28C9E6086}">
  <dimension ref="A2:F413"/>
  <sheetViews>
    <sheetView workbookViewId="0">
      <pane xSplit="3" ySplit="2" topLeftCell="D401" activePane="bottomRight" state="frozen"/>
      <selection pane="topRight" activeCell="D1" sqref="D1"/>
      <selection pane="bottomLeft" activeCell="A3" sqref="A3"/>
      <selection pane="bottomRight" activeCell="D417" sqref="D417"/>
    </sheetView>
  </sheetViews>
  <sheetFormatPr defaultRowHeight="14.4" x14ac:dyDescent="0.3"/>
  <cols>
    <col min="1" max="3" width="13.88671875" customWidth="1"/>
    <col min="4" max="4" width="111" customWidth="1"/>
    <col min="5" max="6" width="18.88671875" style="378" customWidth="1"/>
  </cols>
  <sheetData>
    <row r="2" spans="1:6" ht="15.6" x14ac:dyDescent="0.3">
      <c r="A2" s="1" t="s">
        <v>0</v>
      </c>
      <c r="B2" s="2" t="s">
        <v>1</v>
      </c>
      <c r="C2" s="2" t="s">
        <v>2</v>
      </c>
      <c r="D2" s="2" t="s">
        <v>3</v>
      </c>
      <c r="E2" s="412" t="s">
        <v>4</v>
      </c>
      <c r="F2" s="397" t="s">
        <v>5</v>
      </c>
    </row>
    <row r="3" spans="1:6" ht="15" x14ac:dyDescent="0.3">
      <c r="A3" s="6">
        <v>45604</v>
      </c>
      <c r="B3" s="7">
        <v>366</v>
      </c>
      <c r="C3" s="7" t="s">
        <v>1377</v>
      </c>
      <c r="D3" s="8" t="s">
        <v>1378</v>
      </c>
      <c r="E3" s="413"/>
      <c r="F3" s="414">
        <v>2854200</v>
      </c>
    </row>
    <row r="4" spans="1:6" ht="15" x14ac:dyDescent="0.3">
      <c r="A4" s="6">
        <v>45642</v>
      </c>
      <c r="B4" s="7">
        <v>450</v>
      </c>
      <c r="C4" s="7" t="s">
        <v>1377</v>
      </c>
      <c r="D4" s="12" t="s">
        <v>1379</v>
      </c>
      <c r="E4" s="413"/>
      <c r="F4" s="414">
        <v>2400000</v>
      </c>
    </row>
    <row r="5" spans="1:6" ht="15" x14ac:dyDescent="0.3">
      <c r="A5" s="6">
        <v>45642</v>
      </c>
      <c r="B5" s="7">
        <v>450</v>
      </c>
      <c r="C5" s="7" t="s">
        <v>1377</v>
      </c>
      <c r="D5" s="12" t="s">
        <v>1380</v>
      </c>
      <c r="E5" s="413"/>
      <c r="F5" s="414">
        <v>2500</v>
      </c>
    </row>
    <row r="6" spans="1:6" ht="15" x14ac:dyDescent="0.3">
      <c r="A6" s="6">
        <v>45642</v>
      </c>
      <c r="B6" s="7">
        <v>454</v>
      </c>
      <c r="C6" s="7" t="s">
        <v>1377</v>
      </c>
      <c r="D6" s="12" t="s">
        <v>1381</v>
      </c>
      <c r="E6" s="413"/>
      <c r="F6" s="414">
        <v>2000000</v>
      </c>
    </row>
    <row r="7" spans="1:6" ht="15" x14ac:dyDescent="0.3">
      <c r="A7" s="6">
        <v>45642</v>
      </c>
      <c r="B7" s="7">
        <v>454</v>
      </c>
      <c r="C7" s="7" t="s">
        <v>1377</v>
      </c>
      <c r="D7" s="12" t="s">
        <v>1382</v>
      </c>
      <c r="E7" s="415"/>
      <c r="F7" s="414">
        <v>-48000</v>
      </c>
    </row>
    <row r="8" spans="1:6" ht="15" x14ac:dyDescent="0.3">
      <c r="A8" s="6">
        <v>45642</v>
      </c>
      <c r="B8" s="7">
        <v>454</v>
      </c>
      <c r="C8" s="7" t="s">
        <v>1377</v>
      </c>
      <c r="D8" s="12" t="s">
        <v>1380</v>
      </c>
      <c r="E8" s="415"/>
      <c r="F8" s="414">
        <v>2500</v>
      </c>
    </row>
    <row r="9" spans="1:6" ht="15" x14ac:dyDescent="0.3">
      <c r="A9" s="33">
        <v>45635</v>
      </c>
      <c r="B9" s="11" t="s">
        <v>1383</v>
      </c>
      <c r="C9" s="11" t="s">
        <v>1377</v>
      </c>
      <c r="D9" s="12" t="s">
        <v>1384</v>
      </c>
      <c r="E9" s="289"/>
      <c r="F9" s="416">
        <v>15050000</v>
      </c>
    </row>
    <row r="10" spans="1:6" ht="15" x14ac:dyDescent="0.3">
      <c r="A10" s="33">
        <v>45635</v>
      </c>
      <c r="B10" s="11" t="s">
        <v>1383</v>
      </c>
      <c r="C10" s="11" t="s">
        <v>1377</v>
      </c>
      <c r="D10" s="12" t="s">
        <v>1385</v>
      </c>
      <c r="E10" s="289"/>
      <c r="F10" s="416">
        <v>1655500</v>
      </c>
    </row>
    <row r="11" spans="1:6" ht="15" x14ac:dyDescent="0.3">
      <c r="A11" s="33">
        <v>45635</v>
      </c>
      <c r="B11" s="11" t="s">
        <v>1383</v>
      </c>
      <c r="C11" s="11" t="s">
        <v>1377</v>
      </c>
      <c r="D11" s="12" t="s">
        <v>1386</v>
      </c>
      <c r="E11" s="289"/>
      <c r="F11" s="416">
        <v>2900</v>
      </c>
    </row>
    <row r="12" spans="1:6" ht="15" x14ac:dyDescent="0.3">
      <c r="A12" s="33">
        <v>45635</v>
      </c>
      <c r="B12" s="11" t="s">
        <v>1387</v>
      </c>
      <c r="C12" s="11" t="s">
        <v>1377</v>
      </c>
      <c r="D12" s="12" t="s">
        <v>1388</v>
      </c>
      <c r="E12" s="289"/>
      <c r="F12" s="416">
        <v>400000</v>
      </c>
    </row>
    <row r="13" spans="1:6" ht="15" x14ac:dyDescent="0.3">
      <c r="A13" s="33">
        <v>45635</v>
      </c>
      <c r="B13" s="11" t="s">
        <v>1387</v>
      </c>
      <c r="C13" s="11" t="s">
        <v>1377</v>
      </c>
      <c r="D13" s="12" t="s">
        <v>1389</v>
      </c>
      <c r="E13" s="289"/>
      <c r="F13" s="416">
        <v>179000</v>
      </c>
    </row>
    <row r="14" spans="1:6" ht="15" x14ac:dyDescent="0.3">
      <c r="A14" s="33">
        <v>45635</v>
      </c>
      <c r="B14" s="11" t="s">
        <v>1387</v>
      </c>
      <c r="C14" s="11" t="s">
        <v>1377</v>
      </c>
      <c r="D14" s="12" t="s">
        <v>1390</v>
      </c>
      <c r="E14" s="289"/>
      <c r="F14" s="416">
        <v>130500</v>
      </c>
    </row>
    <row r="15" spans="1:6" ht="15" x14ac:dyDescent="0.3">
      <c r="A15" s="33">
        <v>45635</v>
      </c>
      <c r="B15" s="11" t="s">
        <v>1387</v>
      </c>
      <c r="C15" s="11" t="s">
        <v>1377</v>
      </c>
      <c r="D15" s="12" t="s">
        <v>1391</v>
      </c>
      <c r="E15" s="289"/>
      <c r="F15" s="416">
        <v>262500</v>
      </c>
    </row>
    <row r="16" spans="1:6" ht="15" x14ac:dyDescent="0.3">
      <c r="A16" s="33">
        <v>45636</v>
      </c>
      <c r="B16" s="11" t="s">
        <v>1392</v>
      </c>
      <c r="C16" s="10" t="s">
        <v>1393</v>
      </c>
      <c r="D16" s="12" t="s">
        <v>1394</v>
      </c>
      <c r="E16" s="289"/>
      <c r="F16" s="285">
        <v>10667000</v>
      </c>
    </row>
    <row r="17" spans="1:6" ht="15" x14ac:dyDescent="0.3">
      <c r="A17" s="33">
        <v>45636</v>
      </c>
      <c r="B17" s="11" t="s">
        <v>1392</v>
      </c>
      <c r="C17" s="58" t="s">
        <v>1393</v>
      </c>
      <c r="D17" s="12" t="s">
        <v>1395</v>
      </c>
      <c r="E17" s="289"/>
      <c r="F17" s="285">
        <v>24638650</v>
      </c>
    </row>
    <row r="18" spans="1:6" ht="15" x14ac:dyDescent="0.3">
      <c r="A18" s="33">
        <v>45636</v>
      </c>
      <c r="B18" s="11" t="s">
        <v>1392</v>
      </c>
      <c r="C18" s="58" t="s">
        <v>1393</v>
      </c>
      <c r="D18" s="12" t="s">
        <v>1396</v>
      </c>
      <c r="E18" s="289"/>
      <c r="F18" s="285">
        <v>5599675</v>
      </c>
    </row>
    <row r="19" spans="1:6" ht="15" x14ac:dyDescent="0.3">
      <c r="A19" s="33">
        <v>45637</v>
      </c>
      <c r="B19" s="11" t="s">
        <v>1397</v>
      </c>
      <c r="C19" s="11" t="s">
        <v>1377</v>
      </c>
      <c r="D19" s="12" t="s">
        <v>1398</v>
      </c>
      <c r="E19" s="289"/>
      <c r="F19" s="416">
        <v>29000000</v>
      </c>
    </row>
    <row r="20" spans="1:6" ht="15" x14ac:dyDescent="0.3">
      <c r="A20" s="33">
        <v>45637</v>
      </c>
      <c r="B20" s="11" t="s">
        <v>1397</v>
      </c>
      <c r="C20" s="11" t="s">
        <v>1377</v>
      </c>
      <c r="D20" s="12" t="s">
        <v>1399</v>
      </c>
      <c r="E20" s="289"/>
      <c r="F20" s="416">
        <v>3190000</v>
      </c>
    </row>
    <row r="21" spans="1:6" ht="15" x14ac:dyDescent="0.3">
      <c r="A21" s="33">
        <v>45637</v>
      </c>
      <c r="B21" s="11" t="s">
        <v>1397</v>
      </c>
      <c r="C21" s="11" t="s">
        <v>1377</v>
      </c>
      <c r="D21" s="12" t="s">
        <v>1400</v>
      </c>
      <c r="E21" s="289"/>
      <c r="F21" s="416">
        <v>2900</v>
      </c>
    </row>
    <row r="22" spans="1:6" ht="15" x14ac:dyDescent="0.3">
      <c r="A22" s="33">
        <v>45637</v>
      </c>
      <c r="B22" s="11" t="s">
        <v>1401</v>
      </c>
      <c r="C22" s="11" t="s">
        <v>1377</v>
      </c>
      <c r="D22" s="12" t="s">
        <v>1402</v>
      </c>
      <c r="E22" s="289"/>
      <c r="F22" s="285">
        <v>60000000</v>
      </c>
    </row>
    <row r="23" spans="1:6" ht="15" x14ac:dyDescent="0.3">
      <c r="A23" s="33">
        <v>45637</v>
      </c>
      <c r="B23" s="11" t="s">
        <v>1401</v>
      </c>
      <c r="C23" s="11" t="s">
        <v>1377</v>
      </c>
      <c r="D23" s="12" t="s">
        <v>1403</v>
      </c>
      <c r="E23" s="289"/>
      <c r="F23" s="285">
        <v>6600000</v>
      </c>
    </row>
    <row r="24" spans="1:6" ht="15" x14ac:dyDescent="0.3">
      <c r="A24" s="33">
        <v>45637</v>
      </c>
      <c r="B24" s="11" t="s">
        <v>1401</v>
      </c>
      <c r="C24" s="11" t="s">
        <v>1377</v>
      </c>
      <c r="D24" s="12" t="s">
        <v>1404</v>
      </c>
      <c r="E24" s="289"/>
      <c r="F24" s="285">
        <v>2900</v>
      </c>
    </row>
    <row r="25" spans="1:6" ht="15" x14ac:dyDescent="0.3">
      <c r="A25" s="33">
        <v>45637</v>
      </c>
      <c r="B25" s="11" t="s">
        <v>847</v>
      </c>
      <c r="C25" s="10" t="s">
        <v>1377</v>
      </c>
      <c r="D25" s="12" t="s">
        <v>848</v>
      </c>
      <c r="E25" s="289"/>
      <c r="F25" s="416">
        <v>13800000</v>
      </c>
    </row>
    <row r="26" spans="1:6" ht="15" x14ac:dyDescent="0.3">
      <c r="A26" s="33">
        <v>45637</v>
      </c>
      <c r="B26" s="11" t="s">
        <v>1405</v>
      </c>
      <c r="C26" s="11" t="s">
        <v>1377</v>
      </c>
      <c r="D26" s="12" t="s">
        <v>1406</v>
      </c>
      <c r="E26" s="289"/>
      <c r="F26" s="416">
        <v>30000000</v>
      </c>
    </row>
    <row r="27" spans="1:6" ht="15" x14ac:dyDescent="0.3">
      <c r="A27" s="33">
        <v>45637</v>
      </c>
      <c r="B27" s="11" t="s">
        <v>1405</v>
      </c>
      <c r="C27" s="11" t="s">
        <v>1377</v>
      </c>
      <c r="D27" s="12" t="s">
        <v>1407</v>
      </c>
      <c r="E27" s="289"/>
      <c r="F27" s="416">
        <v>2900</v>
      </c>
    </row>
    <row r="28" spans="1:6" ht="15" x14ac:dyDescent="0.3">
      <c r="A28" s="33">
        <v>45639</v>
      </c>
      <c r="B28" s="11" t="s">
        <v>1408</v>
      </c>
      <c r="C28" s="11" t="s">
        <v>1377</v>
      </c>
      <c r="D28" s="12" t="s">
        <v>1409</v>
      </c>
      <c r="E28" s="289"/>
      <c r="F28" s="416">
        <v>23177000</v>
      </c>
    </row>
    <row r="29" spans="1:6" ht="15" x14ac:dyDescent="0.3">
      <c r="A29" s="33">
        <v>45639</v>
      </c>
      <c r="B29" s="11" t="s">
        <v>1408</v>
      </c>
      <c r="C29" s="11" t="s">
        <v>1377</v>
      </c>
      <c r="D29" s="12" t="s">
        <v>1410</v>
      </c>
      <c r="E29" s="289"/>
      <c r="F29" s="416">
        <v>2549470</v>
      </c>
    </row>
    <row r="30" spans="1:6" ht="15" x14ac:dyDescent="0.3">
      <c r="A30" s="33">
        <v>45639</v>
      </c>
      <c r="B30" s="11" t="s">
        <v>1408</v>
      </c>
      <c r="C30" s="11" t="s">
        <v>1377</v>
      </c>
      <c r="D30" s="12" t="s">
        <v>1411</v>
      </c>
      <c r="E30" s="289"/>
      <c r="F30" s="416">
        <v>2900</v>
      </c>
    </row>
    <row r="31" spans="1:6" ht="15" x14ac:dyDescent="0.3">
      <c r="A31" s="33">
        <v>45639</v>
      </c>
      <c r="B31" s="11" t="s">
        <v>1412</v>
      </c>
      <c r="C31" s="10" t="s">
        <v>1377</v>
      </c>
      <c r="D31" s="12" t="s">
        <v>1413</v>
      </c>
      <c r="E31" s="289"/>
      <c r="F31" s="416">
        <v>240000</v>
      </c>
    </row>
    <row r="32" spans="1:6" ht="15" x14ac:dyDescent="0.3">
      <c r="A32" s="33">
        <v>45639</v>
      </c>
      <c r="B32" s="11" t="s">
        <v>1412</v>
      </c>
      <c r="C32" s="10" t="s">
        <v>1377</v>
      </c>
      <c r="D32" s="12" t="s">
        <v>1414</v>
      </c>
      <c r="E32" s="289"/>
      <c r="F32" s="416">
        <v>540900</v>
      </c>
    </row>
    <row r="33" spans="1:6" ht="15" x14ac:dyDescent="0.3">
      <c r="A33" s="33">
        <v>45639</v>
      </c>
      <c r="B33" s="11" t="s">
        <v>866</v>
      </c>
      <c r="C33" s="21" t="s">
        <v>1377</v>
      </c>
      <c r="D33" s="25" t="s">
        <v>1415</v>
      </c>
      <c r="E33" s="366"/>
      <c r="F33" s="417">
        <v>152000</v>
      </c>
    </row>
    <row r="34" spans="1:6" ht="15" x14ac:dyDescent="0.3">
      <c r="A34" s="33">
        <v>45639</v>
      </c>
      <c r="B34" s="11" t="s">
        <v>866</v>
      </c>
      <c r="C34" s="21" t="s">
        <v>1377</v>
      </c>
      <c r="D34" s="25" t="s">
        <v>1416</v>
      </c>
      <c r="E34" s="366"/>
      <c r="F34" s="417">
        <v>595600</v>
      </c>
    </row>
    <row r="35" spans="1:6" ht="15" x14ac:dyDescent="0.3">
      <c r="A35" s="6">
        <v>45590</v>
      </c>
      <c r="B35" s="7" t="s">
        <v>110</v>
      </c>
      <c r="C35" s="54" t="s">
        <v>1377</v>
      </c>
      <c r="D35" s="17" t="s">
        <v>1417</v>
      </c>
      <c r="E35" s="413"/>
      <c r="F35" s="299">
        <v>494000</v>
      </c>
    </row>
    <row r="36" spans="1:6" ht="15" x14ac:dyDescent="0.3">
      <c r="A36" s="6">
        <v>45590</v>
      </c>
      <c r="B36" s="7" t="s">
        <v>1418</v>
      </c>
      <c r="C36" s="31" t="s">
        <v>1377</v>
      </c>
      <c r="D36" s="23" t="s">
        <v>1419</v>
      </c>
      <c r="E36" s="413"/>
      <c r="F36" s="418">
        <v>260000</v>
      </c>
    </row>
    <row r="37" spans="1:6" ht="15" x14ac:dyDescent="0.3">
      <c r="A37" s="6">
        <v>45590</v>
      </c>
      <c r="B37" s="7" t="s">
        <v>1420</v>
      </c>
      <c r="C37" s="31" t="s">
        <v>1377</v>
      </c>
      <c r="D37" s="23" t="s">
        <v>1421</v>
      </c>
      <c r="E37" s="413"/>
      <c r="F37" s="418">
        <v>24700000</v>
      </c>
    </row>
    <row r="38" spans="1:6" ht="15" x14ac:dyDescent="0.3">
      <c r="A38" s="6">
        <v>45590</v>
      </c>
      <c r="B38" s="7" t="s">
        <v>1420</v>
      </c>
      <c r="C38" s="31" t="s">
        <v>1377</v>
      </c>
      <c r="D38" s="23" t="s">
        <v>1422</v>
      </c>
      <c r="E38" s="413"/>
      <c r="F38" s="418">
        <v>2717000</v>
      </c>
    </row>
    <row r="39" spans="1:6" ht="15" x14ac:dyDescent="0.3">
      <c r="A39" s="6">
        <v>45590</v>
      </c>
      <c r="B39" s="7" t="s">
        <v>1420</v>
      </c>
      <c r="C39" s="31" t="s">
        <v>1377</v>
      </c>
      <c r="D39" s="23" t="s">
        <v>922</v>
      </c>
      <c r="E39" s="413"/>
      <c r="F39" s="418">
        <v>2900</v>
      </c>
    </row>
    <row r="40" spans="1:6" ht="15" x14ac:dyDescent="0.3">
      <c r="A40" s="6">
        <v>45597</v>
      </c>
      <c r="B40" s="7" t="s">
        <v>1423</v>
      </c>
      <c r="C40" s="38" t="s">
        <v>1377</v>
      </c>
      <c r="D40" s="17" t="s">
        <v>1424</v>
      </c>
      <c r="E40" s="413"/>
      <c r="F40" s="299">
        <v>185000</v>
      </c>
    </row>
    <row r="41" spans="1:6" ht="15" x14ac:dyDescent="0.3">
      <c r="A41" s="6">
        <v>45597</v>
      </c>
      <c r="B41" s="7" t="s">
        <v>1423</v>
      </c>
      <c r="C41" s="38" t="s">
        <v>1377</v>
      </c>
      <c r="D41" s="17" t="s">
        <v>1425</v>
      </c>
      <c r="E41" s="413"/>
      <c r="F41" s="299">
        <v>168000</v>
      </c>
    </row>
    <row r="42" spans="1:6" ht="15" x14ac:dyDescent="0.3">
      <c r="A42" s="6">
        <v>45597</v>
      </c>
      <c r="B42" s="7" t="s">
        <v>1423</v>
      </c>
      <c r="C42" s="38" t="s">
        <v>1377</v>
      </c>
      <c r="D42" s="17" t="s">
        <v>1426</v>
      </c>
      <c r="E42" s="413"/>
      <c r="F42" s="299">
        <v>400000</v>
      </c>
    </row>
    <row r="43" spans="1:6" ht="15" x14ac:dyDescent="0.3">
      <c r="A43" s="6">
        <v>45597</v>
      </c>
      <c r="B43" s="7" t="s">
        <v>1427</v>
      </c>
      <c r="C43" s="31" t="s">
        <v>1377</v>
      </c>
      <c r="D43" s="17" t="s">
        <v>957</v>
      </c>
      <c r="E43" s="413"/>
      <c r="F43" s="299">
        <v>139000</v>
      </c>
    </row>
    <row r="44" spans="1:6" ht="15" x14ac:dyDescent="0.3">
      <c r="A44" s="6">
        <v>45597</v>
      </c>
      <c r="B44" s="7" t="s">
        <v>1427</v>
      </c>
      <c r="C44" s="31" t="s">
        <v>1377</v>
      </c>
      <c r="D44" s="17" t="s">
        <v>927</v>
      </c>
      <c r="E44" s="413"/>
      <c r="F44" s="299">
        <v>150000</v>
      </c>
    </row>
    <row r="45" spans="1:6" ht="15" x14ac:dyDescent="0.3">
      <c r="A45" s="6">
        <v>45597</v>
      </c>
      <c r="B45" s="7" t="s">
        <v>1427</v>
      </c>
      <c r="C45" s="31" t="s">
        <v>1377</v>
      </c>
      <c r="D45" s="17" t="s">
        <v>1428</v>
      </c>
      <c r="E45" s="413"/>
      <c r="F45" s="299">
        <v>273000</v>
      </c>
    </row>
    <row r="46" spans="1:6" ht="15" x14ac:dyDescent="0.3">
      <c r="A46" s="6">
        <v>45597</v>
      </c>
      <c r="B46" s="7" t="s">
        <v>1427</v>
      </c>
      <c r="C46" s="31" t="s">
        <v>1377</v>
      </c>
      <c r="D46" s="23" t="s">
        <v>930</v>
      </c>
      <c r="E46" s="413"/>
      <c r="F46" s="419">
        <v>2900</v>
      </c>
    </row>
    <row r="47" spans="1:6" ht="15" x14ac:dyDescent="0.3">
      <c r="A47" s="6">
        <v>45604</v>
      </c>
      <c r="B47" s="7" t="s">
        <v>136</v>
      </c>
      <c r="C47" s="68" t="s">
        <v>1377</v>
      </c>
      <c r="D47" s="26" t="s">
        <v>1429</v>
      </c>
      <c r="E47" s="420"/>
      <c r="F47" s="299">
        <v>16500000</v>
      </c>
    </row>
    <row r="48" spans="1:6" ht="15" x14ac:dyDescent="0.3">
      <c r="A48" s="6">
        <v>45604</v>
      </c>
      <c r="B48" s="7" t="s">
        <v>136</v>
      </c>
      <c r="C48" s="68" t="s">
        <v>1377</v>
      </c>
      <c r="D48" s="26" t="s">
        <v>50</v>
      </c>
      <c r="E48" s="420"/>
      <c r="F48" s="299">
        <v>2500</v>
      </c>
    </row>
    <row r="49" spans="1:6" ht="15" x14ac:dyDescent="0.3">
      <c r="A49" s="6">
        <v>45611</v>
      </c>
      <c r="B49" s="7" t="s">
        <v>908</v>
      </c>
      <c r="C49" s="68" t="s">
        <v>1377</v>
      </c>
      <c r="D49" s="26" t="s">
        <v>1430</v>
      </c>
      <c r="E49" s="420"/>
      <c r="F49" s="299">
        <v>281000</v>
      </c>
    </row>
    <row r="50" spans="1:6" ht="15" x14ac:dyDescent="0.3">
      <c r="A50" s="6">
        <v>45611</v>
      </c>
      <c r="B50" s="7" t="s">
        <v>1431</v>
      </c>
      <c r="C50" s="54" t="s">
        <v>1377</v>
      </c>
      <c r="D50" s="17" t="s">
        <v>1432</v>
      </c>
      <c r="E50" s="420"/>
      <c r="F50" s="289">
        <v>3152500</v>
      </c>
    </row>
    <row r="51" spans="1:6" ht="15" x14ac:dyDescent="0.3">
      <c r="A51" s="6">
        <v>45611</v>
      </c>
      <c r="B51" s="7" t="s">
        <v>1433</v>
      </c>
      <c r="C51" s="11" t="s">
        <v>1377</v>
      </c>
      <c r="D51" s="26" t="s">
        <v>1434</v>
      </c>
      <c r="E51" s="420"/>
      <c r="F51" s="299">
        <v>250000</v>
      </c>
    </row>
    <row r="52" spans="1:6" ht="15" x14ac:dyDescent="0.3">
      <c r="A52" s="6">
        <v>45621</v>
      </c>
      <c r="B52" s="9" t="s">
        <v>151</v>
      </c>
      <c r="C52" s="11" t="s">
        <v>1377</v>
      </c>
      <c r="D52" s="26" t="s">
        <v>1430</v>
      </c>
      <c r="E52" s="421"/>
      <c r="F52" s="299">
        <v>186000</v>
      </c>
    </row>
    <row r="53" spans="1:6" ht="15" x14ac:dyDescent="0.3">
      <c r="A53" s="6">
        <v>45621</v>
      </c>
      <c r="B53" s="9" t="s">
        <v>151</v>
      </c>
      <c r="C53" s="11" t="s">
        <v>1377</v>
      </c>
      <c r="D53" s="26" t="s">
        <v>1435</v>
      </c>
      <c r="E53" s="421"/>
      <c r="F53" s="299">
        <v>1009600</v>
      </c>
    </row>
    <row r="54" spans="1:6" ht="15" x14ac:dyDescent="0.3">
      <c r="A54" s="6">
        <v>45621</v>
      </c>
      <c r="B54" s="9" t="s">
        <v>151</v>
      </c>
      <c r="C54" s="11" t="s">
        <v>1377</v>
      </c>
      <c r="D54" s="26" t="s">
        <v>1436</v>
      </c>
      <c r="E54" s="421"/>
      <c r="F54" s="299">
        <v>511600</v>
      </c>
    </row>
    <row r="55" spans="1:6" ht="15" x14ac:dyDescent="0.3">
      <c r="A55" s="6">
        <v>45621</v>
      </c>
      <c r="B55" s="9" t="s">
        <v>151</v>
      </c>
      <c r="C55" s="11" t="s">
        <v>1377</v>
      </c>
      <c r="D55" s="26" t="s">
        <v>1437</v>
      </c>
      <c r="E55" s="421"/>
      <c r="F55" s="299">
        <v>80000</v>
      </c>
    </row>
    <row r="56" spans="1:6" ht="15" x14ac:dyDescent="0.3">
      <c r="A56" s="6">
        <v>45622</v>
      </c>
      <c r="B56" s="9" t="s">
        <v>1438</v>
      </c>
      <c r="C56" s="11" t="s">
        <v>1377</v>
      </c>
      <c r="D56" s="17" t="s">
        <v>1439</v>
      </c>
      <c r="E56" s="421"/>
      <c r="F56" s="299">
        <v>202934833</v>
      </c>
    </row>
    <row r="57" spans="1:6" ht="15" x14ac:dyDescent="0.3">
      <c r="A57" s="6">
        <v>45622</v>
      </c>
      <c r="B57" s="9" t="s">
        <v>1438</v>
      </c>
      <c r="C57" s="11" t="s">
        <v>1377</v>
      </c>
      <c r="D57" s="17" t="s">
        <v>1440</v>
      </c>
      <c r="E57" s="421"/>
      <c r="F57" s="299">
        <v>22322832</v>
      </c>
    </row>
    <row r="58" spans="1:6" ht="15" x14ac:dyDescent="0.3">
      <c r="A58" s="6">
        <v>45622</v>
      </c>
      <c r="B58" s="9" t="s">
        <v>1438</v>
      </c>
      <c r="C58" s="11" t="s">
        <v>1377</v>
      </c>
      <c r="D58" s="17" t="s">
        <v>1441</v>
      </c>
      <c r="E58" s="421"/>
      <c r="F58" s="299">
        <v>-4058697</v>
      </c>
    </row>
    <row r="59" spans="1:6" ht="15" x14ac:dyDescent="0.3">
      <c r="A59" s="6">
        <v>45622</v>
      </c>
      <c r="B59" s="9" t="s">
        <v>1438</v>
      </c>
      <c r="C59" s="11" t="s">
        <v>1377</v>
      </c>
      <c r="D59" s="17" t="s">
        <v>937</v>
      </c>
      <c r="E59" s="421"/>
      <c r="F59" s="299">
        <v>2900</v>
      </c>
    </row>
    <row r="60" spans="1:6" ht="15" x14ac:dyDescent="0.3">
      <c r="A60" s="6">
        <v>45622</v>
      </c>
      <c r="B60" s="9" t="s">
        <v>1442</v>
      </c>
      <c r="C60" s="11" t="s">
        <v>1377</v>
      </c>
      <c r="D60" s="17" t="s">
        <v>447</v>
      </c>
      <c r="E60" s="421"/>
      <c r="F60" s="299">
        <v>215000</v>
      </c>
    </row>
    <row r="61" spans="1:6" ht="15" x14ac:dyDescent="0.3">
      <c r="A61" s="6">
        <v>45622</v>
      </c>
      <c r="B61" s="9" t="s">
        <v>1442</v>
      </c>
      <c r="C61" s="11" t="s">
        <v>1377</v>
      </c>
      <c r="D61" s="17" t="s">
        <v>1443</v>
      </c>
      <c r="E61" s="421"/>
      <c r="F61" s="299">
        <v>805360</v>
      </c>
    </row>
    <row r="62" spans="1:6" ht="15" x14ac:dyDescent="0.3">
      <c r="A62" s="6">
        <v>45622</v>
      </c>
      <c r="B62" s="9" t="s">
        <v>1442</v>
      </c>
      <c r="C62" s="11" t="s">
        <v>1377</v>
      </c>
      <c r="D62" s="17" t="s">
        <v>446</v>
      </c>
      <c r="E62" s="421"/>
      <c r="F62" s="299">
        <v>330190</v>
      </c>
    </row>
    <row r="63" spans="1:6" ht="15" x14ac:dyDescent="0.3">
      <c r="A63" s="6">
        <v>45622</v>
      </c>
      <c r="B63" s="9" t="s">
        <v>1442</v>
      </c>
      <c r="C63" s="9" t="s">
        <v>1377</v>
      </c>
      <c r="D63" s="69" t="s">
        <v>1444</v>
      </c>
      <c r="E63" s="421"/>
      <c r="F63" s="335">
        <v>90000</v>
      </c>
    </row>
    <row r="64" spans="1:6" ht="15" x14ac:dyDescent="0.3">
      <c r="A64" s="6">
        <v>45625</v>
      </c>
      <c r="B64" s="9" t="s">
        <v>931</v>
      </c>
      <c r="C64" s="70" t="s">
        <v>1377</v>
      </c>
      <c r="D64" s="71" t="s">
        <v>1445</v>
      </c>
      <c r="E64" s="299"/>
      <c r="F64" s="422">
        <v>68000</v>
      </c>
    </row>
    <row r="65" spans="1:6" ht="15" x14ac:dyDescent="0.3">
      <c r="A65" s="6">
        <v>45625</v>
      </c>
      <c r="B65" s="9" t="s">
        <v>1446</v>
      </c>
      <c r="C65" s="11" t="s">
        <v>1377</v>
      </c>
      <c r="D65" s="26" t="s">
        <v>1447</v>
      </c>
      <c r="E65" s="421"/>
      <c r="F65" s="299">
        <v>12800000</v>
      </c>
    </row>
    <row r="66" spans="1:6" ht="15" x14ac:dyDescent="0.3">
      <c r="A66" s="6">
        <v>45625</v>
      </c>
      <c r="B66" s="9" t="s">
        <v>1446</v>
      </c>
      <c r="C66" s="11" t="s">
        <v>1377</v>
      </c>
      <c r="D66" s="26" t="s">
        <v>1448</v>
      </c>
      <c r="E66" s="421"/>
      <c r="F66" s="299">
        <v>1408000</v>
      </c>
    </row>
    <row r="67" spans="1:6" ht="15" x14ac:dyDescent="0.3">
      <c r="A67" s="6">
        <v>45625</v>
      </c>
      <c r="B67" s="9" t="s">
        <v>1446</v>
      </c>
      <c r="C67" s="11" t="s">
        <v>1377</v>
      </c>
      <c r="D67" s="26" t="s">
        <v>1449</v>
      </c>
      <c r="E67" s="421"/>
      <c r="F67" s="299">
        <v>2900</v>
      </c>
    </row>
    <row r="68" spans="1:6" ht="15" x14ac:dyDescent="0.3">
      <c r="A68" s="6">
        <v>45628</v>
      </c>
      <c r="B68" s="9" t="s">
        <v>1450</v>
      </c>
      <c r="C68" s="11" t="s">
        <v>1377</v>
      </c>
      <c r="D68" s="17" t="s">
        <v>1451</v>
      </c>
      <c r="E68" s="421"/>
      <c r="F68" s="299">
        <v>7880250</v>
      </c>
    </row>
    <row r="69" spans="1:6" ht="15" x14ac:dyDescent="0.3">
      <c r="A69" s="6">
        <v>45628</v>
      </c>
      <c r="B69" s="9" t="s">
        <v>1450</v>
      </c>
      <c r="C69" s="11" t="s">
        <v>1377</v>
      </c>
      <c r="D69" s="17" t="s">
        <v>1452</v>
      </c>
      <c r="E69" s="421"/>
      <c r="F69" s="299">
        <v>-157605</v>
      </c>
    </row>
    <row r="70" spans="1:6" ht="15" x14ac:dyDescent="0.3">
      <c r="A70" s="6">
        <v>45628</v>
      </c>
      <c r="B70" s="9" t="s">
        <v>1450</v>
      </c>
      <c r="C70" s="11" t="s">
        <v>1377</v>
      </c>
      <c r="D70" s="17" t="s">
        <v>1453</v>
      </c>
      <c r="E70" s="421"/>
      <c r="F70" s="299">
        <v>2900</v>
      </c>
    </row>
    <row r="71" spans="1:6" ht="15" x14ac:dyDescent="0.3">
      <c r="A71" s="6">
        <v>45628</v>
      </c>
      <c r="B71" s="9" t="s">
        <v>1454</v>
      </c>
      <c r="C71" s="11" t="s">
        <v>1377</v>
      </c>
      <c r="D71" s="17" t="s">
        <v>1455</v>
      </c>
      <c r="E71" s="421"/>
      <c r="F71" s="299">
        <v>47500000</v>
      </c>
    </row>
    <row r="72" spans="1:6" ht="15" x14ac:dyDescent="0.3">
      <c r="A72" s="6">
        <v>45628</v>
      </c>
      <c r="B72" s="9" t="s">
        <v>1454</v>
      </c>
      <c r="C72" s="11" t="s">
        <v>1377</v>
      </c>
      <c r="D72" s="17" t="s">
        <v>1456</v>
      </c>
      <c r="E72" s="421"/>
      <c r="F72" s="299">
        <v>5225000</v>
      </c>
    </row>
    <row r="73" spans="1:6" ht="15" x14ac:dyDescent="0.3">
      <c r="A73" s="6">
        <v>45628</v>
      </c>
      <c r="B73" s="9" t="s">
        <v>1454</v>
      </c>
      <c r="C73" s="11" t="s">
        <v>1377</v>
      </c>
      <c r="D73" s="17" t="s">
        <v>1457</v>
      </c>
      <c r="E73" s="421"/>
      <c r="F73" s="299">
        <v>2900</v>
      </c>
    </row>
    <row r="74" spans="1:6" ht="15" x14ac:dyDescent="0.3">
      <c r="A74" s="6">
        <v>45631</v>
      </c>
      <c r="B74" s="9" t="s">
        <v>1458</v>
      </c>
      <c r="C74" s="11" t="s">
        <v>1377</v>
      </c>
      <c r="D74" s="17" t="s">
        <v>1459</v>
      </c>
      <c r="E74" s="421"/>
      <c r="F74" s="299">
        <v>28950000</v>
      </c>
    </row>
    <row r="75" spans="1:6" ht="15" x14ac:dyDescent="0.3">
      <c r="A75" s="6">
        <v>45631</v>
      </c>
      <c r="B75" s="9" t="s">
        <v>1458</v>
      </c>
      <c r="C75" s="11" t="s">
        <v>1377</v>
      </c>
      <c r="D75" s="17" t="s">
        <v>1460</v>
      </c>
      <c r="E75" s="421"/>
      <c r="F75" s="299">
        <v>3184500</v>
      </c>
    </row>
    <row r="76" spans="1:6" ht="15" x14ac:dyDescent="0.3">
      <c r="A76" s="6">
        <v>45631</v>
      </c>
      <c r="B76" s="9" t="s">
        <v>1458</v>
      </c>
      <c r="C76" s="11" t="s">
        <v>1377</v>
      </c>
      <c r="D76" s="17" t="s">
        <v>1461</v>
      </c>
      <c r="E76" s="421"/>
      <c r="F76" s="299">
        <v>2900</v>
      </c>
    </row>
    <row r="77" spans="1:6" ht="15" x14ac:dyDescent="0.3">
      <c r="A77" s="6">
        <v>45631</v>
      </c>
      <c r="B77" s="9" t="s">
        <v>1462</v>
      </c>
      <c r="C77" s="54" t="s">
        <v>1377</v>
      </c>
      <c r="D77" s="17" t="s">
        <v>1463</v>
      </c>
      <c r="E77" s="421"/>
      <c r="F77" s="299">
        <v>3300000</v>
      </c>
    </row>
    <row r="78" spans="1:6" ht="15" x14ac:dyDescent="0.3">
      <c r="A78" s="6">
        <v>45631</v>
      </c>
      <c r="B78" s="9" t="s">
        <v>1462</v>
      </c>
      <c r="C78" s="54" t="s">
        <v>1377</v>
      </c>
      <c r="D78" s="17" t="s">
        <v>1464</v>
      </c>
      <c r="E78" s="421"/>
      <c r="F78" s="299">
        <v>-66000</v>
      </c>
    </row>
    <row r="79" spans="1:6" ht="15" x14ac:dyDescent="0.3">
      <c r="A79" s="6">
        <v>45631</v>
      </c>
      <c r="B79" s="9" t="s">
        <v>1465</v>
      </c>
      <c r="C79" s="54" t="s">
        <v>1377</v>
      </c>
      <c r="D79" s="17" t="s">
        <v>1466</v>
      </c>
      <c r="E79" s="421"/>
      <c r="F79" s="299">
        <v>3377250</v>
      </c>
    </row>
    <row r="80" spans="1:6" ht="15" x14ac:dyDescent="0.3">
      <c r="A80" s="6">
        <v>45631</v>
      </c>
      <c r="B80" s="9" t="s">
        <v>1465</v>
      </c>
      <c r="C80" s="54" t="s">
        <v>1377</v>
      </c>
      <c r="D80" s="17" t="s">
        <v>1467</v>
      </c>
      <c r="E80" s="421"/>
      <c r="F80" s="289">
        <v>-67545</v>
      </c>
    </row>
    <row r="81" spans="1:6" ht="15" x14ac:dyDescent="0.3">
      <c r="A81" s="6">
        <v>45631</v>
      </c>
      <c r="B81" s="9" t="s">
        <v>1465</v>
      </c>
      <c r="C81" s="54" t="s">
        <v>1377</v>
      </c>
      <c r="D81" s="17" t="s">
        <v>1468</v>
      </c>
      <c r="E81" s="421"/>
      <c r="F81" s="289">
        <v>2500</v>
      </c>
    </row>
    <row r="82" spans="1:6" ht="15" x14ac:dyDescent="0.3">
      <c r="A82" s="6">
        <v>45631</v>
      </c>
      <c r="B82" s="9" t="s">
        <v>1465</v>
      </c>
      <c r="C82" s="54" t="s">
        <v>1377</v>
      </c>
      <c r="D82" s="17" t="s">
        <v>1469</v>
      </c>
      <c r="E82" s="421"/>
      <c r="F82" s="299">
        <v>1000000</v>
      </c>
    </row>
    <row r="83" spans="1:6" ht="15" x14ac:dyDescent="0.3">
      <c r="A83" s="6">
        <v>45631</v>
      </c>
      <c r="B83" s="9" t="s">
        <v>1465</v>
      </c>
      <c r="C83" s="54" t="s">
        <v>1377</v>
      </c>
      <c r="D83" s="17" t="s">
        <v>1470</v>
      </c>
      <c r="E83" s="421"/>
      <c r="F83" s="299">
        <v>2500</v>
      </c>
    </row>
    <row r="84" spans="1:6" ht="15" x14ac:dyDescent="0.3">
      <c r="A84" s="6">
        <v>45632</v>
      </c>
      <c r="B84" s="9" t="s">
        <v>155</v>
      </c>
      <c r="C84" s="38" t="s">
        <v>1377</v>
      </c>
      <c r="D84" s="45" t="s">
        <v>1471</v>
      </c>
      <c r="E84" s="423"/>
      <c r="F84" s="424">
        <v>138000</v>
      </c>
    </row>
    <row r="85" spans="1:6" ht="15" x14ac:dyDescent="0.3">
      <c r="A85" s="6">
        <v>45632</v>
      </c>
      <c r="B85" s="9" t="s">
        <v>1472</v>
      </c>
      <c r="C85" s="72" t="s">
        <v>1377</v>
      </c>
      <c r="D85" s="17" t="s">
        <v>1473</v>
      </c>
      <c r="E85" s="421"/>
      <c r="F85" s="299">
        <v>161000</v>
      </c>
    </row>
    <row r="86" spans="1:6" ht="15" x14ac:dyDescent="0.3">
      <c r="A86" s="6">
        <v>45632</v>
      </c>
      <c r="B86" s="9" t="s">
        <v>1472</v>
      </c>
      <c r="C86" s="72" t="s">
        <v>1377</v>
      </c>
      <c r="D86" s="17" t="s">
        <v>1474</v>
      </c>
      <c r="E86" s="421"/>
      <c r="F86" s="299">
        <v>115000</v>
      </c>
    </row>
    <row r="87" spans="1:6" ht="15" x14ac:dyDescent="0.3">
      <c r="A87" s="6">
        <v>45644</v>
      </c>
      <c r="B87" s="9" t="s">
        <v>592</v>
      </c>
      <c r="C87" s="54" t="s">
        <v>1377</v>
      </c>
      <c r="D87" s="17" t="s">
        <v>1475</v>
      </c>
      <c r="E87" s="421"/>
      <c r="F87" s="299">
        <v>1800000</v>
      </c>
    </row>
    <row r="88" spans="1:6" ht="15" x14ac:dyDescent="0.3">
      <c r="A88" s="6">
        <v>45644</v>
      </c>
      <c r="B88" s="9" t="s">
        <v>592</v>
      </c>
      <c r="C88" s="54" t="s">
        <v>1377</v>
      </c>
      <c r="D88" s="17" t="s">
        <v>1476</v>
      </c>
      <c r="E88" s="421"/>
      <c r="F88" s="299">
        <v>2500</v>
      </c>
    </row>
    <row r="89" spans="1:6" ht="15" x14ac:dyDescent="0.3">
      <c r="A89" s="6">
        <v>45644</v>
      </c>
      <c r="B89" s="9" t="s">
        <v>592</v>
      </c>
      <c r="C89" s="54" t="s">
        <v>1377</v>
      </c>
      <c r="D89" s="17" t="s">
        <v>1477</v>
      </c>
      <c r="E89" s="421"/>
      <c r="F89" s="299">
        <v>1601154</v>
      </c>
    </row>
    <row r="90" spans="1:6" ht="15" x14ac:dyDescent="0.3">
      <c r="A90" s="6">
        <v>45644</v>
      </c>
      <c r="B90" s="9" t="s">
        <v>1478</v>
      </c>
      <c r="C90" s="11" t="s">
        <v>1377</v>
      </c>
      <c r="D90" s="17" t="s">
        <v>1479</v>
      </c>
      <c r="E90" s="421"/>
      <c r="F90" s="299">
        <v>13419000</v>
      </c>
    </row>
    <row r="91" spans="1:6" ht="15" x14ac:dyDescent="0.3">
      <c r="A91" s="6">
        <v>45644</v>
      </c>
      <c r="B91" s="9" t="s">
        <v>1478</v>
      </c>
      <c r="C91" s="11" t="s">
        <v>1377</v>
      </c>
      <c r="D91" s="17" t="s">
        <v>1480</v>
      </c>
      <c r="E91" s="421"/>
      <c r="F91" s="299">
        <v>2900</v>
      </c>
    </row>
    <row r="92" spans="1:6" ht="15" x14ac:dyDescent="0.3">
      <c r="A92" s="6">
        <v>45645</v>
      </c>
      <c r="B92" s="9" t="s">
        <v>1481</v>
      </c>
      <c r="C92" s="11" t="s">
        <v>1377</v>
      </c>
      <c r="D92" s="17" t="s">
        <v>1482</v>
      </c>
      <c r="E92" s="421"/>
      <c r="F92" s="299">
        <v>12755000</v>
      </c>
    </row>
    <row r="93" spans="1:6" ht="15" x14ac:dyDescent="0.3">
      <c r="A93" s="6">
        <v>45646</v>
      </c>
      <c r="B93" s="9" t="s">
        <v>943</v>
      </c>
      <c r="C93" s="38" t="s">
        <v>1377</v>
      </c>
      <c r="D93" s="45" t="s">
        <v>1483</v>
      </c>
      <c r="E93" s="421"/>
      <c r="F93" s="299">
        <v>130000</v>
      </c>
    </row>
    <row r="94" spans="1:6" ht="15" x14ac:dyDescent="0.3">
      <c r="A94" s="6">
        <v>45646</v>
      </c>
      <c r="B94" s="9" t="s">
        <v>1484</v>
      </c>
      <c r="C94" s="54" t="s">
        <v>1377</v>
      </c>
      <c r="D94" s="17" t="s">
        <v>1485</v>
      </c>
      <c r="E94" s="421"/>
      <c r="F94" s="299">
        <v>182500</v>
      </c>
    </row>
    <row r="95" spans="1:6" ht="15" x14ac:dyDescent="0.3">
      <c r="A95" s="6">
        <v>45646</v>
      </c>
      <c r="B95" s="9" t="s">
        <v>1484</v>
      </c>
      <c r="C95" s="54" t="s">
        <v>1377</v>
      </c>
      <c r="D95" s="17" t="s">
        <v>1486</v>
      </c>
      <c r="E95" s="421"/>
      <c r="F95" s="299">
        <v>450000</v>
      </c>
    </row>
    <row r="96" spans="1:6" ht="15" x14ac:dyDescent="0.3">
      <c r="A96" s="6">
        <v>45646</v>
      </c>
      <c r="B96" s="9" t="s">
        <v>1484</v>
      </c>
      <c r="C96" s="54" t="s">
        <v>1377</v>
      </c>
      <c r="D96" s="17" t="s">
        <v>1487</v>
      </c>
      <c r="E96" s="421"/>
      <c r="F96" s="299">
        <v>95000</v>
      </c>
    </row>
    <row r="97" spans="1:6" ht="15" x14ac:dyDescent="0.3">
      <c r="A97" s="6">
        <v>45646</v>
      </c>
      <c r="B97" s="9" t="s">
        <v>595</v>
      </c>
      <c r="C97" s="11" t="s">
        <v>1377</v>
      </c>
      <c r="D97" s="26" t="s">
        <v>149</v>
      </c>
      <c r="E97" s="421"/>
      <c r="F97" s="299">
        <v>201000</v>
      </c>
    </row>
    <row r="98" spans="1:6" ht="15" x14ac:dyDescent="0.3">
      <c r="A98" s="6">
        <v>45646</v>
      </c>
      <c r="B98" s="9" t="s">
        <v>595</v>
      </c>
      <c r="C98" s="11" t="s">
        <v>1377</v>
      </c>
      <c r="D98" s="26" t="s">
        <v>1488</v>
      </c>
      <c r="E98" s="421"/>
      <c r="F98" s="299">
        <v>250000</v>
      </c>
    </row>
    <row r="99" spans="1:6" ht="15" x14ac:dyDescent="0.3">
      <c r="A99" s="6">
        <v>45646</v>
      </c>
      <c r="B99" s="9" t="s">
        <v>1489</v>
      </c>
      <c r="C99" s="11" t="s">
        <v>1377</v>
      </c>
      <c r="D99" s="26" t="s">
        <v>1490</v>
      </c>
      <c r="E99" s="421"/>
      <c r="F99" s="299">
        <v>7330000</v>
      </c>
    </row>
    <row r="100" spans="1:6" ht="15" x14ac:dyDescent="0.3">
      <c r="A100" s="6">
        <v>45646</v>
      </c>
      <c r="B100" s="9" t="s">
        <v>1489</v>
      </c>
      <c r="C100" s="11" t="s">
        <v>1377</v>
      </c>
      <c r="D100" s="26" t="s">
        <v>1491</v>
      </c>
      <c r="E100" s="421"/>
      <c r="F100" s="299">
        <v>806300</v>
      </c>
    </row>
    <row r="101" spans="1:6" ht="15" x14ac:dyDescent="0.3">
      <c r="A101" s="6">
        <v>45646</v>
      </c>
      <c r="B101" s="9" t="s">
        <v>1489</v>
      </c>
      <c r="C101" s="11" t="s">
        <v>1377</v>
      </c>
      <c r="D101" s="26" t="s">
        <v>1492</v>
      </c>
      <c r="E101" s="421"/>
      <c r="F101" s="299">
        <v>2900</v>
      </c>
    </row>
    <row r="102" spans="1:6" ht="15" x14ac:dyDescent="0.3">
      <c r="A102" s="6">
        <v>45646</v>
      </c>
      <c r="B102" s="9" t="s">
        <v>1493</v>
      </c>
      <c r="C102" s="11" t="s">
        <v>1377</v>
      </c>
      <c r="D102" s="17" t="s">
        <v>1494</v>
      </c>
      <c r="E102" s="421"/>
      <c r="F102" s="299">
        <v>2000000</v>
      </c>
    </row>
    <row r="103" spans="1:6" ht="15" x14ac:dyDescent="0.3">
      <c r="A103" s="6">
        <v>45646</v>
      </c>
      <c r="B103" s="9" t="s">
        <v>1493</v>
      </c>
      <c r="C103" s="11" t="s">
        <v>1377</v>
      </c>
      <c r="D103" s="17" t="s">
        <v>1495</v>
      </c>
      <c r="E103" s="421"/>
      <c r="F103" s="299">
        <v>2900</v>
      </c>
    </row>
    <row r="104" spans="1:6" ht="15" x14ac:dyDescent="0.3">
      <c r="A104" s="6">
        <v>45653</v>
      </c>
      <c r="B104" s="9" t="s">
        <v>599</v>
      </c>
      <c r="C104" s="38" t="s">
        <v>1377</v>
      </c>
      <c r="D104" s="45" t="s">
        <v>1496</v>
      </c>
      <c r="E104" s="423"/>
      <c r="F104" s="424">
        <v>56000</v>
      </c>
    </row>
    <row r="105" spans="1:6" ht="15" x14ac:dyDescent="0.3">
      <c r="A105" s="6">
        <v>45653</v>
      </c>
      <c r="B105" s="9" t="s">
        <v>1497</v>
      </c>
      <c r="C105" s="11" t="s">
        <v>1377</v>
      </c>
      <c r="D105" s="17" t="s">
        <v>1498</v>
      </c>
      <c r="E105" s="421"/>
      <c r="F105" s="299">
        <v>15616000</v>
      </c>
    </row>
    <row r="106" spans="1:6" ht="15" x14ac:dyDescent="0.3">
      <c r="A106" s="6">
        <v>45653</v>
      </c>
      <c r="B106" s="9" t="s">
        <v>1497</v>
      </c>
      <c r="C106" s="11" t="s">
        <v>1377</v>
      </c>
      <c r="D106" s="17" t="s">
        <v>1480</v>
      </c>
      <c r="E106" s="421"/>
      <c r="F106" s="299">
        <v>2900</v>
      </c>
    </row>
    <row r="107" spans="1:6" ht="15" x14ac:dyDescent="0.3">
      <c r="A107" s="6">
        <v>45656</v>
      </c>
      <c r="B107" s="9" t="s">
        <v>601</v>
      </c>
      <c r="C107" s="54" t="s">
        <v>1377</v>
      </c>
      <c r="D107" s="17" t="s">
        <v>1499</v>
      </c>
      <c r="E107" s="421"/>
      <c r="F107" s="299">
        <v>664365</v>
      </c>
    </row>
    <row r="108" spans="1:6" ht="15" x14ac:dyDescent="0.3">
      <c r="A108" s="3">
        <v>45680</v>
      </c>
      <c r="B108" s="4" t="s">
        <v>1500</v>
      </c>
      <c r="C108" s="4" t="s">
        <v>1377</v>
      </c>
      <c r="D108" s="5" t="s">
        <v>1501</v>
      </c>
      <c r="E108" s="425"/>
      <c r="F108" s="426">
        <v>4000000</v>
      </c>
    </row>
    <row r="109" spans="1:6" ht="15" x14ac:dyDescent="0.3">
      <c r="A109" s="6">
        <v>45683</v>
      </c>
      <c r="B109" s="7" t="s">
        <v>1502</v>
      </c>
      <c r="C109" s="7" t="s">
        <v>1377</v>
      </c>
      <c r="D109" s="8" t="s">
        <v>1503</v>
      </c>
      <c r="E109" s="413"/>
      <c r="F109" s="414">
        <v>1695000</v>
      </c>
    </row>
    <row r="110" spans="1:6" ht="15" x14ac:dyDescent="0.3">
      <c r="A110" s="6">
        <v>45683</v>
      </c>
      <c r="B110" s="7" t="s">
        <v>1502</v>
      </c>
      <c r="C110" s="7" t="s">
        <v>1377</v>
      </c>
      <c r="D110" s="8" t="s">
        <v>1504</v>
      </c>
      <c r="E110" s="413"/>
      <c r="F110" s="414">
        <v>2500</v>
      </c>
    </row>
    <row r="111" spans="1:6" ht="15" x14ac:dyDescent="0.3">
      <c r="A111" s="6">
        <v>45690</v>
      </c>
      <c r="B111" s="7" t="s">
        <v>1505</v>
      </c>
      <c r="C111" s="7" t="s">
        <v>1377</v>
      </c>
      <c r="D111" s="8" t="s">
        <v>1506</v>
      </c>
      <c r="E111" s="413"/>
      <c r="F111" s="414">
        <v>10120000</v>
      </c>
    </row>
    <row r="112" spans="1:6" ht="15" x14ac:dyDescent="0.3">
      <c r="A112" s="6">
        <v>45690</v>
      </c>
      <c r="B112" s="7" t="s">
        <v>1505</v>
      </c>
      <c r="C112" s="7" t="s">
        <v>1377</v>
      </c>
      <c r="D112" s="8" t="s">
        <v>1507</v>
      </c>
      <c r="E112" s="413"/>
      <c r="F112" s="414">
        <v>2500</v>
      </c>
    </row>
    <row r="113" spans="1:6" ht="15" x14ac:dyDescent="0.3">
      <c r="A113" s="3">
        <v>45736</v>
      </c>
      <c r="B113" s="4" t="s">
        <v>1508</v>
      </c>
      <c r="C113" s="4" t="s">
        <v>1377</v>
      </c>
      <c r="D113" s="73" t="s">
        <v>1509</v>
      </c>
      <c r="E113" s="425"/>
      <c r="F113" s="427">
        <v>25000000</v>
      </c>
    </row>
    <row r="114" spans="1:6" ht="15" x14ac:dyDescent="0.3">
      <c r="A114" s="3">
        <v>45736</v>
      </c>
      <c r="B114" s="4" t="s">
        <v>1508</v>
      </c>
      <c r="C114" s="4" t="s">
        <v>1377</v>
      </c>
      <c r="D114" s="73" t="s">
        <v>1510</v>
      </c>
      <c r="E114" s="425"/>
      <c r="F114" s="427">
        <v>25000000</v>
      </c>
    </row>
    <row r="115" spans="1:6" ht="15" x14ac:dyDescent="0.3">
      <c r="A115" s="3">
        <v>45812</v>
      </c>
      <c r="B115" s="4" t="s">
        <v>1511</v>
      </c>
      <c r="C115" s="4" t="s">
        <v>1377</v>
      </c>
      <c r="D115" s="73" t="s">
        <v>1512</v>
      </c>
      <c r="E115" s="425"/>
      <c r="F115" s="427">
        <v>85000000</v>
      </c>
    </row>
    <row r="116" spans="1:6" ht="15" x14ac:dyDescent="0.3">
      <c r="A116" s="3">
        <v>45812</v>
      </c>
      <c r="B116" s="4" t="s">
        <v>1511</v>
      </c>
      <c r="C116" s="4" t="s">
        <v>1377</v>
      </c>
      <c r="D116" s="73" t="s">
        <v>1513</v>
      </c>
      <c r="E116" s="425"/>
      <c r="F116" s="427">
        <v>55000000</v>
      </c>
    </row>
    <row r="117" spans="1:6" ht="15" x14ac:dyDescent="0.3">
      <c r="A117" s="3">
        <v>45812</v>
      </c>
      <c r="B117" s="4" t="s">
        <v>1511</v>
      </c>
      <c r="C117" s="4" t="s">
        <v>1377</v>
      </c>
      <c r="D117" s="73" t="s">
        <v>1514</v>
      </c>
      <c r="E117" s="425"/>
      <c r="F117" s="427">
        <v>70000000</v>
      </c>
    </row>
    <row r="118" spans="1:6" ht="15" x14ac:dyDescent="0.3">
      <c r="A118" s="3">
        <v>45812</v>
      </c>
      <c r="B118" s="4" t="s">
        <v>1511</v>
      </c>
      <c r="C118" s="4" t="s">
        <v>1377</v>
      </c>
      <c r="D118" s="73" t="s">
        <v>1515</v>
      </c>
      <c r="E118" s="425"/>
      <c r="F118" s="427">
        <v>60000000</v>
      </c>
    </row>
    <row r="119" spans="1:6" ht="15" x14ac:dyDescent="0.3">
      <c r="A119" s="3">
        <v>45812</v>
      </c>
      <c r="B119" s="4" t="s">
        <v>1511</v>
      </c>
      <c r="C119" s="4" t="s">
        <v>1377</v>
      </c>
      <c r="D119" s="73" t="s">
        <v>1516</v>
      </c>
      <c r="E119" s="425"/>
      <c r="F119" s="427">
        <v>45288399.5</v>
      </c>
    </row>
    <row r="120" spans="1:6" ht="15" x14ac:dyDescent="0.3">
      <c r="A120" s="6">
        <v>45820</v>
      </c>
      <c r="B120" s="7" t="s">
        <v>979</v>
      </c>
      <c r="C120" s="7" t="s">
        <v>1377</v>
      </c>
      <c r="D120" s="8" t="s">
        <v>1517</v>
      </c>
      <c r="E120" s="428"/>
      <c r="F120" s="429">
        <v>448000</v>
      </c>
    </row>
    <row r="121" spans="1:6" ht="15" x14ac:dyDescent="0.3">
      <c r="A121" s="6">
        <v>45664</v>
      </c>
      <c r="B121" s="7" t="s">
        <v>1518</v>
      </c>
      <c r="C121" s="9" t="s">
        <v>1377</v>
      </c>
      <c r="D121" s="12" t="s">
        <v>1519</v>
      </c>
      <c r="E121" s="413"/>
      <c r="F121" s="418">
        <v>171299083</v>
      </c>
    </row>
    <row r="122" spans="1:6" ht="15" x14ac:dyDescent="0.3">
      <c r="A122" s="6">
        <v>45664</v>
      </c>
      <c r="B122" s="7" t="s">
        <v>1518</v>
      </c>
      <c r="C122" s="9" t="s">
        <v>1377</v>
      </c>
      <c r="D122" s="12" t="s">
        <v>1520</v>
      </c>
      <c r="E122" s="413"/>
      <c r="F122" s="418">
        <v>408500</v>
      </c>
    </row>
    <row r="123" spans="1:6" ht="15" x14ac:dyDescent="0.3">
      <c r="A123" s="6">
        <v>45687</v>
      </c>
      <c r="B123" s="9" t="s">
        <v>1521</v>
      </c>
      <c r="C123" s="9" t="s">
        <v>1377</v>
      </c>
      <c r="D123" s="13" t="s">
        <v>1522</v>
      </c>
      <c r="E123" s="289"/>
      <c r="F123" s="416">
        <v>15732051</v>
      </c>
    </row>
    <row r="124" spans="1:6" ht="15" x14ac:dyDescent="0.3">
      <c r="A124" s="6">
        <v>45687</v>
      </c>
      <c r="B124" s="9" t="s">
        <v>1521</v>
      </c>
      <c r="C124" s="9" t="s">
        <v>1377</v>
      </c>
      <c r="D124" s="13" t="s">
        <v>1523</v>
      </c>
      <c r="E124" s="289"/>
      <c r="F124" s="335">
        <v>-393301</v>
      </c>
    </row>
    <row r="125" spans="1:6" ht="15" x14ac:dyDescent="0.3">
      <c r="A125" s="6">
        <v>45687</v>
      </c>
      <c r="B125" s="9" t="s">
        <v>1521</v>
      </c>
      <c r="C125" s="9" t="s">
        <v>1377</v>
      </c>
      <c r="D125" s="13" t="s">
        <v>1524</v>
      </c>
      <c r="E125" s="289"/>
      <c r="F125" s="416">
        <v>2900</v>
      </c>
    </row>
    <row r="126" spans="1:6" ht="15" x14ac:dyDescent="0.3">
      <c r="A126" s="6">
        <v>45687</v>
      </c>
      <c r="B126" s="9" t="s">
        <v>1525</v>
      </c>
      <c r="C126" s="57" t="s">
        <v>1377</v>
      </c>
      <c r="D126" s="12" t="s">
        <v>1526</v>
      </c>
      <c r="E126" s="289"/>
      <c r="F126" s="301">
        <v>11557692</v>
      </c>
    </row>
    <row r="127" spans="1:6" ht="15" x14ac:dyDescent="0.3">
      <c r="A127" s="6">
        <v>45687</v>
      </c>
      <c r="B127" s="9" t="s">
        <v>1525</v>
      </c>
      <c r="C127" s="57" t="s">
        <v>1377</v>
      </c>
      <c r="D127" s="12" t="s">
        <v>1527</v>
      </c>
      <c r="E127" s="289"/>
      <c r="F127" s="335">
        <v>-288942</v>
      </c>
    </row>
    <row r="128" spans="1:6" ht="15" x14ac:dyDescent="0.3">
      <c r="A128" s="6">
        <v>45688</v>
      </c>
      <c r="B128" s="9" t="s">
        <v>16</v>
      </c>
      <c r="C128" s="10" t="s">
        <v>1377</v>
      </c>
      <c r="D128" s="12" t="s">
        <v>1528</v>
      </c>
      <c r="E128" s="289"/>
      <c r="F128" s="285">
        <v>2500</v>
      </c>
    </row>
    <row r="129" spans="1:6" ht="15" x14ac:dyDescent="0.3">
      <c r="A129" s="6">
        <v>45688</v>
      </c>
      <c r="B129" s="9" t="s">
        <v>16</v>
      </c>
      <c r="C129" s="10" t="s">
        <v>1377</v>
      </c>
      <c r="D129" s="12" t="s">
        <v>1529</v>
      </c>
      <c r="E129" s="289"/>
      <c r="F129" s="285">
        <v>6070000</v>
      </c>
    </row>
    <row r="130" spans="1:6" ht="15" x14ac:dyDescent="0.3">
      <c r="A130" s="6">
        <v>45688</v>
      </c>
      <c r="B130" s="9" t="s">
        <v>16</v>
      </c>
      <c r="C130" s="10" t="s">
        <v>1377</v>
      </c>
      <c r="D130" s="12" t="s">
        <v>1530</v>
      </c>
      <c r="E130" s="289"/>
      <c r="F130" s="285">
        <v>2500</v>
      </c>
    </row>
    <row r="131" spans="1:6" ht="15" x14ac:dyDescent="0.3">
      <c r="A131" s="6">
        <v>45688</v>
      </c>
      <c r="B131" s="9" t="s">
        <v>16</v>
      </c>
      <c r="C131" s="10" t="s">
        <v>1377</v>
      </c>
      <c r="D131" s="12" t="s">
        <v>1531</v>
      </c>
      <c r="E131" s="289"/>
      <c r="F131" s="285">
        <v>378000</v>
      </c>
    </row>
    <row r="132" spans="1:6" ht="15" x14ac:dyDescent="0.3">
      <c r="A132" s="6">
        <v>45688</v>
      </c>
      <c r="B132" s="9" t="s">
        <v>16</v>
      </c>
      <c r="C132" s="10" t="s">
        <v>1377</v>
      </c>
      <c r="D132" s="12" t="s">
        <v>1532</v>
      </c>
      <c r="E132" s="289"/>
      <c r="F132" s="285">
        <v>169000</v>
      </c>
    </row>
    <row r="133" spans="1:6" ht="15" x14ac:dyDescent="0.3">
      <c r="A133" s="6">
        <v>45688</v>
      </c>
      <c r="B133" s="9" t="s">
        <v>16</v>
      </c>
      <c r="C133" s="10" t="s">
        <v>1377</v>
      </c>
      <c r="D133" s="12" t="s">
        <v>1533</v>
      </c>
      <c r="E133" s="289"/>
      <c r="F133" s="285">
        <v>2500</v>
      </c>
    </row>
    <row r="134" spans="1:6" ht="15" x14ac:dyDescent="0.3">
      <c r="A134" s="6">
        <v>45688</v>
      </c>
      <c r="B134" s="9" t="s">
        <v>16</v>
      </c>
      <c r="C134" s="10" t="s">
        <v>1377</v>
      </c>
      <c r="D134" s="12" t="s">
        <v>1534</v>
      </c>
      <c r="E134" s="289"/>
      <c r="F134" s="285">
        <v>2700000</v>
      </c>
    </row>
    <row r="135" spans="1:6" ht="15" x14ac:dyDescent="0.3">
      <c r="A135" s="6">
        <v>45688</v>
      </c>
      <c r="B135" s="9" t="s">
        <v>16</v>
      </c>
      <c r="C135" s="10" t="s">
        <v>1377</v>
      </c>
      <c r="D135" s="12" t="s">
        <v>1535</v>
      </c>
      <c r="E135" s="289"/>
      <c r="F135" s="285">
        <v>2500</v>
      </c>
    </row>
    <row r="136" spans="1:6" ht="15" x14ac:dyDescent="0.3">
      <c r="A136" s="6">
        <v>45688</v>
      </c>
      <c r="B136" s="9" t="s">
        <v>16</v>
      </c>
      <c r="C136" s="10" t="s">
        <v>1377</v>
      </c>
      <c r="D136" s="12" t="s">
        <v>1536</v>
      </c>
      <c r="E136" s="289"/>
      <c r="F136" s="285">
        <v>105000</v>
      </c>
    </row>
    <row r="137" spans="1:6" ht="15" x14ac:dyDescent="0.3">
      <c r="A137" s="6">
        <v>45688</v>
      </c>
      <c r="B137" s="9" t="s">
        <v>16</v>
      </c>
      <c r="C137" s="10" t="s">
        <v>1377</v>
      </c>
      <c r="D137" s="12" t="s">
        <v>1537</v>
      </c>
      <c r="E137" s="285"/>
      <c r="F137" s="285">
        <v>2500</v>
      </c>
    </row>
    <row r="138" spans="1:6" ht="15" x14ac:dyDescent="0.3">
      <c r="A138" s="6">
        <v>45688</v>
      </c>
      <c r="B138" s="9" t="s">
        <v>16</v>
      </c>
      <c r="C138" s="10" t="s">
        <v>1377</v>
      </c>
      <c r="D138" s="12" t="s">
        <v>1538</v>
      </c>
      <c r="E138" s="285"/>
      <c r="F138" s="285">
        <v>914000</v>
      </c>
    </row>
    <row r="139" spans="1:6" ht="15" x14ac:dyDescent="0.3">
      <c r="A139" s="6">
        <v>45688</v>
      </c>
      <c r="B139" s="9" t="s">
        <v>16</v>
      </c>
      <c r="C139" s="10" t="s">
        <v>1377</v>
      </c>
      <c r="D139" s="12" t="s">
        <v>1539</v>
      </c>
      <c r="E139" s="285"/>
      <c r="F139" s="285">
        <v>2500</v>
      </c>
    </row>
    <row r="140" spans="1:6" ht="15" x14ac:dyDescent="0.3">
      <c r="A140" s="6">
        <v>45688</v>
      </c>
      <c r="B140" s="9" t="s">
        <v>16</v>
      </c>
      <c r="C140" s="10" t="s">
        <v>1377</v>
      </c>
      <c r="D140" s="12" t="s">
        <v>1540</v>
      </c>
      <c r="E140" s="289"/>
      <c r="F140" s="285">
        <v>1245000</v>
      </c>
    </row>
    <row r="141" spans="1:6" ht="15" x14ac:dyDescent="0.3">
      <c r="A141" s="6">
        <v>45693</v>
      </c>
      <c r="B141" s="9" t="s">
        <v>1541</v>
      </c>
      <c r="C141" s="11" t="s">
        <v>1377</v>
      </c>
      <c r="D141" s="13" t="s">
        <v>1542</v>
      </c>
      <c r="E141" s="289"/>
      <c r="F141" s="416">
        <v>319000</v>
      </c>
    </row>
    <row r="142" spans="1:6" ht="15" x14ac:dyDescent="0.3">
      <c r="A142" s="6">
        <v>45693</v>
      </c>
      <c r="B142" s="9" t="s">
        <v>1541</v>
      </c>
      <c r="C142" s="11" t="s">
        <v>1377</v>
      </c>
      <c r="D142" s="13" t="s">
        <v>1543</v>
      </c>
      <c r="E142" s="289"/>
      <c r="F142" s="416">
        <v>35090</v>
      </c>
    </row>
    <row r="143" spans="1:6" ht="15" x14ac:dyDescent="0.3">
      <c r="A143" s="6">
        <v>45693</v>
      </c>
      <c r="B143" s="9" t="s">
        <v>1541</v>
      </c>
      <c r="C143" s="11" t="s">
        <v>1377</v>
      </c>
      <c r="D143" s="13" t="s">
        <v>105</v>
      </c>
      <c r="E143" s="289"/>
      <c r="F143" s="416">
        <v>2900</v>
      </c>
    </row>
    <row r="144" spans="1:6" ht="15" x14ac:dyDescent="0.3">
      <c r="A144" s="6">
        <v>45693</v>
      </c>
      <c r="B144" s="9" t="s">
        <v>1544</v>
      </c>
      <c r="C144" s="11" t="s">
        <v>1377</v>
      </c>
      <c r="D144" s="13" t="s">
        <v>1545</v>
      </c>
      <c r="E144" s="289"/>
      <c r="F144" s="416">
        <v>50400000</v>
      </c>
    </row>
    <row r="145" spans="1:6" ht="15" x14ac:dyDescent="0.3">
      <c r="A145" s="6">
        <v>45693</v>
      </c>
      <c r="B145" s="9" t="s">
        <v>1544</v>
      </c>
      <c r="C145" s="11" t="s">
        <v>1377</v>
      </c>
      <c r="D145" s="13" t="s">
        <v>1546</v>
      </c>
      <c r="E145" s="289"/>
      <c r="F145" s="416">
        <v>5544000</v>
      </c>
    </row>
    <row r="146" spans="1:6" ht="15" x14ac:dyDescent="0.3">
      <c r="A146" s="6">
        <v>45693</v>
      </c>
      <c r="B146" s="9" t="s">
        <v>1544</v>
      </c>
      <c r="C146" s="11" t="s">
        <v>1377</v>
      </c>
      <c r="D146" s="13" t="s">
        <v>1547</v>
      </c>
      <c r="E146" s="289"/>
      <c r="F146" s="335">
        <v>-1008000</v>
      </c>
    </row>
    <row r="147" spans="1:6" ht="15" x14ac:dyDescent="0.3">
      <c r="A147" s="6">
        <v>45693</v>
      </c>
      <c r="B147" s="9" t="s">
        <v>1544</v>
      </c>
      <c r="C147" s="11" t="s">
        <v>1377</v>
      </c>
      <c r="D147" s="13" t="s">
        <v>1548</v>
      </c>
      <c r="E147" s="289"/>
      <c r="F147" s="416">
        <v>2900</v>
      </c>
    </row>
    <row r="148" spans="1:6" ht="15" x14ac:dyDescent="0.3">
      <c r="A148" s="18">
        <v>45698</v>
      </c>
      <c r="B148" s="37" t="s">
        <v>1549</v>
      </c>
      <c r="C148" s="15" t="s">
        <v>1377</v>
      </c>
      <c r="D148" s="74" t="s">
        <v>1550</v>
      </c>
      <c r="E148" s="285"/>
      <c r="F148" s="430">
        <v>85730407</v>
      </c>
    </row>
    <row r="149" spans="1:6" ht="15" x14ac:dyDescent="0.3">
      <c r="A149" s="18">
        <v>45698</v>
      </c>
      <c r="B149" s="37" t="s">
        <v>1549</v>
      </c>
      <c r="C149" s="15" t="s">
        <v>1377</v>
      </c>
      <c r="D149" s="74" t="s">
        <v>1551</v>
      </c>
      <c r="E149" s="285"/>
      <c r="F149" s="430">
        <v>575750</v>
      </c>
    </row>
    <row r="150" spans="1:6" ht="15" x14ac:dyDescent="0.3">
      <c r="A150" s="6">
        <v>45729</v>
      </c>
      <c r="B150" s="9" t="s">
        <v>1552</v>
      </c>
      <c r="C150" s="11" t="s">
        <v>1377</v>
      </c>
      <c r="D150" s="12" t="s">
        <v>1553</v>
      </c>
      <c r="E150" s="289"/>
      <c r="F150" s="416">
        <v>10355000</v>
      </c>
    </row>
    <row r="151" spans="1:6" ht="15" x14ac:dyDescent="0.3">
      <c r="A151" s="6">
        <v>45729</v>
      </c>
      <c r="B151" s="9" t="s">
        <v>1552</v>
      </c>
      <c r="C151" s="11" t="s">
        <v>1377</v>
      </c>
      <c r="D151" s="12" t="s">
        <v>1554</v>
      </c>
      <c r="E151" s="289"/>
      <c r="F151" s="416">
        <v>1139050</v>
      </c>
    </row>
    <row r="152" spans="1:6" ht="15" x14ac:dyDescent="0.3">
      <c r="A152" s="6">
        <v>45729</v>
      </c>
      <c r="B152" s="9" t="s">
        <v>1552</v>
      </c>
      <c r="C152" s="11" t="s">
        <v>1377</v>
      </c>
      <c r="D152" s="12" t="s">
        <v>1000</v>
      </c>
      <c r="E152" s="289"/>
      <c r="F152" s="416">
        <v>2900</v>
      </c>
    </row>
    <row r="153" spans="1:6" ht="15" x14ac:dyDescent="0.3">
      <c r="A153" s="33">
        <v>45660</v>
      </c>
      <c r="B153" s="11" t="s">
        <v>1555</v>
      </c>
      <c r="C153" s="54" t="s">
        <v>1377</v>
      </c>
      <c r="D153" s="17" t="s">
        <v>1556</v>
      </c>
      <c r="E153" s="289"/>
      <c r="F153" s="416">
        <v>6100000</v>
      </c>
    </row>
    <row r="154" spans="1:6" ht="15" x14ac:dyDescent="0.3">
      <c r="A154" s="33">
        <v>45660</v>
      </c>
      <c r="B154" s="11" t="s">
        <v>1555</v>
      </c>
      <c r="C154" s="54" t="s">
        <v>1377</v>
      </c>
      <c r="D154" s="17" t="s">
        <v>1557</v>
      </c>
      <c r="E154" s="289"/>
      <c r="F154" s="416">
        <v>-122000</v>
      </c>
    </row>
    <row r="155" spans="1:6" ht="15" x14ac:dyDescent="0.3">
      <c r="A155" s="33">
        <v>45660</v>
      </c>
      <c r="B155" s="11" t="s">
        <v>1558</v>
      </c>
      <c r="C155" s="11" t="s">
        <v>1377</v>
      </c>
      <c r="D155" s="17" t="s">
        <v>1559</v>
      </c>
      <c r="E155" s="289"/>
      <c r="F155" s="416">
        <v>33923077</v>
      </c>
    </row>
    <row r="156" spans="1:6" ht="15" x14ac:dyDescent="0.3">
      <c r="A156" s="33">
        <v>45660</v>
      </c>
      <c r="B156" s="11" t="s">
        <v>1558</v>
      </c>
      <c r="C156" s="11" t="s">
        <v>1377</v>
      </c>
      <c r="D156" s="17" t="s">
        <v>1560</v>
      </c>
      <c r="E156" s="289"/>
      <c r="F156" s="416">
        <v>-848077</v>
      </c>
    </row>
    <row r="157" spans="1:6" ht="15" x14ac:dyDescent="0.3">
      <c r="A157" s="33">
        <v>45660</v>
      </c>
      <c r="B157" s="11" t="s">
        <v>1558</v>
      </c>
      <c r="C157" s="11" t="s">
        <v>1377</v>
      </c>
      <c r="D157" s="17" t="s">
        <v>105</v>
      </c>
      <c r="E157" s="289"/>
      <c r="F157" s="416">
        <v>2900</v>
      </c>
    </row>
    <row r="158" spans="1:6" ht="15" x14ac:dyDescent="0.3">
      <c r="A158" s="33">
        <v>45666</v>
      </c>
      <c r="B158" s="11" t="s">
        <v>1561</v>
      </c>
      <c r="C158" s="11" t="s">
        <v>1377</v>
      </c>
      <c r="D158" s="34" t="s">
        <v>1562</v>
      </c>
      <c r="E158" s="289"/>
      <c r="F158" s="416">
        <v>2000000</v>
      </c>
    </row>
    <row r="159" spans="1:6" ht="15" x14ac:dyDescent="0.3">
      <c r="A159" s="33">
        <v>45666</v>
      </c>
      <c r="B159" s="11" t="s">
        <v>1561</v>
      </c>
      <c r="C159" s="11" t="s">
        <v>1377</v>
      </c>
      <c r="D159" s="34" t="s">
        <v>1495</v>
      </c>
      <c r="E159" s="289"/>
      <c r="F159" s="416">
        <v>2900</v>
      </c>
    </row>
    <row r="160" spans="1:6" ht="15" x14ac:dyDescent="0.3">
      <c r="A160" s="33">
        <v>45667</v>
      </c>
      <c r="B160" s="11" t="s">
        <v>230</v>
      </c>
      <c r="C160" s="11" t="s">
        <v>1377</v>
      </c>
      <c r="D160" s="45" t="s">
        <v>1563</v>
      </c>
      <c r="E160" s="366"/>
      <c r="F160" s="424">
        <v>30000</v>
      </c>
    </row>
    <row r="161" spans="1:6" ht="15" x14ac:dyDescent="0.3">
      <c r="A161" s="33">
        <v>45667</v>
      </c>
      <c r="B161" s="11" t="s">
        <v>1564</v>
      </c>
      <c r="C161" s="54" t="s">
        <v>1377</v>
      </c>
      <c r="D161" s="17" t="s">
        <v>1565</v>
      </c>
      <c r="E161" s="289"/>
      <c r="F161" s="299">
        <v>1782050</v>
      </c>
    </row>
    <row r="162" spans="1:6" ht="15" x14ac:dyDescent="0.3">
      <c r="A162" s="33">
        <v>45667</v>
      </c>
      <c r="B162" s="11" t="s">
        <v>1564</v>
      </c>
      <c r="C162" s="54" t="s">
        <v>1377</v>
      </c>
      <c r="D162" s="17" t="s">
        <v>1566</v>
      </c>
      <c r="E162" s="289"/>
      <c r="F162" s="299">
        <v>2500</v>
      </c>
    </row>
    <row r="163" spans="1:6" ht="15" x14ac:dyDescent="0.3">
      <c r="A163" s="33">
        <v>45667</v>
      </c>
      <c r="B163" s="11" t="s">
        <v>1564</v>
      </c>
      <c r="C163" s="54" t="s">
        <v>1377</v>
      </c>
      <c r="D163" s="17" t="s">
        <v>1567</v>
      </c>
      <c r="E163" s="289"/>
      <c r="F163" s="299">
        <v>4250000</v>
      </c>
    </row>
    <row r="164" spans="1:6" ht="15" x14ac:dyDescent="0.3">
      <c r="A164" s="33">
        <v>45667</v>
      </c>
      <c r="B164" s="11" t="s">
        <v>1564</v>
      </c>
      <c r="C164" s="54" t="s">
        <v>1377</v>
      </c>
      <c r="D164" s="17" t="s">
        <v>1568</v>
      </c>
      <c r="E164" s="289"/>
      <c r="F164" s="289">
        <v>2500</v>
      </c>
    </row>
    <row r="165" spans="1:6" ht="15" x14ac:dyDescent="0.3">
      <c r="A165" s="33">
        <v>45667</v>
      </c>
      <c r="B165" s="11" t="s">
        <v>1564</v>
      </c>
      <c r="C165" s="54" t="s">
        <v>1377</v>
      </c>
      <c r="D165" s="17" t="s">
        <v>1569</v>
      </c>
      <c r="E165" s="289"/>
      <c r="F165" s="299">
        <v>8902690</v>
      </c>
    </row>
    <row r="166" spans="1:6" ht="15" x14ac:dyDescent="0.3">
      <c r="A166" s="33">
        <v>45667</v>
      </c>
      <c r="B166" s="11" t="s">
        <v>1564</v>
      </c>
      <c r="C166" s="54" t="s">
        <v>1377</v>
      </c>
      <c r="D166" s="17" t="s">
        <v>1570</v>
      </c>
      <c r="E166" s="289"/>
      <c r="F166" s="299">
        <v>2500</v>
      </c>
    </row>
    <row r="167" spans="1:6" ht="15" x14ac:dyDescent="0.3">
      <c r="A167" s="33">
        <v>45667</v>
      </c>
      <c r="B167" s="11" t="s">
        <v>1564</v>
      </c>
      <c r="C167" s="54" t="s">
        <v>1377</v>
      </c>
      <c r="D167" s="17" t="s">
        <v>1571</v>
      </c>
      <c r="E167" s="289"/>
      <c r="F167" s="299">
        <v>13500000</v>
      </c>
    </row>
    <row r="168" spans="1:6" ht="15" x14ac:dyDescent="0.3">
      <c r="A168" s="33">
        <v>45667</v>
      </c>
      <c r="B168" s="11" t="s">
        <v>1564</v>
      </c>
      <c r="C168" s="54" t="s">
        <v>1377</v>
      </c>
      <c r="D168" s="17" t="s">
        <v>1572</v>
      </c>
      <c r="E168" s="289"/>
      <c r="F168" s="299">
        <v>2500</v>
      </c>
    </row>
    <row r="169" spans="1:6" ht="15" x14ac:dyDescent="0.3">
      <c r="A169" s="33">
        <v>45667</v>
      </c>
      <c r="B169" s="11" t="s">
        <v>1564</v>
      </c>
      <c r="C169" s="54" t="s">
        <v>1377</v>
      </c>
      <c r="D169" s="17" t="s">
        <v>1573</v>
      </c>
      <c r="E169" s="289"/>
      <c r="F169" s="299">
        <v>4800000</v>
      </c>
    </row>
    <row r="170" spans="1:6" ht="15" x14ac:dyDescent="0.3">
      <c r="A170" s="33">
        <v>45667</v>
      </c>
      <c r="B170" s="11" t="s">
        <v>1564</v>
      </c>
      <c r="C170" s="54" t="s">
        <v>1377</v>
      </c>
      <c r="D170" s="17" t="s">
        <v>1574</v>
      </c>
      <c r="E170" s="289"/>
      <c r="F170" s="299">
        <v>2500</v>
      </c>
    </row>
    <row r="171" spans="1:6" ht="15" x14ac:dyDescent="0.3">
      <c r="A171" s="33">
        <v>45672</v>
      </c>
      <c r="B171" s="11" t="s">
        <v>1575</v>
      </c>
      <c r="C171" s="11" t="s">
        <v>1377</v>
      </c>
      <c r="D171" s="17" t="s">
        <v>1576</v>
      </c>
      <c r="E171" s="289"/>
      <c r="F171" s="416">
        <v>21600000</v>
      </c>
    </row>
    <row r="172" spans="1:6" ht="15" x14ac:dyDescent="0.3">
      <c r="A172" s="33">
        <v>45672</v>
      </c>
      <c r="B172" s="11" t="s">
        <v>1575</v>
      </c>
      <c r="C172" s="11" t="s">
        <v>1377</v>
      </c>
      <c r="D172" s="17" t="s">
        <v>1577</v>
      </c>
      <c r="E172" s="289"/>
      <c r="F172" s="416">
        <v>2376000</v>
      </c>
    </row>
    <row r="173" spans="1:6" ht="15" x14ac:dyDescent="0.3">
      <c r="A173" s="33">
        <v>45672</v>
      </c>
      <c r="B173" s="11" t="s">
        <v>1575</v>
      </c>
      <c r="C173" s="11" t="s">
        <v>1377</v>
      </c>
      <c r="D173" s="17" t="s">
        <v>1578</v>
      </c>
      <c r="E173" s="289"/>
      <c r="F173" s="416">
        <v>-432000</v>
      </c>
    </row>
    <row r="174" spans="1:6" ht="15" x14ac:dyDescent="0.3">
      <c r="A174" s="33">
        <v>45672</v>
      </c>
      <c r="B174" s="11" t="s">
        <v>1575</v>
      </c>
      <c r="C174" s="11" t="s">
        <v>1377</v>
      </c>
      <c r="D174" s="17" t="s">
        <v>937</v>
      </c>
      <c r="E174" s="289"/>
      <c r="F174" s="416">
        <v>2900</v>
      </c>
    </row>
    <row r="175" spans="1:6" ht="15" x14ac:dyDescent="0.3">
      <c r="A175" s="33">
        <v>45672</v>
      </c>
      <c r="B175" s="11" t="s">
        <v>1579</v>
      </c>
      <c r="C175" s="11" t="s">
        <v>1377</v>
      </c>
      <c r="D175" s="17" t="s">
        <v>1580</v>
      </c>
      <c r="E175" s="289"/>
      <c r="F175" s="416">
        <v>319000</v>
      </c>
    </row>
    <row r="176" spans="1:6" ht="15" x14ac:dyDescent="0.3">
      <c r="A176" s="33">
        <v>45672</v>
      </c>
      <c r="B176" s="11" t="s">
        <v>1579</v>
      </c>
      <c r="C176" s="11" t="s">
        <v>1377</v>
      </c>
      <c r="D176" s="17" t="s">
        <v>1581</v>
      </c>
      <c r="E176" s="289"/>
      <c r="F176" s="416">
        <v>35090</v>
      </c>
    </row>
    <row r="177" spans="1:6" ht="15" x14ac:dyDescent="0.3">
      <c r="A177" s="33">
        <v>45672</v>
      </c>
      <c r="B177" s="11" t="s">
        <v>1579</v>
      </c>
      <c r="C177" s="11" t="s">
        <v>1377</v>
      </c>
      <c r="D177" s="17" t="s">
        <v>1582</v>
      </c>
      <c r="E177" s="289"/>
      <c r="F177" s="416">
        <v>3710</v>
      </c>
    </row>
    <row r="178" spans="1:6" ht="15" x14ac:dyDescent="0.3">
      <c r="A178" s="33">
        <v>45672</v>
      </c>
      <c r="B178" s="11" t="s">
        <v>1583</v>
      </c>
      <c r="C178" s="11" t="s">
        <v>1377</v>
      </c>
      <c r="D178" s="17" t="s">
        <v>1584</v>
      </c>
      <c r="E178" s="289"/>
      <c r="F178" s="416">
        <v>15548718</v>
      </c>
    </row>
    <row r="179" spans="1:6" ht="15" x14ac:dyDescent="0.3">
      <c r="A179" s="33">
        <v>45672</v>
      </c>
      <c r="B179" s="11" t="s">
        <v>1583</v>
      </c>
      <c r="C179" s="11" t="s">
        <v>1377</v>
      </c>
      <c r="D179" s="17" t="s">
        <v>1585</v>
      </c>
      <c r="E179" s="289"/>
      <c r="F179" s="416">
        <v>-388718</v>
      </c>
    </row>
    <row r="180" spans="1:6" ht="15" x14ac:dyDescent="0.3">
      <c r="A180" s="33">
        <v>45672</v>
      </c>
      <c r="B180" s="11" t="s">
        <v>1583</v>
      </c>
      <c r="C180" s="11" t="s">
        <v>1377</v>
      </c>
      <c r="D180" s="17" t="s">
        <v>1586</v>
      </c>
      <c r="E180" s="289"/>
      <c r="F180" s="416">
        <v>2900</v>
      </c>
    </row>
    <row r="181" spans="1:6" ht="15" x14ac:dyDescent="0.3">
      <c r="A181" s="33">
        <v>45672</v>
      </c>
      <c r="B181" s="11" t="s">
        <v>663</v>
      </c>
      <c r="C181" s="54" t="s">
        <v>1377</v>
      </c>
      <c r="D181" s="17" t="s">
        <v>1587</v>
      </c>
      <c r="E181" s="289"/>
      <c r="F181" s="289">
        <v>210000</v>
      </c>
    </row>
    <row r="182" spans="1:6" ht="15" x14ac:dyDescent="0.3">
      <c r="A182" s="33">
        <v>45672</v>
      </c>
      <c r="B182" s="11" t="s">
        <v>663</v>
      </c>
      <c r="C182" s="54" t="s">
        <v>1377</v>
      </c>
      <c r="D182" s="17" t="s">
        <v>1588</v>
      </c>
      <c r="E182" s="289"/>
      <c r="F182" s="289">
        <v>2500</v>
      </c>
    </row>
    <row r="183" spans="1:6" ht="15" x14ac:dyDescent="0.3">
      <c r="A183" s="33">
        <v>45672</v>
      </c>
      <c r="B183" s="11" t="s">
        <v>663</v>
      </c>
      <c r="C183" s="54" t="s">
        <v>1377</v>
      </c>
      <c r="D183" s="17" t="s">
        <v>1589</v>
      </c>
      <c r="E183" s="289"/>
      <c r="F183" s="289">
        <v>4002000</v>
      </c>
    </row>
    <row r="184" spans="1:6" ht="15" x14ac:dyDescent="0.3">
      <c r="A184" s="33">
        <v>45672</v>
      </c>
      <c r="B184" s="11" t="s">
        <v>663</v>
      </c>
      <c r="C184" s="54" t="s">
        <v>1377</v>
      </c>
      <c r="D184" s="17" t="s">
        <v>1590</v>
      </c>
      <c r="E184" s="289"/>
      <c r="F184" s="289">
        <v>2500</v>
      </c>
    </row>
    <row r="185" spans="1:6" ht="15" x14ac:dyDescent="0.3">
      <c r="A185" s="33">
        <v>45672</v>
      </c>
      <c r="B185" s="11" t="s">
        <v>663</v>
      </c>
      <c r="C185" s="54" t="s">
        <v>1377</v>
      </c>
      <c r="D185" s="17" t="s">
        <v>1591</v>
      </c>
      <c r="E185" s="289"/>
      <c r="F185" s="289">
        <v>2500000</v>
      </c>
    </row>
    <row r="186" spans="1:6" ht="15" x14ac:dyDescent="0.3">
      <c r="A186" s="33">
        <v>45672</v>
      </c>
      <c r="B186" s="11" t="s">
        <v>663</v>
      </c>
      <c r="C186" s="54" t="s">
        <v>1377</v>
      </c>
      <c r="D186" s="17" t="s">
        <v>1592</v>
      </c>
      <c r="E186" s="289"/>
      <c r="F186" s="289">
        <v>2500</v>
      </c>
    </row>
    <row r="187" spans="1:6" ht="15" x14ac:dyDescent="0.3">
      <c r="A187" s="33">
        <v>45672</v>
      </c>
      <c r="B187" s="11" t="s">
        <v>663</v>
      </c>
      <c r="C187" s="54" t="s">
        <v>1377</v>
      </c>
      <c r="D187" s="17" t="s">
        <v>1593</v>
      </c>
      <c r="E187" s="289"/>
      <c r="F187" s="289">
        <v>110000</v>
      </c>
    </row>
    <row r="188" spans="1:6" ht="15" x14ac:dyDescent="0.3">
      <c r="A188" s="33">
        <v>45672</v>
      </c>
      <c r="B188" s="11" t="s">
        <v>663</v>
      </c>
      <c r="C188" s="54" t="s">
        <v>1377</v>
      </c>
      <c r="D188" s="17" t="s">
        <v>1594</v>
      </c>
      <c r="E188" s="289"/>
      <c r="F188" s="289">
        <v>2500</v>
      </c>
    </row>
    <row r="189" spans="1:6" ht="15" x14ac:dyDescent="0.3">
      <c r="A189" s="33">
        <v>45672</v>
      </c>
      <c r="B189" s="11" t="s">
        <v>663</v>
      </c>
      <c r="C189" s="54" t="s">
        <v>1377</v>
      </c>
      <c r="D189" s="17" t="s">
        <v>1595</v>
      </c>
      <c r="E189" s="289"/>
      <c r="F189" s="289">
        <v>35000</v>
      </c>
    </row>
    <row r="190" spans="1:6" ht="15" x14ac:dyDescent="0.3">
      <c r="A190" s="33">
        <v>45672</v>
      </c>
      <c r="B190" s="11" t="s">
        <v>663</v>
      </c>
      <c r="C190" s="54" t="s">
        <v>1377</v>
      </c>
      <c r="D190" s="17" t="s">
        <v>1596</v>
      </c>
      <c r="E190" s="289"/>
      <c r="F190" s="289">
        <v>2500</v>
      </c>
    </row>
    <row r="191" spans="1:6" ht="15" x14ac:dyDescent="0.3">
      <c r="A191" s="33">
        <v>45672</v>
      </c>
      <c r="B191" s="11" t="s">
        <v>663</v>
      </c>
      <c r="C191" s="54" t="s">
        <v>1377</v>
      </c>
      <c r="D191" s="17" t="s">
        <v>1597</v>
      </c>
      <c r="E191" s="289"/>
      <c r="F191" s="289">
        <v>146000</v>
      </c>
    </row>
    <row r="192" spans="1:6" ht="15" x14ac:dyDescent="0.3">
      <c r="A192" s="33">
        <v>45672</v>
      </c>
      <c r="B192" s="11" t="s">
        <v>663</v>
      </c>
      <c r="C192" s="54" t="s">
        <v>1377</v>
      </c>
      <c r="D192" s="17" t="s">
        <v>1598</v>
      </c>
      <c r="E192" s="289"/>
      <c r="F192" s="289">
        <v>2500</v>
      </c>
    </row>
    <row r="193" spans="1:6" ht="15" x14ac:dyDescent="0.3">
      <c r="A193" s="33">
        <v>45674</v>
      </c>
      <c r="B193" s="11" t="s">
        <v>235</v>
      </c>
      <c r="C193" s="11" t="s">
        <v>1377</v>
      </c>
      <c r="D193" s="34" t="s">
        <v>1599</v>
      </c>
      <c r="E193" s="289"/>
      <c r="F193" s="416">
        <v>100000</v>
      </c>
    </row>
    <row r="194" spans="1:6" ht="15" x14ac:dyDescent="0.3">
      <c r="A194" s="33">
        <v>45674</v>
      </c>
      <c r="B194" s="11" t="s">
        <v>1014</v>
      </c>
      <c r="C194" s="11" t="s">
        <v>1377</v>
      </c>
      <c r="D194" s="34" t="s">
        <v>1600</v>
      </c>
      <c r="E194" s="289"/>
      <c r="F194" s="416">
        <v>718210</v>
      </c>
    </row>
    <row r="195" spans="1:6" ht="15" x14ac:dyDescent="0.3">
      <c r="A195" s="33">
        <v>45674</v>
      </c>
      <c r="B195" s="11" t="s">
        <v>1014</v>
      </c>
      <c r="C195" s="11" t="s">
        <v>1377</v>
      </c>
      <c r="D195" s="34" t="s">
        <v>1016</v>
      </c>
      <c r="E195" s="289"/>
      <c r="F195" s="416">
        <v>102500</v>
      </c>
    </row>
    <row r="196" spans="1:6" ht="15" x14ac:dyDescent="0.3">
      <c r="A196" s="33">
        <v>45674</v>
      </c>
      <c r="B196" s="11" t="s">
        <v>1014</v>
      </c>
      <c r="C196" s="11" t="s">
        <v>1377</v>
      </c>
      <c r="D196" s="34" t="s">
        <v>1601</v>
      </c>
      <c r="E196" s="289"/>
      <c r="F196" s="416">
        <v>660000</v>
      </c>
    </row>
    <row r="197" spans="1:6" ht="15" x14ac:dyDescent="0.3">
      <c r="A197" s="33">
        <v>45674</v>
      </c>
      <c r="B197" s="11" t="s">
        <v>1014</v>
      </c>
      <c r="C197" s="11" t="s">
        <v>1377</v>
      </c>
      <c r="D197" s="34" t="s">
        <v>1602</v>
      </c>
      <c r="E197" s="289"/>
      <c r="F197" s="416">
        <v>330000</v>
      </c>
    </row>
    <row r="198" spans="1:6" ht="15" x14ac:dyDescent="0.3">
      <c r="A198" s="33">
        <v>45674</v>
      </c>
      <c r="B198" s="11" t="s">
        <v>1014</v>
      </c>
      <c r="C198" s="11" t="s">
        <v>1377</v>
      </c>
      <c r="D198" s="34" t="s">
        <v>1603</v>
      </c>
      <c r="E198" s="289"/>
      <c r="F198" s="416">
        <v>496940</v>
      </c>
    </row>
    <row r="199" spans="1:6" ht="15" x14ac:dyDescent="0.3">
      <c r="A199" s="33">
        <v>45674</v>
      </c>
      <c r="B199" s="11" t="s">
        <v>1014</v>
      </c>
      <c r="C199" s="11" t="s">
        <v>1377</v>
      </c>
      <c r="D199" s="34" t="s">
        <v>1604</v>
      </c>
      <c r="E199" s="289"/>
      <c r="F199" s="416">
        <v>20000</v>
      </c>
    </row>
    <row r="200" spans="1:6" ht="15" x14ac:dyDescent="0.3">
      <c r="A200" s="33">
        <v>45674</v>
      </c>
      <c r="B200" s="11" t="s">
        <v>1014</v>
      </c>
      <c r="C200" s="11" t="s">
        <v>1377</v>
      </c>
      <c r="D200" s="34" t="s">
        <v>1605</v>
      </c>
      <c r="E200" s="289"/>
      <c r="F200" s="416">
        <v>118100</v>
      </c>
    </row>
    <row r="201" spans="1:6" ht="15" x14ac:dyDescent="0.3">
      <c r="A201" s="33">
        <v>45674</v>
      </c>
      <c r="B201" s="11" t="s">
        <v>1020</v>
      </c>
      <c r="C201" s="11" t="s">
        <v>1377</v>
      </c>
      <c r="D201" s="34" t="s">
        <v>1606</v>
      </c>
      <c r="E201" s="289"/>
      <c r="F201" s="416">
        <v>938400</v>
      </c>
    </row>
    <row r="202" spans="1:6" ht="15" x14ac:dyDescent="0.3">
      <c r="A202" s="33">
        <v>45674</v>
      </c>
      <c r="B202" s="11" t="s">
        <v>1020</v>
      </c>
      <c r="C202" s="11" t="s">
        <v>1377</v>
      </c>
      <c r="D202" s="34" t="s">
        <v>1607</v>
      </c>
      <c r="E202" s="289"/>
      <c r="F202" s="416">
        <v>2500</v>
      </c>
    </row>
    <row r="203" spans="1:6" ht="15" x14ac:dyDescent="0.3">
      <c r="A203" s="33">
        <v>45674</v>
      </c>
      <c r="B203" s="11" t="s">
        <v>1020</v>
      </c>
      <c r="C203" s="11" t="s">
        <v>1377</v>
      </c>
      <c r="D203" s="34" t="s">
        <v>1608</v>
      </c>
      <c r="E203" s="289"/>
      <c r="F203" s="416">
        <v>120000</v>
      </c>
    </row>
    <row r="204" spans="1:6" ht="15" x14ac:dyDescent="0.3">
      <c r="A204" s="33">
        <v>45674</v>
      </c>
      <c r="B204" s="11" t="s">
        <v>1020</v>
      </c>
      <c r="C204" s="11" t="s">
        <v>1377</v>
      </c>
      <c r="D204" s="34" t="s">
        <v>1609</v>
      </c>
      <c r="E204" s="289"/>
      <c r="F204" s="416">
        <v>2500</v>
      </c>
    </row>
    <row r="205" spans="1:6" ht="15" x14ac:dyDescent="0.3">
      <c r="A205" s="33">
        <v>45674</v>
      </c>
      <c r="B205" s="11" t="s">
        <v>1020</v>
      </c>
      <c r="C205" s="11" t="s">
        <v>1377</v>
      </c>
      <c r="D205" s="34" t="s">
        <v>1610</v>
      </c>
      <c r="E205" s="289"/>
      <c r="F205" s="416">
        <v>600000</v>
      </c>
    </row>
    <row r="206" spans="1:6" ht="15" x14ac:dyDescent="0.3">
      <c r="A206" s="33">
        <v>45674</v>
      </c>
      <c r="B206" s="11" t="s">
        <v>1020</v>
      </c>
      <c r="C206" s="11" t="s">
        <v>1377</v>
      </c>
      <c r="D206" s="34" t="s">
        <v>1611</v>
      </c>
      <c r="E206" s="289"/>
      <c r="F206" s="416">
        <v>2500</v>
      </c>
    </row>
    <row r="207" spans="1:6" ht="15" x14ac:dyDescent="0.3">
      <c r="A207" s="33">
        <v>45674</v>
      </c>
      <c r="B207" s="11" t="s">
        <v>1020</v>
      </c>
      <c r="C207" s="11" t="s">
        <v>1377</v>
      </c>
      <c r="D207" s="34" t="s">
        <v>1612</v>
      </c>
      <c r="E207" s="289"/>
      <c r="F207" s="416">
        <v>2700000</v>
      </c>
    </row>
    <row r="208" spans="1:6" ht="15" x14ac:dyDescent="0.3">
      <c r="A208" s="33">
        <v>45674</v>
      </c>
      <c r="B208" s="11" t="s">
        <v>1020</v>
      </c>
      <c r="C208" s="11" t="s">
        <v>1377</v>
      </c>
      <c r="D208" s="34" t="s">
        <v>1613</v>
      </c>
      <c r="E208" s="289"/>
      <c r="F208" s="416">
        <v>2500</v>
      </c>
    </row>
    <row r="209" spans="1:6" ht="15" x14ac:dyDescent="0.3">
      <c r="A209" s="33">
        <v>45674</v>
      </c>
      <c r="B209" s="11" t="s">
        <v>1020</v>
      </c>
      <c r="C209" s="11" t="s">
        <v>1377</v>
      </c>
      <c r="D209" s="34" t="s">
        <v>1614</v>
      </c>
      <c r="E209" s="289"/>
      <c r="F209" s="416">
        <v>8000000</v>
      </c>
    </row>
    <row r="210" spans="1:6" ht="15" x14ac:dyDescent="0.3">
      <c r="A210" s="33">
        <v>45674</v>
      </c>
      <c r="B210" s="11" t="s">
        <v>1020</v>
      </c>
      <c r="C210" s="11" t="s">
        <v>1377</v>
      </c>
      <c r="D210" s="34" t="s">
        <v>1615</v>
      </c>
      <c r="E210" s="289"/>
      <c r="F210" s="416">
        <v>-160000</v>
      </c>
    </row>
    <row r="211" spans="1:6" ht="15" x14ac:dyDescent="0.3">
      <c r="A211" s="33">
        <v>45674</v>
      </c>
      <c r="B211" s="11" t="s">
        <v>1020</v>
      </c>
      <c r="C211" s="11" t="s">
        <v>1377</v>
      </c>
      <c r="D211" s="34" t="s">
        <v>1616</v>
      </c>
      <c r="E211" s="289"/>
      <c r="F211" s="416">
        <v>5000</v>
      </c>
    </row>
    <row r="212" spans="1:6" ht="15" x14ac:dyDescent="0.3">
      <c r="A212" s="33">
        <v>45674</v>
      </c>
      <c r="B212" s="11" t="s">
        <v>1020</v>
      </c>
      <c r="C212" s="11" t="s">
        <v>1377</v>
      </c>
      <c r="D212" s="34" t="s">
        <v>1617</v>
      </c>
      <c r="E212" s="289"/>
      <c r="F212" s="416">
        <v>13500000</v>
      </c>
    </row>
    <row r="213" spans="1:6" ht="15" x14ac:dyDescent="0.3">
      <c r="A213" s="33">
        <v>45674</v>
      </c>
      <c r="B213" s="11" t="s">
        <v>1020</v>
      </c>
      <c r="C213" s="11" t="s">
        <v>1377</v>
      </c>
      <c r="D213" s="34" t="s">
        <v>1618</v>
      </c>
      <c r="E213" s="289"/>
      <c r="F213" s="416">
        <v>1485000</v>
      </c>
    </row>
    <row r="214" spans="1:6" ht="15" x14ac:dyDescent="0.3">
      <c r="A214" s="33">
        <v>45674</v>
      </c>
      <c r="B214" s="11" t="s">
        <v>1020</v>
      </c>
      <c r="C214" s="11" t="s">
        <v>1377</v>
      </c>
      <c r="D214" s="34" t="s">
        <v>1619</v>
      </c>
      <c r="E214" s="289"/>
      <c r="F214" s="416">
        <v>-270000</v>
      </c>
    </row>
    <row r="215" spans="1:6" ht="15" x14ac:dyDescent="0.3">
      <c r="A215" s="33">
        <v>45674</v>
      </c>
      <c r="B215" s="11" t="s">
        <v>1020</v>
      </c>
      <c r="C215" s="11" t="s">
        <v>1377</v>
      </c>
      <c r="D215" s="34" t="s">
        <v>1620</v>
      </c>
      <c r="E215" s="289"/>
      <c r="F215" s="416">
        <v>2500</v>
      </c>
    </row>
    <row r="216" spans="1:6" ht="15" x14ac:dyDescent="0.3">
      <c r="A216" s="33">
        <v>45677</v>
      </c>
      <c r="B216" s="11" t="s">
        <v>1621</v>
      </c>
      <c r="C216" s="11" t="s">
        <v>1377</v>
      </c>
      <c r="D216" s="34" t="s">
        <v>1622</v>
      </c>
      <c r="E216" s="289"/>
      <c r="F216" s="416">
        <v>66503821</v>
      </c>
    </row>
    <row r="217" spans="1:6" ht="15" x14ac:dyDescent="0.3">
      <c r="A217" s="33">
        <v>45677</v>
      </c>
      <c r="B217" s="11" t="s">
        <v>1621</v>
      </c>
      <c r="C217" s="11" t="s">
        <v>1377</v>
      </c>
      <c r="D217" s="34" t="s">
        <v>1623</v>
      </c>
      <c r="E217" s="289"/>
      <c r="F217" s="416">
        <v>15114425</v>
      </c>
    </row>
    <row r="218" spans="1:6" ht="15" x14ac:dyDescent="0.3">
      <c r="A218" s="33">
        <v>45679</v>
      </c>
      <c r="B218" s="11" t="s">
        <v>1024</v>
      </c>
      <c r="C218" s="11" t="s">
        <v>1377</v>
      </c>
      <c r="D218" s="34" t="s">
        <v>1624</v>
      </c>
      <c r="E218" s="289"/>
      <c r="F218" s="416">
        <v>2078000</v>
      </c>
    </row>
    <row r="219" spans="1:6" ht="15" x14ac:dyDescent="0.3">
      <c r="A219" s="33">
        <v>45679</v>
      </c>
      <c r="B219" s="11" t="s">
        <v>1024</v>
      </c>
      <c r="C219" s="11" t="s">
        <v>1377</v>
      </c>
      <c r="D219" s="34" t="s">
        <v>1625</v>
      </c>
      <c r="E219" s="289"/>
      <c r="F219" s="416">
        <v>2500</v>
      </c>
    </row>
    <row r="220" spans="1:6" ht="15" x14ac:dyDescent="0.3">
      <c r="A220" s="33">
        <v>45679</v>
      </c>
      <c r="B220" s="11" t="s">
        <v>1024</v>
      </c>
      <c r="C220" s="11" t="s">
        <v>1377</v>
      </c>
      <c r="D220" s="34" t="s">
        <v>1626</v>
      </c>
      <c r="E220" s="289"/>
      <c r="F220" s="416">
        <v>8200000</v>
      </c>
    </row>
    <row r="221" spans="1:6" ht="15" x14ac:dyDescent="0.3">
      <c r="A221" s="33">
        <v>45679</v>
      </c>
      <c r="B221" s="11" t="s">
        <v>1024</v>
      </c>
      <c r="C221" s="11" t="s">
        <v>1377</v>
      </c>
      <c r="D221" s="34" t="s">
        <v>1627</v>
      </c>
      <c r="E221" s="289"/>
      <c r="F221" s="416">
        <v>221600</v>
      </c>
    </row>
    <row r="222" spans="1:6" ht="15" x14ac:dyDescent="0.3">
      <c r="A222" s="33">
        <v>45679</v>
      </c>
      <c r="B222" s="11" t="s">
        <v>1024</v>
      </c>
      <c r="C222" s="11" t="s">
        <v>1377</v>
      </c>
      <c r="D222" s="34" t="s">
        <v>1628</v>
      </c>
      <c r="E222" s="289"/>
      <c r="F222" s="416">
        <v>2500</v>
      </c>
    </row>
    <row r="223" spans="1:6" ht="15" x14ac:dyDescent="0.3">
      <c r="A223" s="33">
        <v>45679</v>
      </c>
      <c r="B223" s="11" t="s">
        <v>1024</v>
      </c>
      <c r="C223" s="11" t="s">
        <v>1377</v>
      </c>
      <c r="D223" s="34" t="s">
        <v>1629</v>
      </c>
      <c r="E223" s="289"/>
      <c r="F223" s="416">
        <v>3591000</v>
      </c>
    </row>
    <row r="224" spans="1:6" ht="15" x14ac:dyDescent="0.3">
      <c r="A224" s="33">
        <v>45679</v>
      </c>
      <c r="B224" s="11" t="s">
        <v>1024</v>
      </c>
      <c r="C224" s="11" t="s">
        <v>1377</v>
      </c>
      <c r="D224" s="34" t="s">
        <v>1630</v>
      </c>
      <c r="E224" s="289"/>
      <c r="F224" s="416">
        <v>2500</v>
      </c>
    </row>
    <row r="225" spans="1:6" ht="15" x14ac:dyDescent="0.3">
      <c r="A225" s="33">
        <v>45679</v>
      </c>
      <c r="B225" s="11" t="s">
        <v>1024</v>
      </c>
      <c r="C225" s="11" t="s">
        <v>1377</v>
      </c>
      <c r="D225" s="34" t="s">
        <v>1631</v>
      </c>
      <c r="E225" s="289"/>
      <c r="F225" s="416">
        <v>2015000</v>
      </c>
    </row>
    <row r="226" spans="1:6" ht="15" x14ac:dyDescent="0.3">
      <c r="A226" s="33">
        <v>45679</v>
      </c>
      <c r="B226" s="11" t="s">
        <v>1024</v>
      </c>
      <c r="C226" s="11" t="s">
        <v>1377</v>
      </c>
      <c r="D226" s="34" t="s">
        <v>1632</v>
      </c>
      <c r="E226" s="289"/>
      <c r="F226" s="416">
        <v>2500</v>
      </c>
    </row>
    <row r="227" spans="1:6" ht="15" x14ac:dyDescent="0.3">
      <c r="A227" s="33">
        <v>45679</v>
      </c>
      <c r="B227" s="11" t="s">
        <v>1024</v>
      </c>
      <c r="C227" s="11" t="s">
        <v>1377</v>
      </c>
      <c r="D227" s="34" t="s">
        <v>1633</v>
      </c>
      <c r="E227" s="289"/>
      <c r="F227" s="416">
        <v>1140000</v>
      </c>
    </row>
    <row r="228" spans="1:6" ht="15" x14ac:dyDescent="0.3">
      <c r="A228" s="33">
        <v>45679</v>
      </c>
      <c r="B228" s="11" t="s">
        <v>1024</v>
      </c>
      <c r="C228" s="11" t="s">
        <v>1377</v>
      </c>
      <c r="D228" s="34" t="s">
        <v>1634</v>
      </c>
      <c r="E228" s="289"/>
      <c r="F228" s="416">
        <v>2500</v>
      </c>
    </row>
    <row r="229" spans="1:6" ht="15" x14ac:dyDescent="0.3">
      <c r="A229" s="33">
        <v>45680</v>
      </c>
      <c r="B229" s="11" t="s">
        <v>1635</v>
      </c>
      <c r="C229" s="11" t="s">
        <v>1377</v>
      </c>
      <c r="D229" s="34" t="s">
        <v>1636</v>
      </c>
      <c r="E229" s="289"/>
      <c r="F229" s="416">
        <v>12947179</v>
      </c>
    </row>
    <row r="230" spans="1:6" ht="15" x14ac:dyDescent="0.3">
      <c r="A230" s="33">
        <v>45680</v>
      </c>
      <c r="B230" s="11" t="s">
        <v>1635</v>
      </c>
      <c r="C230" s="11" t="s">
        <v>1377</v>
      </c>
      <c r="D230" s="34" t="s">
        <v>1637</v>
      </c>
      <c r="E230" s="289"/>
      <c r="F230" s="416">
        <v>-323679</v>
      </c>
    </row>
    <row r="231" spans="1:6" ht="15" x14ac:dyDescent="0.3">
      <c r="A231" s="33">
        <v>45680</v>
      </c>
      <c r="B231" s="11" t="s">
        <v>1635</v>
      </c>
      <c r="C231" s="11" t="s">
        <v>1377</v>
      </c>
      <c r="D231" s="34" t="s">
        <v>1586</v>
      </c>
      <c r="E231" s="289"/>
      <c r="F231" s="416">
        <v>2900</v>
      </c>
    </row>
    <row r="232" spans="1:6" ht="15" x14ac:dyDescent="0.3">
      <c r="A232" s="33">
        <v>45681</v>
      </c>
      <c r="B232" s="11" t="s">
        <v>684</v>
      </c>
      <c r="C232" s="11" t="s">
        <v>1377</v>
      </c>
      <c r="D232" s="34" t="s">
        <v>1638</v>
      </c>
      <c r="E232" s="289"/>
      <c r="F232" s="289">
        <v>120000</v>
      </c>
    </row>
    <row r="233" spans="1:6" ht="15" x14ac:dyDescent="0.3">
      <c r="A233" s="33">
        <v>45681</v>
      </c>
      <c r="B233" s="11" t="s">
        <v>686</v>
      </c>
      <c r="C233" s="11" t="s">
        <v>1377</v>
      </c>
      <c r="D233" s="34" t="s">
        <v>1639</v>
      </c>
      <c r="E233" s="289"/>
      <c r="F233" s="416">
        <v>1000000</v>
      </c>
    </row>
    <row r="234" spans="1:6" ht="15" x14ac:dyDescent="0.3">
      <c r="A234" s="33">
        <v>45681</v>
      </c>
      <c r="B234" s="11" t="s">
        <v>686</v>
      </c>
      <c r="C234" s="11" t="s">
        <v>1377</v>
      </c>
      <c r="D234" s="34" t="s">
        <v>105</v>
      </c>
      <c r="E234" s="289"/>
      <c r="F234" s="416">
        <v>2500</v>
      </c>
    </row>
    <row r="235" spans="1:6" ht="15" x14ac:dyDescent="0.3">
      <c r="A235" s="33">
        <v>45681</v>
      </c>
      <c r="B235" s="11" t="s">
        <v>686</v>
      </c>
      <c r="C235" s="11" t="s">
        <v>1377</v>
      </c>
      <c r="D235" s="34" t="s">
        <v>1640</v>
      </c>
      <c r="E235" s="289"/>
      <c r="F235" s="416">
        <v>4000000</v>
      </c>
    </row>
    <row r="236" spans="1:6" ht="15" x14ac:dyDescent="0.3">
      <c r="A236" s="33">
        <v>45681</v>
      </c>
      <c r="B236" s="11" t="s">
        <v>686</v>
      </c>
      <c r="C236" s="11" t="s">
        <v>1377</v>
      </c>
      <c r="D236" s="34" t="s">
        <v>1641</v>
      </c>
      <c r="E236" s="289"/>
      <c r="F236" s="289">
        <v>-100000</v>
      </c>
    </row>
    <row r="237" spans="1:6" ht="15" x14ac:dyDescent="0.3">
      <c r="A237" s="33">
        <v>45681</v>
      </c>
      <c r="B237" s="11" t="s">
        <v>686</v>
      </c>
      <c r="C237" s="11" t="s">
        <v>1377</v>
      </c>
      <c r="D237" s="34" t="s">
        <v>1642</v>
      </c>
      <c r="E237" s="289"/>
      <c r="F237" s="416">
        <v>2500</v>
      </c>
    </row>
    <row r="238" spans="1:6" ht="15" x14ac:dyDescent="0.3">
      <c r="A238" s="33">
        <v>45681</v>
      </c>
      <c r="B238" s="11" t="s">
        <v>686</v>
      </c>
      <c r="C238" s="11" t="s">
        <v>1377</v>
      </c>
      <c r="D238" s="34" t="s">
        <v>1643</v>
      </c>
      <c r="E238" s="289"/>
      <c r="F238" s="416">
        <v>2742000</v>
      </c>
    </row>
    <row r="239" spans="1:6" ht="15" x14ac:dyDescent="0.3">
      <c r="A239" s="33">
        <v>45681</v>
      </c>
      <c r="B239" s="11" t="s">
        <v>686</v>
      </c>
      <c r="C239" s="11" t="s">
        <v>1377</v>
      </c>
      <c r="D239" s="34" t="s">
        <v>1644</v>
      </c>
      <c r="E239" s="289"/>
      <c r="F239" s="416">
        <v>2500</v>
      </c>
    </row>
    <row r="240" spans="1:6" ht="15" x14ac:dyDescent="0.3">
      <c r="A240" s="33">
        <v>45681</v>
      </c>
      <c r="B240" s="11" t="s">
        <v>686</v>
      </c>
      <c r="C240" s="11" t="s">
        <v>1377</v>
      </c>
      <c r="D240" s="34" t="s">
        <v>1645</v>
      </c>
      <c r="E240" s="289"/>
      <c r="F240" s="416">
        <v>765000</v>
      </c>
    </row>
    <row r="241" spans="1:6" ht="15" x14ac:dyDescent="0.3">
      <c r="A241" s="33">
        <v>45681</v>
      </c>
      <c r="B241" s="11" t="s">
        <v>686</v>
      </c>
      <c r="C241" s="11" t="s">
        <v>1377</v>
      </c>
      <c r="D241" s="34" t="s">
        <v>1646</v>
      </c>
      <c r="E241" s="289"/>
      <c r="F241" s="416">
        <v>2500</v>
      </c>
    </row>
    <row r="242" spans="1:6" ht="15" x14ac:dyDescent="0.3">
      <c r="A242" s="33">
        <v>45681</v>
      </c>
      <c r="B242" s="11" t="s">
        <v>1647</v>
      </c>
      <c r="C242" s="11" t="s">
        <v>1377</v>
      </c>
      <c r="D242" s="34" t="s">
        <v>1648</v>
      </c>
      <c r="E242" s="289"/>
      <c r="F242" s="416">
        <v>747500</v>
      </c>
    </row>
    <row r="243" spans="1:6" ht="15" x14ac:dyDescent="0.3">
      <c r="A243" s="33">
        <v>45681</v>
      </c>
      <c r="B243" s="11" t="s">
        <v>1647</v>
      </c>
      <c r="C243" s="11" t="s">
        <v>1377</v>
      </c>
      <c r="D243" s="34" t="s">
        <v>1649</v>
      </c>
      <c r="E243" s="289"/>
      <c r="F243" s="416">
        <v>1145000</v>
      </c>
    </row>
    <row r="244" spans="1:6" ht="15" x14ac:dyDescent="0.3">
      <c r="A244" s="33">
        <v>45681</v>
      </c>
      <c r="B244" s="11" t="s">
        <v>1647</v>
      </c>
      <c r="C244" s="11" t="s">
        <v>1377</v>
      </c>
      <c r="D244" s="34" t="s">
        <v>1650</v>
      </c>
      <c r="E244" s="289"/>
      <c r="F244" s="416">
        <v>50000</v>
      </c>
    </row>
    <row r="245" spans="1:6" ht="15" x14ac:dyDescent="0.3">
      <c r="A245" s="33">
        <v>45681</v>
      </c>
      <c r="B245" s="11" t="s">
        <v>1651</v>
      </c>
      <c r="C245" s="11" t="s">
        <v>1377</v>
      </c>
      <c r="D245" s="34" t="s">
        <v>1648</v>
      </c>
      <c r="E245" s="289"/>
      <c r="F245" s="416">
        <v>239500</v>
      </c>
    </row>
    <row r="246" spans="1:6" ht="15" x14ac:dyDescent="0.3">
      <c r="A246" s="33">
        <v>45681</v>
      </c>
      <c r="B246" s="11" t="s">
        <v>1651</v>
      </c>
      <c r="C246" s="11" t="s">
        <v>1377</v>
      </c>
      <c r="D246" s="34" t="s">
        <v>1649</v>
      </c>
      <c r="E246" s="289"/>
      <c r="F246" s="416">
        <v>100000</v>
      </c>
    </row>
    <row r="247" spans="1:6" ht="15" x14ac:dyDescent="0.3">
      <c r="A247" s="33">
        <v>45681</v>
      </c>
      <c r="B247" s="11" t="s">
        <v>1651</v>
      </c>
      <c r="C247" s="11" t="s">
        <v>1377</v>
      </c>
      <c r="D247" s="34" t="s">
        <v>1652</v>
      </c>
      <c r="E247" s="289"/>
      <c r="F247" s="416">
        <v>124000</v>
      </c>
    </row>
    <row r="248" spans="1:6" ht="15" x14ac:dyDescent="0.3">
      <c r="A248" s="33">
        <v>45681</v>
      </c>
      <c r="B248" s="11" t="s">
        <v>1651</v>
      </c>
      <c r="C248" s="11" t="s">
        <v>1377</v>
      </c>
      <c r="D248" s="34" t="s">
        <v>1653</v>
      </c>
      <c r="E248" s="289"/>
      <c r="F248" s="416">
        <v>272000</v>
      </c>
    </row>
    <row r="249" spans="1:6" ht="15" x14ac:dyDescent="0.3">
      <c r="A249" s="33">
        <v>45687</v>
      </c>
      <c r="B249" s="11" t="s">
        <v>1654</v>
      </c>
      <c r="C249" s="11" t="s">
        <v>1377</v>
      </c>
      <c r="D249" s="34" t="s">
        <v>1655</v>
      </c>
      <c r="E249" s="289"/>
      <c r="F249" s="416">
        <v>11500000</v>
      </c>
    </row>
    <row r="250" spans="1:6" ht="15" x14ac:dyDescent="0.3">
      <c r="A250" s="33">
        <v>45687</v>
      </c>
      <c r="B250" s="11" t="s">
        <v>1654</v>
      </c>
      <c r="C250" s="11" t="s">
        <v>1377</v>
      </c>
      <c r="D250" s="34" t="s">
        <v>105</v>
      </c>
      <c r="E250" s="289"/>
      <c r="F250" s="416">
        <v>2900</v>
      </c>
    </row>
    <row r="251" spans="1:6" ht="15" x14ac:dyDescent="0.3">
      <c r="A251" s="33">
        <v>45687</v>
      </c>
      <c r="B251" s="11" t="s">
        <v>1037</v>
      </c>
      <c r="C251" s="11" t="s">
        <v>1377</v>
      </c>
      <c r="D251" s="34" t="s">
        <v>24</v>
      </c>
      <c r="E251" s="289"/>
      <c r="F251" s="416">
        <v>212000</v>
      </c>
    </row>
    <row r="252" spans="1:6" ht="15" x14ac:dyDescent="0.3">
      <c r="A252" s="33">
        <v>45687</v>
      </c>
      <c r="B252" s="11" t="s">
        <v>1037</v>
      </c>
      <c r="C252" s="11" t="s">
        <v>1377</v>
      </c>
      <c r="D252" s="34" t="s">
        <v>25</v>
      </c>
      <c r="E252" s="289"/>
      <c r="F252" s="416">
        <v>300000</v>
      </c>
    </row>
    <row r="253" spans="1:6" ht="15" x14ac:dyDescent="0.3">
      <c r="A253" s="33">
        <v>45687</v>
      </c>
      <c r="B253" s="11" t="s">
        <v>1037</v>
      </c>
      <c r="C253" s="11" t="s">
        <v>1377</v>
      </c>
      <c r="D253" s="34" t="s">
        <v>1068</v>
      </c>
      <c r="E253" s="289"/>
      <c r="F253" s="416">
        <v>95000</v>
      </c>
    </row>
    <row r="254" spans="1:6" ht="15" x14ac:dyDescent="0.3">
      <c r="A254" s="33">
        <v>45691</v>
      </c>
      <c r="B254" s="11" t="s">
        <v>1656</v>
      </c>
      <c r="C254" s="11" t="s">
        <v>1377</v>
      </c>
      <c r="D254" s="34" t="s">
        <v>1657</v>
      </c>
      <c r="E254" s="289"/>
      <c r="F254" s="416">
        <v>1050000</v>
      </c>
    </row>
    <row r="255" spans="1:6" ht="15" x14ac:dyDescent="0.3">
      <c r="A255" s="33">
        <v>45691</v>
      </c>
      <c r="B255" s="11" t="s">
        <v>1656</v>
      </c>
      <c r="C255" s="11" t="s">
        <v>1377</v>
      </c>
      <c r="D255" s="34" t="s">
        <v>1658</v>
      </c>
      <c r="E255" s="289"/>
      <c r="F255" s="416">
        <v>1500000</v>
      </c>
    </row>
    <row r="256" spans="1:6" ht="15" x14ac:dyDescent="0.3">
      <c r="A256" s="33">
        <v>45691</v>
      </c>
      <c r="B256" s="11" t="s">
        <v>1656</v>
      </c>
      <c r="C256" s="11" t="s">
        <v>1377</v>
      </c>
      <c r="D256" s="34" t="s">
        <v>1659</v>
      </c>
      <c r="E256" s="289"/>
      <c r="F256" s="416">
        <v>2505000</v>
      </c>
    </row>
    <row r="257" spans="1:6" ht="15" x14ac:dyDescent="0.3">
      <c r="A257" s="33">
        <v>45691</v>
      </c>
      <c r="B257" s="11" t="s">
        <v>1656</v>
      </c>
      <c r="C257" s="11" t="s">
        <v>1377</v>
      </c>
      <c r="D257" s="34" t="s">
        <v>1660</v>
      </c>
      <c r="E257" s="289"/>
      <c r="F257" s="416">
        <v>2100000</v>
      </c>
    </row>
    <row r="258" spans="1:6" ht="15" x14ac:dyDescent="0.3">
      <c r="A258" s="33">
        <v>45691</v>
      </c>
      <c r="B258" s="11" t="s">
        <v>1656</v>
      </c>
      <c r="C258" s="11" t="s">
        <v>1377</v>
      </c>
      <c r="D258" s="34" t="s">
        <v>1661</v>
      </c>
      <c r="E258" s="289"/>
      <c r="F258" s="416">
        <v>3700000</v>
      </c>
    </row>
    <row r="259" spans="1:6" ht="15" x14ac:dyDescent="0.3">
      <c r="A259" s="33">
        <v>45691</v>
      </c>
      <c r="B259" s="11" t="s">
        <v>693</v>
      </c>
      <c r="C259" s="11" t="s">
        <v>1377</v>
      </c>
      <c r="D259" s="34" t="s">
        <v>1662</v>
      </c>
      <c r="E259" s="289"/>
      <c r="F259" s="416">
        <v>208500</v>
      </c>
    </row>
    <row r="260" spans="1:6" ht="15" x14ac:dyDescent="0.3">
      <c r="A260" s="33">
        <v>45693</v>
      </c>
      <c r="B260" s="11" t="s">
        <v>1048</v>
      </c>
      <c r="C260" s="11" t="s">
        <v>1377</v>
      </c>
      <c r="D260" s="76" t="s">
        <v>1663</v>
      </c>
      <c r="E260" s="370"/>
      <c r="F260" s="289">
        <v>1225000</v>
      </c>
    </row>
    <row r="261" spans="1:6" ht="15" x14ac:dyDescent="0.3">
      <c r="A261" s="33">
        <v>45693</v>
      </c>
      <c r="B261" s="11" t="s">
        <v>1048</v>
      </c>
      <c r="C261" s="11" t="s">
        <v>1377</v>
      </c>
      <c r="D261" s="76" t="s">
        <v>1664</v>
      </c>
      <c r="E261" s="370"/>
      <c r="F261" s="289">
        <v>2500</v>
      </c>
    </row>
    <row r="262" spans="1:6" ht="15" x14ac:dyDescent="0.3">
      <c r="A262" s="33">
        <v>45693</v>
      </c>
      <c r="B262" s="11" t="s">
        <v>1048</v>
      </c>
      <c r="C262" s="11" t="s">
        <v>1377</v>
      </c>
      <c r="D262" s="76" t="s">
        <v>1665</v>
      </c>
      <c r="E262" s="370"/>
      <c r="F262" s="289">
        <v>362000</v>
      </c>
    </row>
    <row r="263" spans="1:6" ht="15" x14ac:dyDescent="0.3">
      <c r="A263" s="33">
        <v>45693</v>
      </c>
      <c r="B263" s="11" t="s">
        <v>1048</v>
      </c>
      <c r="C263" s="11" t="s">
        <v>1377</v>
      </c>
      <c r="D263" s="76" t="s">
        <v>1666</v>
      </c>
      <c r="E263" s="370"/>
      <c r="F263" s="289">
        <v>2500</v>
      </c>
    </row>
    <row r="264" spans="1:6" ht="15" x14ac:dyDescent="0.3">
      <c r="A264" s="33">
        <v>45693</v>
      </c>
      <c r="B264" s="11" t="s">
        <v>1048</v>
      </c>
      <c r="C264" s="11" t="s">
        <v>1377</v>
      </c>
      <c r="D264" s="76" t="s">
        <v>1667</v>
      </c>
      <c r="E264" s="370"/>
      <c r="F264" s="289">
        <v>1790000</v>
      </c>
    </row>
    <row r="265" spans="1:6" ht="15" x14ac:dyDescent="0.3">
      <c r="A265" s="33">
        <v>45693</v>
      </c>
      <c r="B265" s="11" t="s">
        <v>1048</v>
      </c>
      <c r="C265" s="11" t="s">
        <v>1377</v>
      </c>
      <c r="D265" s="76" t="s">
        <v>1668</v>
      </c>
      <c r="E265" s="370"/>
      <c r="F265" s="289">
        <v>2500</v>
      </c>
    </row>
    <row r="266" spans="1:6" ht="15" x14ac:dyDescent="0.3">
      <c r="A266" s="33">
        <v>45693</v>
      </c>
      <c r="B266" s="11" t="s">
        <v>1048</v>
      </c>
      <c r="C266" s="11" t="s">
        <v>1377</v>
      </c>
      <c r="D266" s="76" t="s">
        <v>1669</v>
      </c>
      <c r="E266" s="370"/>
      <c r="F266" s="289">
        <v>272000</v>
      </c>
    </row>
    <row r="267" spans="1:6" ht="15" x14ac:dyDescent="0.3">
      <c r="A267" s="33">
        <v>45693</v>
      </c>
      <c r="B267" s="11" t="s">
        <v>1048</v>
      </c>
      <c r="C267" s="11" t="s">
        <v>1377</v>
      </c>
      <c r="D267" s="76" t="s">
        <v>1670</v>
      </c>
      <c r="E267" s="370"/>
      <c r="F267" s="289">
        <v>2500</v>
      </c>
    </row>
    <row r="268" spans="1:6" ht="15" x14ac:dyDescent="0.3">
      <c r="A268" s="33">
        <v>45693</v>
      </c>
      <c r="B268" s="11" t="s">
        <v>1048</v>
      </c>
      <c r="C268" s="11" t="s">
        <v>1377</v>
      </c>
      <c r="D268" s="77" t="s">
        <v>1671</v>
      </c>
      <c r="E268" s="370"/>
      <c r="F268" s="289">
        <v>360000</v>
      </c>
    </row>
    <row r="269" spans="1:6" ht="15" x14ac:dyDescent="0.3">
      <c r="A269" s="33">
        <v>45693</v>
      </c>
      <c r="B269" s="11" t="s">
        <v>1048</v>
      </c>
      <c r="C269" s="11" t="s">
        <v>1377</v>
      </c>
      <c r="D269" s="77" t="s">
        <v>1672</v>
      </c>
      <c r="E269" s="370"/>
      <c r="F269" s="289">
        <v>2500</v>
      </c>
    </row>
    <row r="270" spans="1:6" ht="15" x14ac:dyDescent="0.3">
      <c r="A270" s="33">
        <v>45693</v>
      </c>
      <c r="B270" s="11" t="s">
        <v>1048</v>
      </c>
      <c r="C270" s="11" t="s">
        <v>1377</v>
      </c>
      <c r="D270" s="76" t="s">
        <v>1673</v>
      </c>
      <c r="E270" s="370"/>
      <c r="F270" s="289">
        <v>510178</v>
      </c>
    </row>
    <row r="271" spans="1:6" ht="15" x14ac:dyDescent="0.3">
      <c r="A271" s="33">
        <v>45693</v>
      </c>
      <c r="B271" s="11" t="s">
        <v>1048</v>
      </c>
      <c r="C271" s="11" t="s">
        <v>1377</v>
      </c>
      <c r="D271" s="76" t="s">
        <v>1674</v>
      </c>
      <c r="E271" s="370"/>
      <c r="F271" s="289">
        <v>39000</v>
      </c>
    </row>
    <row r="272" spans="1:6" ht="15" x14ac:dyDescent="0.3">
      <c r="A272" s="33">
        <v>45693</v>
      </c>
      <c r="B272" s="11" t="s">
        <v>1048</v>
      </c>
      <c r="C272" s="11" t="s">
        <v>1377</v>
      </c>
      <c r="D272" s="76" t="s">
        <v>1675</v>
      </c>
      <c r="E272" s="370"/>
      <c r="F272" s="289">
        <v>920000</v>
      </c>
    </row>
    <row r="273" spans="1:6" ht="15" x14ac:dyDescent="0.3">
      <c r="A273" s="33">
        <v>45693</v>
      </c>
      <c r="B273" s="11" t="s">
        <v>1048</v>
      </c>
      <c r="C273" s="11" t="s">
        <v>1377</v>
      </c>
      <c r="D273" s="76" t="s">
        <v>1676</v>
      </c>
      <c r="E273" s="370"/>
      <c r="F273" s="289">
        <v>2500</v>
      </c>
    </row>
    <row r="274" spans="1:6" ht="15" x14ac:dyDescent="0.3">
      <c r="A274" s="33">
        <v>45693</v>
      </c>
      <c r="B274" s="11" t="s">
        <v>1048</v>
      </c>
      <c r="C274" s="11" t="s">
        <v>1377</v>
      </c>
      <c r="D274" s="76" t="s">
        <v>1677</v>
      </c>
      <c r="E274" s="370"/>
      <c r="F274" s="289">
        <v>400000</v>
      </c>
    </row>
    <row r="275" spans="1:6" ht="15" x14ac:dyDescent="0.3">
      <c r="A275" s="33">
        <v>45693</v>
      </c>
      <c r="B275" s="11" t="s">
        <v>1048</v>
      </c>
      <c r="C275" s="11" t="s">
        <v>1377</v>
      </c>
      <c r="D275" s="76" t="s">
        <v>1678</v>
      </c>
      <c r="E275" s="370"/>
      <c r="F275" s="289">
        <v>2500</v>
      </c>
    </row>
    <row r="276" spans="1:6" ht="15" x14ac:dyDescent="0.3">
      <c r="A276" s="33">
        <v>45693</v>
      </c>
      <c r="B276" s="11" t="s">
        <v>1679</v>
      </c>
      <c r="C276" s="11" t="s">
        <v>1377</v>
      </c>
      <c r="D276" s="34" t="s">
        <v>1680</v>
      </c>
      <c r="E276" s="289"/>
      <c r="F276" s="416">
        <v>216130927</v>
      </c>
    </row>
    <row r="277" spans="1:6" ht="15" x14ac:dyDescent="0.3">
      <c r="A277" s="33">
        <v>45693</v>
      </c>
      <c r="B277" s="11" t="s">
        <v>1679</v>
      </c>
      <c r="C277" s="11" t="s">
        <v>1377</v>
      </c>
      <c r="D277" s="34" t="s">
        <v>105</v>
      </c>
      <c r="E277" s="289"/>
      <c r="F277" s="416">
        <v>2900</v>
      </c>
    </row>
    <row r="278" spans="1:6" ht="15" x14ac:dyDescent="0.3">
      <c r="A278" s="33">
        <v>45693</v>
      </c>
      <c r="B278" s="11" t="s">
        <v>1681</v>
      </c>
      <c r="C278" s="11" t="s">
        <v>1377</v>
      </c>
      <c r="D278" s="75" t="s">
        <v>1682</v>
      </c>
      <c r="E278" s="289"/>
      <c r="F278" s="416">
        <v>67550000</v>
      </c>
    </row>
    <row r="279" spans="1:6" ht="15" x14ac:dyDescent="0.3">
      <c r="A279" s="33">
        <v>45693</v>
      </c>
      <c r="B279" s="11" t="s">
        <v>1681</v>
      </c>
      <c r="C279" s="11" t="s">
        <v>1377</v>
      </c>
      <c r="D279" s="28" t="s">
        <v>1683</v>
      </c>
      <c r="E279" s="289"/>
      <c r="F279" s="416">
        <v>7430500</v>
      </c>
    </row>
    <row r="280" spans="1:6" ht="15" x14ac:dyDescent="0.3">
      <c r="A280" s="33">
        <v>45693</v>
      </c>
      <c r="B280" s="11" t="s">
        <v>1681</v>
      </c>
      <c r="C280" s="11" t="s">
        <v>1377</v>
      </c>
      <c r="D280" s="28" t="s">
        <v>105</v>
      </c>
      <c r="E280" s="289"/>
      <c r="F280" s="416">
        <v>2900</v>
      </c>
    </row>
    <row r="281" spans="1:6" ht="15" x14ac:dyDescent="0.3">
      <c r="A281" s="33">
        <v>45695</v>
      </c>
      <c r="B281" s="11" t="s">
        <v>1684</v>
      </c>
      <c r="C281" s="11" t="s">
        <v>1377</v>
      </c>
      <c r="D281" s="17" t="s">
        <v>1685</v>
      </c>
      <c r="E281" s="289"/>
      <c r="F281" s="416">
        <v>269000</v>
      </c>
    </row>
    <row r="282" spans="1:6" ht="15" x14ac:dyDescent="0.3">
      <c r="A282" s="33">
        <v>45695</v>
      </c>
      <c r="B282" s="11" t="s">
        <v>1684</v>
      </c>
      <c r="C282" s="11" t="s">
        <v>1377</v>
      </c>
      <c r="D282" s="28" t="s">
        <v>1686</v>
      </c>
      <c r="E282" s="289"/>
      <c r="F282" s="416">
        <v>2500</v>
      </c>
    </row>
    <row r="283" spans="1:6" ht="15" x14ac:dyDescent="0.3">
      <c r="A283" s="33">
        <v>45695</v>
      </c>
      <c r="B283" s="11" t="s">
        <v>1684</v>
      </c>
      <c r="C283" s="11" t="s">
        <v>1377</v>
      </c>
      <c r="D283" s="28" t="s">
        <v>1687</v>
      </c>
      <c r="E283" s="289"/>
      <c r="F283" s="416">
        <v>5425000</v>
      </c>
    </row>
    <row r="284" spans="1:6" ht="15" x14ac:dyDescent="0.3">
      <c r="A284" s="33">
        <v>45695</v>
      </c>
      <c r="B284" s="11" t="s">
        <v>1684</v>
      </c>
      <c r="C284" s="11" t="s">
        <v>1377</v>
      </c>
      <c r="D284" s="28" t="s">
        <v>105</v>
      </c>
      <c r="E284" s="289"/>
      <c r="F284" s="416">
        <v>2500</v>
      </c>
    </row>
    <row r="285" spans="1:6" ht="15" x14ac:dyDescent="0.3">
      <c r="A285" s="33">
        <v>45700</v>
      </c>
      <c r="B285" s="11" t="s">
        <v>1074</v>
      </c>
      <c r="C285" s="11" t="s">
        <v>1377</v>
      </c>
      <c r="D285" s="17" t="s">
        <v>1688</v>
      </c>
      <c r="E285" s="289"/>
      <c r="F285" s="416">
        <v>4300000</v>
      </c>
    </row>
    <row r="286" spans="1:6" ht="15" x14ac:dyDescent="0.3">
      <c r="A286" s="33">
        <v>45700</v>
      </c>
      <c r="B286" s="11" t="s">
        <v>1074</v>
      </c>
      <c r="C286" s="11" t="s">
        <v>1377</v>
      </c>
      <c r="D286" s="17" t="s">
        <v>1689</v>
      </c>
      <c r="E286" s="289"/>
      <c r="F286" s="416">
        <v>2500</v>
      </c>
    </row>
    <row r="287" spans="1:6" ht="15" x14ac:dyDescent="0.3">
      <c r="A287" s="33">
        <v>45700</v>
      </c>
      <c r="B287" s="11" t="s">
        <v>1074</v>
      </c>
      <c r="C287" s="11" t="s">
        <v>1377</v>
      </c>
      <c r="D287" s="17" t="s">
        <v>1690</v>
      </c>
      <c r="E287" s="289"/>
      <c r="F287" s="416">
        <v>218000</v>
      </c>
    </row>
    <row r="288" spans="1:6" ht="15" x14ac:dyDescent="0.3">
      <c r="A288" s="33">
        <v>45700</v>
      </c>
      <c r="B288" s="11" t="s">
        <v>1074</v>
      </c>
      <c r="C288" s="11" t="s">
        <v>1377</v>
      </c>
      <c r="D288" s="17" t="s">
        <v>1691</v>
      </c>
      <c r="E288" s="289"/>
      <c r="F288" s="416">
        <v>2500</v>
      </c>
    </row>
    <row r="289" spans="1:6" ht="15" x14ac:dyDescent="0.3">
      <c r="A289" s="33">
        <v>45700</v>
      </c>
      <c r="B289" s="11" t="s">
        <v>1074</v>
      </c>
      <c r="C289" s="11" t="s">
        <v>1377</v>
      </c>
      <c r="D289" s="17" t="s">
        <v>1692</v>
      </c>
      <c r="E289" s="289"/>
      <c r="F289" s="416">
        <v>640000</v>
      </c>
    </row>
    <row r="290" spans="1:6" ht="15" x14ac:dyDescent="0.3">
      <c r="A290" s="33">
        <v>45700</v>
      </c>
      <c r="B290" s="11" t="s">
        <v>1074</v>
      </c>
      <c r="C290" s="11" t="s">
        <v>1377</v>
      </c>
      <c r="D290" s="17" t="s">
        <v>1693</v>
      </c>
      <c r="E290" s="289"/>
      <c r="F290" s="416">
        <v>2500</v>
      </c>
    </row>
    <row r="291" spans="1:6" ht="15" x14ac:dyDescent="0.3">
      <c r="A291" s="33">
        <v>45700</v>
      </c>
      <c r="B291" s="11" t="s">
        <v>1074</v>
      </c>
      <c r="C291" s="11" t="s">
        <v>1377</v>
      </c>
      <c r="D291" s="17" t="s">
        <v>1694</v>
      </c>
      <c r="E291" s="289"/>
      <c r="F291" s="416">
        <v>2000000</v>
      </c>
    </row>
    <row r="292" spans="1:6" ht="15" x14ac:dyDescent="0.3">
      <c r="A292" s="33">
        <v>45700</v>
      </c>
      <c r="B292" s="11" t="s">
        <v>1074</v>
      </c>
      <c r="C292" s="11" t="s">
        <v>1377</v>
      </c>
      <c r="D292" s="17" t="s">
        <v>1695</v>
      </c>
      <c r="E292" s="289"/>
      <c r="F292" s="416">
        <v>2500</v>
      </c>
    </row>
    <row r="293" spans="1:6" ht="15" x14ac:dyDescent="0.3">
      <c r="A293" s="33">
        <v>45700</v>
      </c>
      <c r="B293" s="11" t="s">
        <v>1077</v>
      </c>
      <c r="C293" s="11" t="s">
        <v>1377</v>
      </c>
      <c r="D293" s="17" t="s">
        <v>1696</v>
      </c>
      <c r="E293" s="289"/>
      <c r="F293" s="416">
        <v>78000</v>
      </c>
    </row>
    <row r="294" spans="1:6" ht="15" x14ac:dyDescent="0.3">
      <c r="A294" s="33">
        <v>45700</v>
      </c>
      <c r="B294" s="11" t="s">
        <v>1697</v>
      </c>
      <c r="C294" s="11" t="s">
        <v>1377</v>
      </c>
      <c r="D294" s="17" t="s">
        <v>1698</v>
      </c>
      <c r="E294" s="289"/>
      <c r="F294" s="416">
        <v>50400000</v>
      </c>
    </row>
    <row r="295" spans="1:6" ht="15" x14ac:dyDescent="0.3">
      <c r="A295" s="33">
        <v>45700</v>
      </c>
      <c r="B295" s="11" t="s">
        <v>1697</v>
      </c>
      <c r="C295" s="11" t="s">
        <v>1377</v>
      </c>
      <c r="D295" s="17" t="s">
        <v>1699</v>
      </c>
      <c r="E295" s="289"/>
      <c r="F295" s="416">
        <v>5544000</v>
      </c>
    </row>
    <row r="296" spans="1:6" ht="15" x14ac:dyDescent="0.3">
      <c r="A296" s="33">
        <v>45700</v>
      </c>
      <c r="B296" s="11" t="s">
        <v>1697</v>
      </c>
      <c r="C296" s="11" t="s">
        <v>1377</v>
      </c>
      <c r="D296" s="17" t="s">
        <v>1700</v>
      </c>
      <c r="E296" s="289"/>
      <c r="F296" s="416">
        <v>-1008000</v>
      </c>
    </row>
    <row r="297" spans="1:6" ht="15" x14ac:dyDescent="0.3">
      <c r="A297" s="33">
        <v>45700</v>
      </c>
      <c r="B297" s="11" t="s">
        <v>1697</v>
      </c>
      <c r="C297" s="11" t="s">
        <v>1377</v>
      </c>
      <c r="D297" s="17" t="s">
        <v>1701</v>
      </c>
      <c r="E297" s="289"/>
      <c r="F297" s="416">
        <v>2900</v>
      </c>
    </row>
    <row r="298" spans="1:6" ht="15" x14ac:dyDescent="0.3">
      <c r="A298" s="33">
        <v>45702</v>
      </c>
      <c r="B298" s="11" t="s">
        <v>1702</v>
      </c>
      <c r="C298" s="11" t="s">
        <v>1377</v>
      </c>
      <c r="D298" s="28" t="s">
        <v>1703</v>
      </c>
      <c r="E298" s="289"/>
      <c r="F298" s="416">
        <v>1127000</v>
      </c>
    </row>
    <row r="299" spans="1:6" ht="15" x14ac:dyDescent="0.3">
      <c r="A299" s="33">
        <v>45702</v>
      </c>
      <c r="B299" s="11" t="s">
        <v>1702</v>
      </c>
      <c r="C299" s="11" t="s">
        <v>1377</v>
      </c>
      <c r="D299" s="28" t="s">
        <v>1704</v>
      </c>
      <c r="E299" s="289"/>
      <c r="F299" s="416">
        <v>164500</v>
      </c>
    </row>
    <row r="300" spans="1:6" ht="15" x14ac:dyDescent="0.3">
      <c r="A300" s="33">
        <v>45702</v>
      </c>
      <c r="B300" s="11" t="s">
        <v>1702</v>
      </c>
      <c r="C300" s="11" t="s">
        <v>1377</v>
      </c>
      <c r="D300" s="28" t="s">
        <v>1705</v>
      </c>
      <c r="E300" s="289"/>
      <c r="F300" s="416">
        <v>2675000</v>
      </c>
    </row>
    <row r="301" spans="1:6" ht="15" x14ac:dyDescent="0.3">
      <c r="A301" s="33">
        <v>45702</v>
      </c>
      <c r="B301" s="11" t="s">
        <v>1702</v>
      </c>
      <c r="C301" s="11" t="s">
        <v>1377</v>
      </c>
      <c r="D301" s="28" t="s">
        <v>1706</v>
      </c>
      <c r="E301" s="289"/>
      <c r="F301" s="416">
        <v>158000</v>
      </c>
    </row>
    <row r="302" spans="1:6" ht="15" x14ac:dyDescent="0.3">
      <c r="A302" s="33">
        <v>45702</v>
      </c>
      <c r="B302" s="11" t="s">
        <v>1702</v>
      </c>
      <c r="C302" s="11" t="s">
        <v>1377</v>
      </c>
      <c r="D302" s="28" t="s">
        <v>1707</v>
      </c>
      <c r="E302" s="289"/>
      <c r="F302" s="416">
        <v>30000</v>
      </c>
    </row>
    <row r="303" spans="1:6" ht="15" x14ac:dyDescent="0.3">
      <c r="A303" s="33">
        <v>45708</v>
      </c>
      <c r="B303" s="31" t="s">
        <v>1708</v>
      </c>
      <c r="C303" s="31" t="s">
        <v>1377</v>
      </c>
      <c r="D303" s="78" t="s">
        <v>1709</v>
      </c>
      <c r="E303" s="431"/>
      <c r="F303" s="416">
        <v>19019231</v>
      </c>
    </row>
    <row r="304" spans="1:6" ht="15" x14ac:dyDescent="0.3">
      <c r="A304" s="33">
        <v>45708</v>
      </c>
      <c r="B304" s="31" t="s">
        <v>1708</v>
      </c>
      <c r="C304" s="31" t="s">
        <v>1377</v>
      </c>
      <c r="D304" s="17" t="s">
        <v>1710</v>
      </c>
      <c r="E304" s="431"/>
      <c r="F304" s="416">
        <v>-475481</v>
      </c>
    </row>
    <row r="305" spans="1:6" ht="15" x14ac:dyDescent="0.3">
      <c r="A305" s="33">
        <v>45708</v>
      </c>
      <c r="B305" s="31" t="s">
        <v>1708</v>
      </c>
      <c r="C305" s="31" t="s">
        <v>1377</v>
      </c>
      <c r="D305" s="17" t="s">
        <v>105</v>
      </c>
      <c r="E305" s="431"/>
      <c r="F305" s="416">
        <v>2900</v>
      </c>
    </row>
    <row r="306" spans="1:6" ht="15" x14ac:dyDescent="0.3">
      <c r="A306" s="33">
        <v>45708</v>
      </c>
      <c r="B306" s="31" t="s">
        <v>1711</v>
      </c>
      <c r="C306" s="31" t="s">
        <v>1377</v>
      </c>
      <c r="D306" s="17" t="s">
        <v>1712</v>
      </c>
      <c r="E306" s="431"/>
      <c r="F306" s="416">
        <v>30000000</v>
      </c>
    </row>
    <row r="307" spans="1:6" ht="15" x14ac:dyDescent="0.3">
      <c r="A307" s="33">
        <v>45708</v>
      </c>
      <c r="B307" s="31" t="s">
        <v>1711</v>
      </c>
      <c r="C307" s="31" t="s">
        <v>1377</v>
      </c>
      <c r="D307" s="17" t="s">
        <v>1713</v>
      </c>
      <c r="E307" s="431"/>
      <c r="F307" s="416">
        <v>-750000</v>
      </c>
    </row>
    <row r="308" spans="1:6" ht="15" x14ac:dyDescent="0.3">
      <c r="A308" s="33">
        <v>45708</v>
      </c>
      <c r="B308" s="31" t="s">
        <v>1711</v>
      </c>
      <c r="C308" s="31" t="s">
        <v>1377</v>
      </c>
      <c r="D308" s="17" t="s">
        <v>105</v>
      </c>
      <c r="E308" s="431"/>
      <c r="F308" s="416">
        <v>2900</v>
      </c>
    </row>
    <row r="309" spans="1:6" ht="15" x14ac:dyDescent="0.3">
      <c r="A309" s="33">
        <v>45708</v>
      </c>
      <c r="B309" s="31" t="s">
        <v>1093</v>
      </c>
      <c r="C309" s="31" t="s">
        <v>1377</v>
      </c>
      <c r="D309" s="17" t="s">
        <v>1094</v>
      </c>
      <c r="E309" s="431"/>
      <c r="F309" s="416">
        <v>30000000</v>
      </c>
    </row>
    <row r="310" spans="1:6" ht="15" x14ac:dyDescent="0.3">
      <c r="A310" s="33">
        <v>45708</v>
      </c>
      <c r="B310" s="31" t="s">
        <v>1093</v>
      </c>
      <c r="C310" s="31" t="s">
        <v>1377</v>
      </c>
      <c r="D310" s="17" t="s">
        <v>105</v>
      </c>
      <c r="E310" s="431"/>
      <c r="F310" s="416">
        <v>2900</v>
      </c>
    </row>
    <row r="311" spans="1:6" ht="15" x14ac:dyDescent="0.3">
      <c r="A311" s="33">
        <v>45709</v>
      </c>
      <c r="B311" s="31" t="s">
        <v>1714</v>
      </c>
      <c r="C311" s="54" t="s">
        <v>1377</v>
      </c>
      <c r="D311" s="17" t="s">
        <v>1715</v>
      </c>
      <c r="E311" s="431"/>
      <c r="F311" s="289">
        <v>96000</v>
      </c>
    </row>
    <row r="312" spans="1:6" ht="15" x14ac:dyDescent="0.3">
      <c r="A312" s="33">
        <v>45709</v>
      </c>
      <c r="B312" s="31" t="s">
        <v>1714</v>
      </c>
      <c r="C312" s="54" t="s">
        <v>1377</v>
      </c>
      <c r="D312" s="17" t="s">
        <v>1716</v>
      </c>
      <c r="E312" s="431"/>
      <c r="F312" s="289">
        <v>300000</v>
      </c>
    </row>
    <row r="313" spans="1:6" ht="15" x14ac:dyDescent="0.3">
      <c r="A313" s="33">
        <v>45709</v>
      </c>
      <c r="B313" s="31" t="s">
        <v>1717</v>
      </c>
      <c r="C313" s="54" t="s">
        <v>1377</v>
      </c>
      <c r="D313" s="17" t="s">
        <v>1718</v>
      </c>
      <c r="E313" s="431"/>
      <c r="F313" s="416">
        <v>250000</v>
      </c>
    </row>
    <row r="314" spans="1:6" ht="15" x14ac:dyDescent="0.3">
      <c r="A314" s="33">
        <v>45709</v>
      </c>
      <c r="B314" s="31" t="s">
        <v>1717</v>
      </c>
      <c r="C314" s="54" t="s">
        <v>1377</v>
      </c>
      <c r="D314" s="17" t="s">
        <v>1719</v>
      </c>
      <c r="E314" s="431"/>
      <c r="F314" s="289">
        <v>162500</v>
      </c>
    </row>
    <row r="315" spans="1:6" ht="15" x14ac:dyDescent="0.3">
      <c r="A315" s="33">
        <v>45709</v>
      </c>
      <c r="B315" s="31" t="s">
        <v>1720</v>
      </c>
      <c r="C315" s="31" t="s">
        <v>1377</v>
      </c>
      <c r="D315" s="17" t="s">
        <v>1721</v>
      </c>
      <c r="E315" s="431"/>
      <c r="F315" s="416">
        <v>1130000</v>
      </c>
    </row>
    <row r="316" spans="1:6" ht="15" x14ac:dyDescent="0.3">
      <c r="A316" s="33">
        <v>45709</v>
      </c>
      <c r="B316" s="31" t="s">
        <v>1720</v>
      </c>
      <c r="C316" s="31" t="s">
        <v>1377</v>
      </c>
      <c r="D316" s="17" t="s">
        <v>1648</v>
      </c>
      <c r="E316" s="431"/>
      <c r="F316" s="416">
        <v>1173000</v>
      </c>
    </row>
    <row r="317" spans="1:6" ht="15" x14ac:dyDescent="0.3">
      <c r="A317" s="33">
        <v>45709</v>
      </c>
      <c r="B317" s="31" t="s">
        <v>1720</v>
      </c>
      <c r="C317" s="31" t="s">
        <v>1377</v>
      </c>
      <c r="D317" s="17" t="s">
        <v>1722</v>
      </c>
      <c r="E317" s="431"/>
      <c r="F317" s="416">
        <v>10000</v>
      </c>
    </row>
    <row r="318" spans="1:6" ht="15" x14ac:dyDescent="0.3">
      <c r="A318" s="33">
        <v>45709</v>
      </c>
      <c r="B318" s="31" t="s">
        <v>1105</v>
      </c>
      <c r="C318" s="54" t="s">
        <v>1377</v>
      </c>
      <c r="D318" s="17" t="s">
        <v>1106</v>
      </c>
      <c r="E318" s="431"/>
      <c r="F318" s="289">
        <v>52000</v>
      </c>
    </row>
    <row r="319" spans="1:6" ht="15" x14ac:dyDescent="0.3">
      <c r="A319" s="33">
        <v>45709</v>
      </c>
      <c r="B319" s="31" t="s">
        <v>1105</v>
      </c>
      <c r="C319" s="54" t="s">
        <v>1377</v>
      </c>
      <c r="D319" s="17" t="s">
        <v>1107</v>
      </c>
      <c r="E319" s="431"/>
      <c r="F319" s="289">
        <v>400000</v>
      </c>
    </row>
    <row r="320" spans="1:6" ht="15" x14ac:dyDescent="0.3">
      <c r="A320" s="33">
        <v>45709</v>
      </c>
      <c r="B320" s="31" t="s">
        <v>262</v>
      </c>
      <c r="C320" s="11" t="s">
        <v>1377</v>
      </c>
      <c r="D320" s="79" t="s">
        <v>1723</v>
      </c>
      <c r="E320" s="431"/>
      <c r="F320" s="289">
        <v>20000</v>
      </c>
    </row>
    <row r="321" spans="1:6" ht="15" x14ac:dyDescent="0.3">
      <c r="A321" s="33">
        <v>45709</v>
      </c>
      <c r="B321" s="31" t="s">
        <v>709</v>
      </c>
      <c r="C321" s="31" t="s">
        <v>1377</v>
      </c>
      <c r="D321" s="75" t="s">
        <v>1724</v>
      </c>
      <c r="E321" s="431"/>
      <c r="F321" s="416">
        <v>464000</v>
      </c>
    </row>
    <row r="322" spans="1:6" ht="15" x14ac:dyDescent="0.3">
      <c r="A322" s="33">
        <v>45709</v>
      </c>
      <c r="B322" s="31" t="s">
        <v>709</v>
      </c>
      <c r="C322" s="31" t="s">
        <v>1377</v>
      </c>
      <c r="D322" s="75" t="s">
        <v>105</v>
      </c>
      <c r="E322" s="431"/>
      <c r="F322" s="416">
        <v>2500</v>
      </c>
    </row>
    <row r="323" spans="1:6" ht="15" x14ac:dyDescent="0.3">
      <c r="A323" s="33">
        <v>45712</v>
      </c>
      <c r="B323" s="31" t="s">
        <v>1725</v>
      </c>
      <c r="C323" s="31" t="s">
        <v>1377</v>
      </c>
      <c r="D323" s="17" t="s">
        <v>1726</v>
      </c>
      <c r="E323" s="431"/>
      <c r="F323" s="416">
        <v>1109200</v>
      </c>
    </row>
    <row r="324" spans="1:6" ht="15" x14ac:dyDescent="0.3">
      <c r="A324" s="33">
        <v>45712</v>
      </c>
      <c r="B324" s="31" t="s">
        <v>1725</v>
      </c>
      <c r="C324" s="31" t="s">
        <v>1377</v>
      </c>
      <c r="D324" s="17" t="s">
        <v>105</v>
      </c>
      <c r="E324" s="431"/>
      <c r="F324" s="416">
        <v>2900</v>
      </c>
    </row>
    <row r="325" spans="1:6" ht="15" x14ac:dyDescent="0.3">
      <c r="A325" s="33">
        <v>45714</v>
      </c>
      <c r="B325" s="31" t="s">
        <v>1727</v>
      </c>
      <c r="C325" s="31" t="s">
        <v>1377</v>
      </c>
      <c r="D325" s="17" t="s">
        <v>1728</v>
      </c>
      <c r="E325" s="431"/>
      <c r="F325" s="416">
        <v>57383685</v>
      </c>
    </row>
    <row r="326" spans="1:6" ht="15" x14ac:dyDescent="0.3">
      <c r="A326" s="33">
        <v>45714</v>
      </c>
      <c r="B326" s="31" t="s">
        <v>1727</v>
      </c>
      <c r="C326" s="31" t="s">
        <v>1377</v>
      </c>
      <c r="D326" s="17" t="s">
        <v>1729</v>
      </c>
      <c r="E326" s="431"/>
      <c r="F326" s="416">
        <v>52086607</v>
      </c>
    </row>
    <row r="327" spans="1:6" ht="15" x14ac:dyDescent="0.3">
      <c r="A327" s="33">
        <v>45714</v>
      </c>
      <c r="B327" s="31" t="s">
        <v>1727</v>
      </c>
      <c r="C327" s="31" t="s">
        <v>1377</v>
      </c>
      <c r="D327" s="17" t="s">
        <v>1730</v>
      </c>
      <c r="E327" s="431"/>
      <c r="F327" s="416">
        <v>-9470292</v>
      </c>
    </row>
    <row r="328" spans="1:6" ht="15" x14ac:dyDescent="0.3">
      <c r="A328" s="33">
        <v>45714</v>
      </c>
      <c r="B328" s="31" t="s">
        <v>1727</v>
      </c>
      <c r="C328" s="31" t="s">
        <v>1377</v>
      </c>
      <c r="D328" s="17" t="s">
        <v>105</v>
      </c>
      <c r="E328" s="431"/>
      <c r="F328" s="416">
        <v>2900</v>
      </c>
    </row>
    <row r="329" spans="1:6" ht="15" x14ac:dyDescent="0.3">
      <c r="A329" s="33">
        <v>45714</v>
      </c>
      <c r="B329" s="31" t="s">
        <v>1731</v>
      </c>
      <c r="C329" s="31" t="s">
        <v>1377</v>
      </c>
      <c r="D329" s="17" t="s">
        <v>1732</v>
      </c>
      <c r="E329" s="431"/>
      <c r="F329" s="416">
        <v>4500000</v>
      </c>
    </row>
    <row r="330" spans="1:6" ht="15" x14ac:dyDescent="0.3">
      <c r="A330" s="33">
        <v>45714</v>
      </c>
      <c r="B330" s="31" t="s">
        <v>1731</v>
      </c>
      <c r="C330" s="31" t="s">
        <v>1377</v>
      </c>
      <c r="D330" s="17" t="s">
        <v>1733</v>
      </c>
      <c r="E330" s="431"/>
      <c r="F330" s="416">
        <v>495000</v>
      </c>
    </row>
    <row r="331" spans="1:6" ht="15" x14ac:dyDescent="0.3">
      <c r="A331" s="33">
        <v>45714</v>
      </c>
      <c r="B331" s="31" t="s">
        <v>1734</v>
      </c>
      <c r="C331" s="31" t="s">
        <v>1377</v>
      </c>
      <c r="D331" s="17" t="s">
        <v>1735</v>
      </c>
      <c r="E331" s="431"/>
      <c r="F331" s="416">
        <v>10892308</v>
      </c>
    </row>
    <row r="332" spans="1:6" ht="15" x14ac:dyDescent="0.3">
      <c r="A332" s="33">
        <v>45714</v>
      </c>
      <c r="B332" s="31" t="s">
        <v>1734</v>
      </c>
      <c r="C332" s="31" t="s">
        <v>1377</v>
      </c>
      <c r="D332" s="17" t="s">
        <v>1736</v>
      </c>
      <c r="E332" s="431"/>
      <c r="F332" s="416">
        <v>-272308</v>
      </c>
    </row>
    <row r="333" spans="1:6" ht="15" x14ac:dyDescent="0.3">
      <c r="A333" s="33">
        <v>45714</v>
      </c>
      <c r="B333" s="31" t="s">
        <v>1734</v>
      </c>
      <c r="C333" s="31" t="s">
        <v>1377</v>
      </c>
      <c r="D333" s="17" t="s">
        <v>105</v>
      </c>
      <c r="E333" s="431"/>
      <c r="F333" s="416">
        <v>2900</v>
      </c>
    </row>
    <row r="334" spans="1:6" ht="15" x14ac:dyDescent="0.3">
      <c r="A334" s="33">
        <v>45714</v>
      </c>
      <c r="B334" s="31" t="s">
        <v>1737</v>
      </c>
      <c r="C334" s="31" t="s">
        <v>1377</v>
      </c>
      <c r="D334" s="17" t="s">
        <v>1738</v>
      </c>
      <c r="E334" s="431"/>
      <c r="F334" s="416">
        <v>25148000</v>
      </c>
    </row>
    <row r="335" spans="1:6" ht="15" x14ac:dyDescent="0.3">
      <c r="A335" s="33">
        <v>45714</v>
      </c>
      <c r="B335" s="31" t="s">
        <v>1737</v>
      </c>
      <c r="C335" s="31" t="s">
        <v>1377</v>
      </c>
      <c r="D335" s="17" t="s">
        <v>105</v>
      </c>
      <c r="E335" s="431"/>
      <c r="F335" s="416">
        <v>2900</v>
      </c>
    </row>
    <row r="336" spans="1:6" ht="15" x14ac:dyDescent="0.3">
      <c r="A336" s="33">
        <v>45714</v>
      </c>
      <c r="B336" s="31" t="s">
        <v>713</v>
      </c>
      <c r="C336" s="31" t="s">
        <v>1377</v>
      </c>
      <c r="D336" s="66" t="s">
        <v>1739</v>
      </c>
      <c r="E336" s="431"/>
      <c r="F336" s="289">
        <v>6000000</v>
      </c>
    </row>
    <row r="337" spans="1:6" ht="15" x14ac:dyDescent="0.3">
      <c r="A337" s="33">
        <v>45714</v>
      </c>
      <c r="B337" s="31" t="s">
        <v>713</v>
      </c>
      <c r="C337" s="31" t="s">
        <v>1377</v>
      </c>
      <c r="D337" s="80" t="s">
        <v>105</v>
      </c>
      <c r="E337" s="431"/>
      <c r="F337" s="289">
        <v>2500</v>
      </c>
    </row>
    <row r="338" spans="1:6" ht="15" x14ac:dyDescent="0.3">
      <c r="A338" s="33">
        <v>45714</v>
      </c>
      <c r="B338" s="31" t="s">
        <v>713</v>
      </c>
      <c r="C338" s="31" t="s">
        <v>1377</v>
      </c>
      <c r="D338" s="66" t="s">
        <v>1740</v>
      </c>
      <c r="E338" s="431"/>
      <c r="F338" s="289">
        <v>268500</v>
      </c>
    </row>
    <row r="339" spans="1:6" ht="15" x14ac:dyDescent="0.3">
      <c r="A339" s="33">
        <v>45714</v>
      </c>
      <c r="B339" s="31" t="s">
        <v>713</v>
      </c>
      <c r="C339" s="31" t="s">
        <v>1377</v>
      </c>
      <c r="D339" s="66" t="s">
        <v>105</v>
      </c>
      <c r="E339" s="431"/>
      <c r="F339" s="289">
        <v>2500</v>
      </c>
    </row>
    <row r="340" spans="1:6" ht="15" x14ac:dyDescent="0.3">
      <c r="A340" s="6">
        <v>45723</v>
      </c>
      <c r="B340" s="7" t="s">
        <v>273</v>
      </c>
      <c r="C340" s="81" t="s">
        <v>1377</v>
      </c>
      <c r="D340" s="82" t="s">
        <v>1741</v>
      </c>
      <c r="E340" s="413"/>
      <c r="F340" s="335">
        <v>416000</v>
      </c>
    </row>
    <row r="341" spans="1:6" ht="15" x14ac:dyDescent="0.3">
      <c r="A341" s="33">
        <v>45728</v>
      </c>
      <c r="B341" s="31" t="s">
        <v>1742</v>
      </c>
      <c r="C341" s="54" t="s">
        <v>1377</v>
      </c>
      <c r="D341" s="17" t="s">
        <v>1743</v>
      </c>
      <c r="E341" s="431"/>
      <c r="F341" s="289">
        <v>40000000</v>
      </c>
    </row>
    <row r="342" spans="1:6" ht="15" x14ac:dyDescent="0.3">
      <c r="A342" s="33">
        <v>45728</v>
      </c>
      <c r="B342" s="31" t="s">
        <v>1742</v>
      </c>
      <c r="C342" s="54" t="s">
        <v>1377</v>
      </c>
      <c r="D342" s="17" t="s">
        <v>1744</v>
      </c>
      <c r="E342" s="431"/>
      <c r="F342" s="289">
        <v>4400000</v>
      </c>
    </row>
    <row r="343" spans="1:6" ht="15" x14ac:dyDescent="0.3">
      <c r="A343" s="33">
        <v>45728</v>
      </c>
      <c r="B343" s="31" t="s">
        <v>1742</v>
      </c>
      <c r="C343" s="54" t="s">
        <v>1377</v>
      </c>
      <c r="D343" s="17" t="s">
        <v>1745</v>
      </c>
      <c r="E343" s="431"/>
      <c r="F343" s="289">
        <v>-2000000</v>
      </c>
    </row>
    <row r="344" spans="1:6" ht="15" x14ac:dyDescent="0.3">
      <c r="A344" s="33">
        <v>45728</v>
      </c>
      <c r="B344" s="31" t="s">
        <v>1742</v>
      </c>
      <c r="C344" s="54" t="s">
        <v>1377</v>
      </c>
      <c r="D344" s="17" t="s">
        <v>1746</v>
      </c>
      <c r="E344" s="431"/>
      <c r="F344" s="289">
        <v>2900</v>
      </c>
    </row>
    <row r="345" spans="1:6" ht="15" x14ac:dyDescent="0.3">
      <c r="A345" s="33">
        <v>45737</v>
      </c>
      <c r="B345" s="31" t="s">
        <v>1747</v>
      </c>
      <c r="C345" s="11" t="s">
        <v>1377</v>
      </c>
      <c r="D345" s="17" t="s">
        <v>1748</v>
      </c>
      <c r="E345" s="432"/>
      <c r="F345" s="289">
        <v>310000</v>
      </c>
    </row>
    <row r="346" spans="1:6" ht="15" x14ac:dyDescent="0.3">
      <c r="A346" s="33">
        <v>45737</v>
      </c>
      <c r="B346" s="31" t="s">
        <v>1747</v>
      </c>
      <c r="C346" s="11" t="s">
        <v>1377</v>
      </c>
      <c r="D346" s="17" t="s">
        <v>1749</v>
      </c>
      <c r="E346" s="432"/>
      <c r="F346" s="289">
        <v>62000</v>
      </c>
    </row>
    <row r="347" spans="1:6" ht="15" x14ac:dyDescent="0.3">
      <c r="A347" s="33">
        <v>45737</v>
      </c>
      <c r="B347" s="31" t="s">
        <v>1747</v>
      </c>
      <c r="C347" s="11" t="s">
        <v>1377</v>
      </c>
      <c r="D347" s="17" t="s">
        <v>1750</v>
      </c>
      <c r="E347" s="432"/>
      <c r="F347" s="289">
        <v>45600</v>
      </c>
    </row>
    <row r="348" spans="1:6" ht="15" x14ac:dyDescent="0.3">
      <c r="A348" s="33">
        <v>45737</v>
      </c>
      <c r="B348" s="31" t="s">
        <v>1747</v>
      </c>
      <c r="C348" s="11" t="s">
        <v>1377</v>
      </c>
      <c r="D348" s="17" t="s">
        <v>1748</v>
      </c>
      <c r="E348" s="432"/>
      <c r="F348" s="289">
        <v>100000</v>
      </c>
    </row>
    <row r="349" spans="1:6" ht="15" x14ac:dyDescent="0.3">
      <c r="A349" s="33">
        <v>45737</v>
      </c>
      <c r="B349" s="31" t="s">
        <v>1747</v>
      </c>
      <c r="C349" s="11" t="s">
        <v>1377</v>
      </c>
      <c r="D349" s="17" t="s">
        <v>1749</v>
      </c>
      <c r="E349" s="432"/>
      <c r="F349" s="289">
        <v>34000</v>
      </c>
    </row>
    <row r="350" spans="1:6" ht="15" x14ac:dyDescent="0.3">
      <c r="A350" s="33">
        <v>45737</v>
      </c>
      <c r="B350" s="31" t="s">
        <v>1747</v>
      </c>
      <c r="C350" s="11" t="s">
        <v>1377</v>
      </c>
      <c r="D350" s="17" t="s">
        <v>1751</v>
      </c>
      <c r="E350" s="432"/>
      <c r="F350" s="289">
        <v>2900</v>
      </c>
    </row>
    <row r="351" spans="1:6" ht="15" x14ac:dyDescent="0.3">
      <c r="A351" s="33">
        <v>45737</v>
      </c>
      <c r="B351" s="31" t="s">
        <v>1752</v>
      </c>
      <c r="C351" s="31" t="s">
        <v>1377</v>
      </c>
      <c r="D351" s="17" t="s">
        <v>1753</v>
      </c>
      <c r="E351" s="432"/>
      <c r="F351" s="289">
        <v>10000</v>
      </c>
    </row>
    <row r="352" spans="1:6" ht="15" x14ac:dyDescent="0.3">
      <c r="A352" s="33">
        <v>45737</v>
      </c>
      <c r="B352" s="31" t="s">
        <v>1201</v>
      </c>
      <c r="C352" s="38" t="s">
        <v>1377</v>
      </c>
      <c r="D352" s="26" t="s">
        <v>1754</v>
      </c>
      <c r="E352" s="432"/>
      <c r="F352" s="289">
        <v>425000</v>
      </c>
    </row>
    <row r="353" spans="1:6" ht="15" x14ac:dyDescent="0.3">
      <c r="A353" s="33">
        <v>45737</v>
      </c>
      <c r="B353" s="31" t="s">
        <v>1201</v>
      </c>
      <c r="C353" s="38" t="s">
        <v>1377</v>
      </c>
      <c r="D353" s="26" t="s">
        <v>295</v>
      </c>
      <c r="E353" s="432"/>
      <c r="F353" s="289">
        <v>2500</v>
      </c>
    </row>
    <row r="354" spans="1:6" ht="15" x14ac:dyDescent="0.3">
      <c r="A354" s="33">
        <v>45740</v>
      </c>
      <c r="B354" s="31" t="s">
        <v>1755</v>
      </c>
      <c r="C354" s="11" t="s">
        <v>1377</v>
      </c>
      <c r="D354" s="17" t="s">
        <v>1756</v>
      </c>
      <c r="E354" s="432"/>
      <c r="F354" s="289">
        <v>3171000</v>
      </c>
    </row>
    <row r="355" spans="1:6" ht="15" x14ac:dyDescent="0.3">
      <c r="A355" s="33">
        <v>45740</v>
      </c>
      <c r="B355" s="31" t="s">
        <v>1755</v>
      </c>
      <c r="C355" s="11" t="s">
        <v>1377</v>
      </c>
      <c r="D355" s="17" t="s">
        <v>1757</v>
      </c>
      <c r="E355" s="432"/>
      <c r="F355" s="289">
        <v>7475290</v>
      </c>
    </row>
    <row r="356" spans="1:6" ht="15" x14ac:dyDescent="0.3">
      <c r="A356" s="33">
        <v>45740</v>
      </c>
      <c r="B356" s="31" t="s">
        <v>1755</v>
      </c>
      <c r="C356" s="11" t="s">
        <v>1377</v>
      </c>
      <c r="D356" s="17" t="s">
        <v>1758</v>
      </c>
      <c r="E356" s="432"/>
      <c r="F356" s="289">
        <v>3873150</v>
      </c>
    </row>
    <row r="357" spans="1:6" ht="15" x14ac:dyDescent="0.3">
      <c r="A357" s="33">
        <v>45740</v>
      </c>
      <c r="B357" s="31" t="s">
        <v>1755</v>
      </c>
      <c r="C357" s="11" t="s">
        <v>1377</v>
      </c>
      <c r="D357" s="17" t="s">
        <v>1759</v>
      </c>
      <c r="E357" s="432"/>
      <c r="F357" s="289">
        <v>7799000</v>
      </c>
    </row>
    <row r="358" spans="1:6" ht="15" x14ac:dyDescent="0.3">
      <c r="A358" s="33">
        <v>45740</v>
      </c>
      <c r="B358" s="31" t="s">
        <v>1755</v>
      </c>
      <c r="C358" s="11" t="s">
        <v>1377</v>
      </c>
      <c r="D358" s="17" t="s">
        <v>1760</v>
      </c>
      <c r="E358" s="432"/>
      <c r="F358" s="289">
        <v>2900</v>
      </c>
    </row>
    <row r="359" spans="1:6" ht="15" x14ac:dyDescent="0.3">
      <c r="A359" s="6">
        <v>45763</v>
      </c>
      <c r="B359" s="9" t="s">
        <v>1761</v>
      </c>
      <c r="C359" s="9" t="s">
        <v>1377</v>
      </c>
      <c r="D359" s="30" t="s">
        <v>1762</v>
      </c>
      <c r="E359" s="335"/>
      <c r="F359" s="433">
        <v>31500000</v>
      </c>
    </row>
    <row r="360" spans="1:6" ht="15" x14ac:dyDescent="0.3">
      <c r="A360" s="6">
        <v>45763</v>
      </c>
      <c r="B360" s="9" t="s">
        <v>1761</v>
      </c>
      <c r="C360" s="9" t="s">
        <v>1377</v>
      </c>
      <c r="D360" s="30" t="s">
        <v>1763</v>
      </c>
      <c r="E360" s="335"/>
      <c r="F360" s="433">
        <v>3465000</v>
      </c>
    </row>
    <row r="361" spans="1:6" ht="15" x14ac:dyDescent="0.3">
      <c r="A361" s="6">
        <v>45763</v>
      </c>
      <c r="B361" s="9" t="s">
        <v>1761</v>
      </c>
      <c r="C361" s="9" t="s">
        <v>1377</v>
      </c>
      <c r="D361" s="30" t="s">
        <v>1764</v>
      </c>
      <c r="E361" s="335"/>
      <c r="F361" s="433">
        <v>-630000</v>
      </c>
    </row>
    <row r="362" spans="1:6" ht="15" x14ac:dyDescent="0.3">
      <c r="A362" s="6">
        <v>45763</v>
      </c>
      <c r="B362" s="9" t="s">
        <v>1761</v>
      </c>
      <c r="C362" s="9" t="s">
        <v>1377</v>
      </c>
      <c r="D362" s="30" t="s">
        <v>1765</v>
      </c>
      <c r="E362" s="335"/>
      <c r="F362" s="433">
        <v>2900</v>
      </c>
    </row>
    <row r="363" spans="1:6" ht="15" x14ac:dyDescent="0.3">
      <c r="A363" s="6">
        <v>45763</v>
      </c>
      <c r="B363" s="9" t="s">
        <v>306</v>
      </c>
      <c r="C363" s="7" t="s">
        <v>1377</v>
      </c>
      <c r="D363" s="30" t="s">
        <v>1766</v>
      </c>
      <c r="E363" s="335"/>
      <c r="F363" s="335">
        <v>39923160</v>
      </c>
    </row>
    <row r="364" spans="1:6" ht="15" x14ac:dyDescent="0.3">
      <c r="A364" s="6">
        <v>45763</v>
      </c>
      <c r="B364" s="9" t="s">
        <v>306</v>
      </c>
      <c r="C364" s="7" t="s">
        <v>1377</v>
      </c>
      <c r="D364" s="30" t="s">
        <v>1767</v>
      </c>
      <c r="E364" s="335"/>
      <c r="F364" s="335">
        <v>439154</v>
      </c>
    </row>
    <row r="365" spans="1:6" ht="15" x14ac:dyDescent="0.3">
      <c r="A365" s="6">
        <v>45763</v>
      </c>
      <c r="B365" s="9" t="s">
        <v>306</v>
      </c>
      <c r="C365" s="7" t="s">
        <v>1377</v>
      </c>
      <c r="D365" s="30" t="s">
        <v>1768</v>
      </c>
      <c r="E365" s="335"/>
      <c r="F365" s="335">
        <v>-798463</v>
      </c>
    </row>
    <row r="366" spans="1:6" ht="15" x14ac:dyDescent="0.3">
      <c r="A366" s="6">
        <v>45772</v>
      </c>
      <c r="B366" s="9" t="s">
        <v>377</v>
      </c>
      <c r="C366" s="44" t="s">
        <v>1377</v>
      </c>
      <c r="D366" s="30" t="s">
        <v>1769</v>
      </c>
      <c r="E366" s="433"/>
      <c r="F366" s="335">
        <v>40000</v>
      </c>
    </row>
    <row r="367" spans="1:6" ht="15" x14ac:dyDescent="0.3">
      <c r="A367" s="6">
        <v>45791</v>
      </c>
      <c r="B367" s="9" t="s">
        <v>1279</v>
      </c>
      <c r="C367" s="44" t="s">
        <v>1377</v>
      </c>
      <c r="D367" s="26" t="s">
        <v>1770</v>
      </c>
      <c r="E367" s="421"/>
      <c r="F367" s="299">
        <v>30842500</v>
      </c>
    </row>
    <row r="368" spans="1:6" ht="15" x14ac:dyDescent="0.3">
      <c r="A368" s="6">
        <v>45791</v>
      </c>
      <c r="B368" s="9" t="s">
        <v>1279</v>
      </c>
      <c r="C368" s="44" t="s">
        <v>1377</v>
      </c>
      <c r="D368" s="26" t="s">
        <v>1771</v>
      </c>
      <c r="E368" s="421"/>
      <c r="F368" s="299">
        <v>339268</v>
      </c>
    </row>
    <row r="369" spans="1:6" ht="15" x14ac:dyDescent="0.3">
      <c r="A369" s="6">
        <v>45791</v>
      </c>
      <c r="B369" s="9" t="s">
        <v>1279</v>
      </c>
      <c r="C369" s="44" t="s">
        <v>1377</v>
      </c>
      <c r="D369" s="26" t="s">
        <v>1772</v>
      </c>
      <c r="E369" s="421"/>
      <c r="F369" s="299">
        <v>-616850</v>
      </c>
    </row>
    <row r="370" spans="1:6" ht="15" x14ac:dyDescent="0.3">
      <c r="A370" s="6">
        <v>45808</v>
      </c>
      <c r="B370" s="9" t="s">
        <v>1319</v>
      </c>
      <c r="C370" s="31" t="s">
        <v>1377</v>
      </c>
      <c r="D370" s="46" t="s">
        <v>1773</v>
      </c>
      <c r="E370" s="421"/>
      <c r="F370" s="299">
        <v>24000000</v>
      </c>
    </row>
    <row r="371" spans="1:6" ht="15" x14ac:dyDescent="0.3">
      <c r="A371" s="6">
        <v>45808</v>
      </c>
      <c r="B371" s="9" t="s">
        <v>1319</v>
      </c>
      <c r="C371" s="31" t="s">
        <v>1377</v>
      </c>
      <c r="D371" s="46" t="s">
        <v>1774</v>
      </c>
      <c r="E371" s="421"/>
      <c r="F371" s="299">
        <v>6000000</v>
      </c>
    </row>
    <row r="372" spans="1:6" ht="15" x14ac:dyDescent="0.3">
      <c r="A372" s="6">
        <v>45808</v>
      </c>
      <c r="B372" s="9" t="s">
        <v>1775</v>
      </c>
      <c r="C372" s="31" t="s">
        <v>1377</v>
      </c>
      <c r="D372" s="46" t="s">
        <v>1776</v>
      </c>
      <c r="E372" s="421">
        <v>7500000</v>
      </c>
      <c r="F372" s="299"/>
    </row>
    <row r="373" spans="1:6" ht="15" x14ac:dyDescent="0.3">
      <c r="A373" s="6">
        <v>45808</v>
      </c>
      <c r="B373" s="9" t="s">
        <v>1775</v>
      </c>
      <c r="C373" s="31" t="s">
        <v>1377</v>
      </c>
      <c r="D373" s="46" t="s">
        <v>1777</v>
      </c>
      <c r="E373" s="421"/>
      <c r="F373" s="299">
        <v>7500000</v>
      </c>
    </row>
    <row r="374" spans="1:6" ht="15" x14ac:dyDescent="0.3">
      <c r="A374" s="6">
        <v>45818</v>
      </c>
      <c r="B374" s="9" t="s">
        <v>1778</v>
      </c>
      <c r="C374" s="7" t="s">
        <v>1377</v>
      </c>
      <c r="D374" s="48" t="s">
        <v>1779</v>
      </c>
      <c r="E374" s="433">
        <v>54936000</v>
      </c>
      <c r="F374" s="335"/>
    </row>
    <row r="375" spans="1:6" ht="15" x14ac:dyDescent="0.3">
      <c r="A375" s="6">
        <v>45818</v>
      </c>
      <c r="B375" s="9" t="s">
        <v>1778</v>
      </c>
      <c r="C375" s="7" t="s">
        <v>1377</v>
      </c>
      <c r="D375" s="48" t="s">
        <v>1780</v>
      </c>
      <c r="E375" s="433">
        <v>-13000</v>
      </c>
      <c r="F375" s="335"/>
    </row>
    <row r="376" spans="1:6" ht="15" x14ac:dyDescent="0.3">
      <c r="A376" s="6">
        <v>45819</v>
      </c>
      <c r="B376" s="9" t="s">
        <v>512</v>
      </c>
      <c r="C376" s="7" t="s">
        <v>1377</v>
      </c>
      <c r="D376" s="48" t="s">
        <v>1781</v>
      </c>
      <c r="E376" s="433"/>
      <c r="F376" s="335">
        <v>60000</v>
      </c>
    </row>
    <row r="377" spans="1:6" ht="15" x14ac:dyDescent="0.3">
      <c r="A377" s="6">
        <v>45819</v>
      </c>
      <c r="B377" s="9" t="s">
        <v>806</v>
      </c>
      <c r="C377" s="7" t="s">
        <v>1377</v>
      </c>
      <c r="D377" s="48" t="s">
        <v>1782</v>
      </c>
      <c r="E377" s="433"/>
      <c r="F377" s="335">
        <v>497200</v>
      </c>
    </row>
    <row r="378" spans="1:6" ht="15" x14ac:dyDescent="0.3">
      <c r="A378" s="6">
        <v>45824</v>
      </c>
      <c r="B378" s="9" t="s">
        <v>1783</v>
      </c>
      <c r="C378" s="7" t="s">
        <v>1377</v>
      </c>
      <c r="D378" s="48" t="s">
        <v>1784</v>
      </c>
      <c r="E378" s="433">
        <v>354090</v>
      </c>
      <c r="F378" s="335"/>
    </row>
    <row r="379" spans="1:6" ht="15" x14ac:dyDescent="0.3">
      <c r="A379" s="6">
        <v>45824</v>
      </c>
      <c r="B379" s="9" t="s">
        <v>1783</v>
      </c>
      <c r="C379" s="7" t="s">
        <v>1377</v>
      </c>
      <c r="D379" s="48" t="s">
        <v>1785</v>
      </c>
      <c r="E379" s="433">
        <v>-90</v>
      </c>
      <c r="F379" s="335"/>
    </row>
    <row r="380" spans="1:6" ht="15" x14ac:dyDescent="0.3">
      <c r="A380" s="6">
        <v>45825</v>
      </c>
      <c r="B380" s="9" t="s">
        <v>1786</v>
      </c>
      <c r="C380" s="31" t="s">
        <v>1377</v>
      </c>
      <c r="D380" s="46" t="s">
        <v>447</v>
      </c>
      <c r="E380" s="421"/>
      <c r="F380" s="299">
        <v>267000</v>
      </c>
    </row>
    <row r="381" spans="1:6" ht="15" x14ac:dyDescent="0.3">
      <c r="A381" s="6">
        <v>45825</v>
      </c>
      <c r="B381" s="9" t="s">
        <v>1786</v>
      </c>
      <c r="C381" s="31" t="s">
        <v>1377</v>
      </c>
      <c r="D381" s="46" t="s">
        <v>1787</v>
      </c>
      <c r="E381" s="421"/>
      <c r="F381" s="299">
        <v>150000</v>
      </c>
    </row>
    <row r="382" spans="1:6" ht="15" x14ac:dyDescent="0.3">
      <c r="A382" s="6">
        <v>45825</v>
      </c>
      <c r="B382" s="9" t="s">
        <v>1786</v>
      </c>
      <c r="C382" s="31" t="s">
        <v>1377</v>
      </c>
      <c r="D382" s="46" t="s">
        <v>446</v>
      </c>
      <c r="E382" s="421"/>
      <c r="F382" s="299">
        <v>103000</v>
      </c>
    </row>
    <row r="383" spans="1:6" ht="15" x14ac:dyDescent="0.3">
      <c r="A383" s="6">
        <v>45825</v>
      </c>
      <c r="B383" s="9" t="s">
        <v>1786</v>
      </c>
      <c r="C383" s="31" t="s">
        <v>1377</v>
      </c>
      <c r="D383" s="46" t="s">
        <v>1788</v>
      </c>
      <c r="E383" s="421"/>
      <c r="F383" s="299">
        <v>2900</v>
      </c>
    </row>
    <row r="384" spans="1:6" ht="15" x14ac:dyDescent="0.3">
      <c r="A384" s="6">
        <v>45825</v>
      </c>
      <c r="B384" s="9" t="s">
        <v>523</v>
      </c>
      <c r="C384" s="31" t="s">
        <v>1377</v>
      </c>
      <c r="D384" s="46" t="s">
        <v>1789</v>
      </c>
      <c r="E384" s="421"/>
      <c r="F384" s="299">
        <v>80000</v>
      </c>
    </row>
    <row r="385" spans="1:6" ht="15" x14ac:dyDescent="0.3">
      <c r="A385" s="6">
        <v>45839</v>
      </c>
      <c r="B385" s="9" t="s">
        <v>1790</v>
      </c>
      <c r="C385" s="31" t="s">
        <v>1377</v>
      </c>
      <c r="D385" s="46" t="s">
        <v>1791</v>
      </c>
      <c r="E385" s="421"/>
      <c r="F385" s="299">
        <v>440216</v>
      </c>
    </row>
    <row r="386" spans="1:6" ht="15" x14ac:dyDescent="0.3">
      <c r="A386" s="6">
        <v>45839</v>
      </c>
      <c r="B386" s="9" t="s">
        <v>1792</v>
      </c>
      <c r="C386" s="31" t="s">
        <v>1377</v>
      </c>
      <c r="D386" s="46" t="s">
        <v>102</v>
      </c>
      <c r="E386" s="421"/>
      <c r="F386" s="299">
        <v>24000</v>
      </c>
    </row>
    <row r="387" spans="1:6" ht="15" x14ac:dyDescent="0.3">
      <c r="A387" s="6">
        <v>45842</v>
      </c>
      <c r="B387" s="9" t="s">
        <v>1793</v>
      </c>
      <c r="C387" s="31" t="s">
        <v>1377</v>
      </c>
      <c r="D387" s="46" t="s">
        <v>404</v>
      </c>
      <c r="E387" s="421"/>
      <c r="F387" s="299">
        <v>191000</v>
      </c>
    </row>
    <row r="388" spans="1:6" ht="15" x14ac:dyDescent="0.3">
      <c r="A388" s="6">
        <v>45842</v>
      </c>
      <c r="B388" s="9" t="s">
        <v>1793</v>
      </c>
      <c r="C388" s="31" t="s">
        <v>1377</v>
      </c>
      <c r="D388" s="46" t="s">
        <v>1794</v>
      </c>
      <c r="E388" s="421"/>
      <c r="F388" s="299">
        <v>540600</v>
      </c>
    </row>
    <row r="389" spans="1:6" ht="15" x14ac:dyDescent="0.3">
      <c r="A389" s="32">
        <v>45842</v>
      </c>
      <c r="B389" s="9" t="s">
        <v>1795</v>
      </c>
      <c r="C389" s="11" t="s">
        <v>1377</v>
      </c>
      <c r="D389" s="26" t="s">
        <v>1268</v>
      </c>
      <c r="E389" s="421"/>
      <c r="F389" s="299">
        <v>114500</v>
      </c>
    </row>
    <row r="390" spans="1:6" ht="15" x14ac:dyDescent="0.3">
      <c r="A390" s="105">
        <v>45862</v>
      </c>
      <c r="B390" s="11" t="s">
        <v>2246</v>
      </c>
      <c r="C390" s="11" t="s">
        <v>1377</v>
      </c>
      <c r="D390" s="182" t="s">
        <v>2247</v>
      </c>
      <c r="E390" s="372"/>
      <c r="F390" s="283">
        <v>160500</v>
      </c>
    </row>
    <row r="391" spans="1:6" ht="15" x14ac:dyDescent="0.3">
      <c r="A391" s="33">
        <v>45849</v>
      </c>
      <c r="B391" s="11" t="s">
        <v>2248</v>
      </c>
      <c r="C391" s="31" t="s">
        <v>1377</v>
      </c>
      <c r="D391" s="12" t="s">
        <v>404</v>
      </c>
      <c r="E391" s="370"/>
      <c r="F391" s="289">
        <v>345000</v>
      </c>
    </row>
    <row r="392" spans="1:6" ht="15" x14ac:dyDescent="0.3">
      <c r="A392" s="33">
        <v>45849</v>
      </c>
      <c r="B392" s="11" t="s">
        <v>2248</v>
      </c>
      <c r="C392" s="31" t="s">
        <v>1377</v>
      </c>
      <c r="D392" s="25" t="s">
        <v>405</v>
      </c>
      <c r="E392" s="370"/>
      <c r="F392" s="289">
        <v>660000</v>
      </c>
    </row>
    <row r="393" spans="1:6" ht="15" x14ac:dyDescent="0.3">
      <c r="A393" s="33">
        <v>45849</v>
      </c>
      <c r="B393" s="11" t="s">
        <v>2248</v>
      </c>
      <c r="C393" s="31" t="s">
        <v>1377</v>
      </c>
      <c r="D393" s="12" t="s">
        <v>2249</v>
      </c>
      <c r="E393" s="370"/>
      <c r="F393" s="289">
        <v>654400</v>
      </c>
    </row>
    <row r="394" spans="1:6" ht="15" x14ac:dyDescent="0.3">
      <c r="A394" s="33">
        <v>45849</v>
      </c>
      <c r="B394" s="11" t="s">
        <v>2250</v>
      </c>
      <c r="C394" s="31" t="s">
        <v>1377</v>
      </c>
      <c r="D394" s="46" t="s">
        <v>2251</v>
      </c>
      <c r="E394" s="370"/>
      <c r="F394" s="289">
        <v>269907</v>
      </c>
    </row>
    <row r="395" spans="1:6" ht="15" x14ac:dyDescent="0.3">
      <c r="A395" s="33">
        <v>45849</v>
      </c>
      <c r="B395" s="11" t="s">
        <v>2250</v>
      </c>
      <c r="C395" s="31" t="s">
        <v>1377</v>
      </c>
      <c r="D395" s="46" t="s">
        <v>2252</v>
      </c>
      <c r="E395" s="370"/>
      <c r="F395" s="289">
        <v>2900</v>
      </c>
    </row>
    <row r="396" spans="1:6" ht="15" x14ac:dyDescent="0.3">
      <c r="A396" s="6">
        <v>45852</v>
      </c>
      <c r="B396" s="9" t="s">
        <v>2253</v>
      </c>
      <c r="C396" s="31" t="s">
        <v>1377</v>
      </c>
      <c r="D396" s="46" t="s">
        <v>4047</v>
      </c>
      <c r="E396" s="370"/>
      <c r="F396" s="289">
        <v>10000000</v>
      </c>
    </row>
    <row r="397" spans="1:6" ht="15" x14ac:dyDescent="0.3">
      <c r="A397" s="6">
        <v>45852</v>
      </c>
      <c r="B397" s="9" t="s">
        <v>2253</v>
      </c>
      <c r="C397" s="31" t="s">
        <v>1377</v>
      </c>
      <c r="D397" s="46" t="s">
        <v>4048</v>
      </c>
      <c r="E397" s="370"/>
      <c r="F397" s="289">
        <v>30000000</v>
      </c>
    </row>
    <row r="398" spans="1:6" ht="15" x14ac:dyDescent="0.3">
      <c r="A398" s="6">
        <v>45852</v>
      </c>
      <c r="B398" s="9" t="s">
        <v>2253</v>
      </c>
      <c r="C398" s="31" t="s">
        <v>1377</v>
      </c>
      <c r="D398" s="46" t="s">
        <v>4049</v>
      </c>
      <c r="E398" s="370"/>
      <c r="F398" s="289">
        <v>30000000</v>
      </c>
    </row>
    <row r="399" spans="1:6" ht="15" x14ac:dyDescent="0.3">
      <c r="A399" s="33">
        <v>45859</v>
      </c>
      <c r="B399" s="11" t="s">
        <v>2197</v>
      </c>
      <c r="C399" s="10" t="s">
        <v>1377</v>
      </c>
      <c r="D399" s="12" t="s">
        <v>2254</v>
      </c>
      <c r="E399" s="370"/>
      <c r="F399" s="285">
        <v>6000</v>
      </c>
    </row>
    <row r="400" spans="1:6" ht="15" x14ac:dyDescent="0.3">
      <c r="A400" s="33">
        <v>45863</v>
      </c>
      <c r="B400" s="11" t="s">
        <v>2230</v>
      </c>
      <c r="C400" s="21" t="s">
        <v>1377</v>
      </c>
      <c r="D400" s="25" t="s">
        <v>2255</v>
      </c>
      <c r="E400" s="370"/>
      <c r="F400" s="417">
        <v>154000</v>
      </c>
    </row>
    <row r="401" spans="1:6" ht="15" x14ac:dyDescent="0.3">
      <c r="A401" s="33">
        <v>45863</v>
      </c>
      <c r="B401" s="11" t="s">
        <v>2230</v>
      </c>
      <c r="C401" s="21" t="s">
        <v>1377</v>
      </c>
      <c r="D401" s="12" t="s">
        <v>2256</v>
      </c>
      <c r="E401" s="370"/>
      <c r="F401" s="285">
        <v>28000</v>
      </c>
    </row>
    <row r="402" spans="1:6" ht="15" x14ac:dyDescent="0.3">
      <c r="A402" s="33">
        <v>45863</v>
      </c>
      <c r="B402" s="11" t="s">
        <v>2230</v>
      </c>
      <c r="C402" s="21" t="s">
        <v>1377</v>
      </c>
      <c r="D402" s="12" t="s">
        <v>2257</v>
      </c>
      <c r="E402" s="370"/>
      <c r="F402" s="285">
        <v>100000</v>
      </c>
    </row>
    <row r="403" spans="1:6" ht="15" x14ac:dyDescent="0.3">
      <c r="A403" s="33">
        <v>45863</v>
      </c>
      <c r="B403" s="11" t="s">
        <v>2258</v>
      </c>
      <c r="C403" s="31" t="s">
        <v>1377</v>
      </c>
      <c r="D403" s="181" t="s">
        <v>405</v>
      </c>
      <c r="E403" s="370"/>
      <c r="F403" s="429">
        <v>570836</v>
      </c>
    </row>
    <row r="404" spans="1:6" ht="15" x14ac:dyDescent="0.3">
      <c r="A404" s="33">
        <v>45863</v>
      </c>
      <c r="B404" s="11" t="s">
        <v>2258</v>
      </c>
      <c r="C404" s="31" t="s">
        <v>1377</v>
      </c>
      <c r="D404" s="181" t="s">
        <v>2259</v>
      </c>
      <c r="E404" s="370"/>
      <c r="F404" s="429">
        <v>397000</v>
      </c>
    </row>
    <row r="405" spans="1:6" ht="15" x14ac:dyDescent="0.3">
      <c r="A405" s="105">
        <v>45863</v>
      </c>
      <c r="B405" s="11" t="s">
        <v>2258</v>
      </c>
      <c r="C405" s="11" t="s">
        <v>1377</v>
      </c>
      <c r="D405" s="183" t="s">
        <v>2260</v>
      </c>
      <c r="E405" s="370"/>
      <c r="F405" s="283">
        <v>468100</v>
      </c>
    </row>
    <row r="406" spans="1:6" ht="15" x14ac:dyDescent="0.3">
      <c r="A406" s="33">
        <v>45876</v>
      </c>
      <c r="B406" s="11" t="s">
        <v>4044</v>
      </c>
      <c r="C406" s="31" t="s">
        <v>1377</v>
      </c>
      <c r="D406" s="157" t="s">
        <v>4045</v>
      </c>
      <c r="E406" s="370"/>
      <c r="F406" s="429">
        <v>50500</v>
      </c>
    </row>
    <row r="407" spans="1:6" ht="15" x14ac:dyDescent="0.3">
      <c r="A407" s="105">
        <v>45888</v>
      </c>
      <c r="B407" s="11" t="s">
        <v>3451</v>
      </c>
      <c r="C407" s="168" t="s">
        <v>1377</v>
      </c>
      <c r="D407" s="196" t="s">
        <v>4046</v>
      </c>
      <c r="E407" s="434"/>
      <c r="F407" s="299">
        <v>352000</v>
      </c>
    </row>
    <row r="408" spans="1:6" ht="15" x14ac:dyDescent="0.3">
      <c r="A408" s="198">
        <v>45909</v>
      </c>
      <c r="B408" s="38" t="s">
        <v>4436</v>
      </c>
      <c r="C408" s="38" t="s">
        <v>1377</v>
      </c>
      <c r="D408" s="214" t="s">
        <v>379</v>
      </c>
      <c r="E408" s="435"/>
      <c r="F408" s="366">
        <v>12000</v>
      </c>
    </row>
    <row r="409" spans="1:6" ht="15" x14ac:dyDescent="0.3">
      <c r="A409" s="105">
        <v>45909</v>
      </c>
      <c r="B409" s="11" t="s">
        <v>4436</v>
      </c>
      <c r="C409" s="11" t="s">
        <v>1377</v>
      </c>
      <c r="D409" s="213" t="s">
        <v>105</v>
      </c>
      <c r="E409" s="290"/>
      <c r="F409" s="289">
        <v>2500</v>
      </c>
    </row>
    <row r="410" spans="1:6" ht="15" x14ac:dyDescent="0.3">
      <c r="A410" s="108">
        <v>45919</v>
      </c>
      <c r="B410" s="15" t="s">
        <v>4553</v>
      </c>
      <c r="C410" s="15" t="s">
        <v>1377</v>
      </c>
      <c r="D410" s="212" t="s">
        <v>4243</v>
      </c>
      <c r="E410" s="292"/>
      <c r="F410" s="285">
        <v>241000</v>
      </c>
    </row>
    <row r="411" spans="1:6" ht="15" x14ac:dyDescent="0.3">
      <c r="A411" s="108">
        <v>45919</v>
      </c>
      <c r="B411" s="15" t="s">
        <v>4553</v>
      </c>
      <c r="C411" s="15" t="s">
        <v>1377</v>
      </c>
      <c r="D411" s="212" t="s">
        <v>446</v>
      </c>
      <c r="E411" s="292"/>
      <c r="F411" s="285">
        <v>210052</v>
      </c>
    </row>
    <row r="412" spans="1:6" ht="15" x14ac:dyDescent="0.3">
      <c r="A412" s="108">
        <v>45919</v>
      </c>
      <c r="B412" s="15" t="s">
        <v>4553</v>
      </c>
      <c r="C412" s="15" t="s">
        <v>1377</v>
      </c>
      <c r="D412" s="212" t="s">
        <v>4554</v>
      </c>
      <c r="E412" s="292"/>
      <c r="F412" s="285">
        <v>275000</v>
      </c>
    </row>
    <row r="413" spans="1:6" ht="15" x14ac:dyDescent="0.3">
      <c r="A413" s="215">
        <v>45919</v>
      </c>
      <c r="B413" s="216" t="s">
        <v>4553</v>
      </c>
      <c r="C413" s="216" t="s">
        <v>1377</v>
      </c>
      <c r="D413" s="217" t="s">
        <v>4555</v>
      </c>
      <c r="E413" s="436"/>
      <c r="F413" s="437">
        <v>2900</v>
      </c>
    </row>
  </sheetData>
  <autoFilter ref="A2:F405" xr:uid="{18ABEBCA-2617-4D54-907E-B3C28C9E6086}"/>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808D7-6F01-48DB-AE82-D826B0093918}">
  <dimension ref="A2:F200"/>
  <sheetViews>
    <sheetView workbookViewId="0">
      <pane xSplit="3" ySplit="2" topLeftCell="D183" activePane="bottomRight" state="frozen"/>
      <selection pane="topRight" activeCell="D1" sqref="D1"/>
      <selection pane="bottomLeft" activeCell="A3" sqref="A3"/>
      <selection pane="bottomRight" activeCell="D194" sqref="D194"/>
    </sheetView>
  </sheetViews>
  <sheetFormatPr defaultRowHeight="14.4" x14ac:dyDescent="0.3"/>
  <cols>
    <col min="1" max="3" width="13.88671875" style="83" customWidth="1"/>
    <col min="4" max="4" width="111" style="83" customWidth="1"/>
    <col min="5" max="6" width="18.88671875" style="455" customWidth="1"/>
    <col min="7" max="16384" width="8.88671875" style="83"/>
  </cols>
  <sheetData>
    <row r="2" spans="1:6" ht="15.6" x14ac:dyDescent="0.3">
      <c r="A2" s="1" t="s">
        <v>0</v>
      </c>
      <c r="B2" s="2" t="s">
        <v>1</v>
      </c>
      <c r="C2" s="2" t="s">
        <v>2</v>
      </c>
      <c r="D2" s="2" t="s">
        <v>3</v>
      </c>
      <c r="E2" s="412" t="s">
        <v>4</v>
      </c>
      <c r="F2" s="397" t="s">
        <v>5</v>
      </c>
    </row>
    <row r="3" spans="1:6" ht="15" x14ac:dyDescent="0.3">
      <c r="A3" s="3">
        <v>45637</v>
      </c>
      <c r="B3" s="4" t="s">
        <v>1796</v>
      </c>
      <c r="C3" s="4" t="s">
        <v>1797</v>
      </c>
      <c r="D3" s="84" t="s">
        <v>1798</v>
      </c>
      <c r="E3" s="425"/>
      <c r="F3" s="426">
        <v>45000000</v>
      </c>
    </row>
    <row r="4" spans="1:6" ht="15" x14ac:dyDescent="0.3">
      <c r="A4" s="3">
        <v>45637</v>
      </c>
      <c r="B4" s="4" t="s">
        <v>1796</v>
      </c>
      <c r="C4" s="4" t="s">
        <v>1797</v>
      </c>
      <c r="D4" s="84" t="s">
        <v>1799</v>
      </c>
      <c r="E4" s="425"/>
      <c r="F4" s="426">
        <v>140000000</v>
      </c>
    </row>
    <row r="5" spans="1:6" ht="15" x14ac:dyDescent="0.3">
      <c r="A5" s="3">
        <v>45637</v>
      </c>
      <c r="B5" s="4" t="s">
        <v>1796</v>
      </c>
      <c r="C5" s="4" t="s">
        <v>1797</v>
      </c>
      <c r="D5" s="84" t="s">
        <v>1800</v>
      </c>
      <c r="E5" s="425"/>
      <c r="F5" s="426">
        <v>54750000</v>
      </c>
    </row>
    <row r="6" spans="1:6" ht="15" x14ac:dyDescent="0.3">
      <c r="A6" s="6">
        <v>45733</v>
      </c>
      <c r="B6" s="7" t="s">
        <v>1801</v>
      </c>
      <c r="C6" s="7" t="s">
        <v>1797</v>
      </c>
      <c r="D6" s="8" t="s">
        <v>1802</v>
      </c>
      <c r="E6" s="413"/>
      <c r="F6" s="414">
        <v>5000000</v>
      </c>
    </row>
    <row r="7" spans="1:6" ht="15" x14ac:dyDescent="0.3">
      <c r="A7" s="6">
        <v>45733</v>
      </c>
      <c r="B7" s="7" t="s">
        <v>1801</v>
      </c>
      <c r="C7" s="7" t="s">
        <v>1797</v>
      </c>
      <c r="D7" s="8" t="s">
        <v>1803</v>
      </c>
      <c r="E7" s="413"/>
      <c r="F7" s="414">
        <v>2500</v>
      </c>
    </row>
    <row r="8" spans="1:6" ht="15" x14ac:dyDescent="0.3">
      <c r="A8" s="32">
        <v>45793</v>
      </c>
      <c r="B8" s="37" t="s">
        <v>631</v>
      </c>
      <c r="C8" s="9" t="s">
        <v>1797</v>
      </c>
      <c r="D8" s="56" t="s">
        <v>1804</v>
      </c>
      <c r="E8" s="415"/>
      <c r="F8" s="305">
        <v>51000</v>
      </c>
    </row>
    <row r="9" spans="1:6" ht="15" x14ac:dyDescent="0.3">
      <c r="A9" s="6">
        <v>45804</v>
      </c>
      <c r="B9" s="31" t="s">
        <v>212</v>
      </c>
      <c r="C9" s="7" t="s">
        <v>1797</v>
      </c>
      <c r="D9" s="8" t="s">
        <v>1805</v>
      </c>
      <c r="E9" s="415"/>
      <c r="F9" s="414">
        <v>460000</v>
      </c>
    </row>
    <row r="10" spans="1:6" ht="15" x14ac:dyDescent="0.3">
      <c r="A10" s="18">
        <v>45698</v>
      </c>
      <c r="B10" s="37" t="s">
        <v>1806</v>
      </c>
      <c r="C10" s="15" t="s">
        <v>1807</v>
      </c>
      <c r="D10" s="74" t="s">
        <v>1808</v>
      </c>
      <c r="E10" s="443"/>
      <c r="F10" s="430">
        <v>11844000</v>
      </c>
    </row>
    <row r="11" spans="1:6" ht="15" x14ac:dyDescent="0.3">
      <c r="A11" s="6">
        <v>45715</v>
      </c>
      <c r="B11" s="9" t="s">
        <v>1809</v>
      </c>
      <c r="C11" s="11" t="s">
        <v>1807</v>
      </c>
      <c r="D11" s="13" t="s">
        <v>1810</v>
      </c>
      <c r="E11" s="289"/>
      <c r="F11" s="416">
        <v>27778800</v>
      </c>
    </row>
    <row r="12" spans="1:6" ht="15" x14ac:dyDescent="0.3">
      <c r="A12" s="6">
        <v>45715</v>
      </c>
      <c r="B12" s="9" t="s">
        <v>1809</v>
      </c>
      <c r="C12" s="11" t="s">
        <v>1807</v>
      </c>
      <c r="D12" s="13" t="s">
        <v>1811</v>
      </c>
      <c r="E12" s="289"/>
      <c r="F12" s="416">
        <v>413375</v>
      </c>
    </row>
    <row r="13" spans="1:6" ht="15" x14ac:dyDescent="0.3">
      <c r="A13" s="6">
        <v>45721</v>
      </c>
      <c r="B13" s="9" t="s">
        <v>1812</v>
      </c>
      <c r="C13" s="11" t="s">
        <v>1797</v>
      </c>
      <c r="D13" s="13" t="s">
        <v>1813</v>
      </c>
      <c r="E13" s="289"/>
      <c r="F13" s="416">
        <v>55540465</v>
      </c>
    </row>
    <row r="14" spans="1:6" ht="15" x14ac:dyDescent="0.3">
      <c r="A14" s="6">
        <v>45721</v>
      </c>
      <c r="B14" s="9" t="s">
        <v>1812</v>
      </c>
      <c r="C14" s="11" t="s">
        <v>1797</v>
      </c>
      <c r="D14" s="13" t="s">
        <v>1814</v>
      </c>
      <c r="E14" s="289"/>
      <c r="F14" s="416">
        <v>412750</v>
      </c>
    </row>
    <row r="15" spans="1:6" ht="15" x14ac:dyDescent="0.3">
      <c r="A15" s="6">
        <v>45729</v>
      </c>
      <c r="B15" s="9" t="s">
        <v>1815</v>
      </c>
      <c r="C15" s="11" t="s">
        <v>1797</v>
      </c>
      <c r="D15" s="12" t="s">
        <v>1816</v>
      </c>
      <c r="E15" s="289"/>
      <c r="F15" s="416">
        <v>59307960</v>
      </c>
    </row>
    <row r="16" spans="1:6" ht="15" x14ac:dyDescent="0.3">
      <c r="A16" s="6">
        <v>45729</v>
      </c>
      <c r="B16" s="9" t="s">
        <v>1815</v>
      </c>
      <c r="C16" s="11" t="s">
        <v>1797</v>
      </c>
      <c r="D16" s="12" t="s">
        <v>1817</v>
      </c>
      <c r="E16" s="289"/>
      <c r="F16" s="416">
        <v>414625</v>
      </c>
    </row>
    <row r="17" spans="1:6" ht="15" x14ac:dyDescent="0.3">
      <c r="A17" s="6">
        <v>45743</v>
      </c>
      <c r="B17" s="9" t="s">
        <v>1818</v>
      </c>
      <c r="C17" s="20" t="s">
        <v>1797</v>
      </c>
      <c r="D17" s="12" t="s">
        <v>1819</v>
      </c>
      <c r="E17" s="289"/>
      <c r="F17" s="416">
        <v>139469960</v>
      </c>
    </row>
    <row r="18" spans="1:6" ht="15" x14ac:dyDescent="0.3">
      <c r="A18" s="6">
        <v>45784</v>
      </c>
      <c r="B18" s="9" t="s">
        <v>1820</v>
      </c>
      <c r="C18" s="11" t="s">
        <v>1797</v>
      </c>
      <c r="D18" s="16" t="s">
        <v>1821</v>
      </c>
      <c r="E18" s="289"/>
      <c r="F18" s="416">
        <v>130614848</v>
      </c>
    </row>
    <row r="19" spans="1:6" ht="15" x14ac:dyDescent="0.3">
      <c r="A19" s="6">
        <v>45784</v>
      </c>
      <c r="B19" s="9" t="s">
        <v>1820</v>
      </c>
      <c r="C19" s="11" t="s">
        <v>1797</v>
      </c>
      <c r="D19" s="16" t="s">
        <v>1822</v>
      </c>
      <c r="E19" s="289"/>
      <c r="F19" s="416">
        <v>416000</v>
      </c>
    </row>
    <row r="20" spans="1:6" ht="15" x14ac:dyDescent="0.3">
      <c r="A20" s="6">
        <v>45784</v>
      </c>
      <c r="B20" s="9" t="s">
        <v>1823</v>
      </c>
      <c r="C20" s="11" t="s">
        <v>1797</v>
      </c>
      <c r="D20" s="14" t="s">
        <v>1824</v>
      </c>
      <c r="E20" s="289"/>
      <c r="F20" s="416">
        <v>88345587</v>
      </c>
    </row>
    <row r="21" spans="1:6" ht="15" x14ac:dyDescent="0.3">
      <c r="A21" s="6">
        <v>45784</v>
      </c>
      <c r="B21" s="9" t="s">
        <v>1823</v>
      </c>
      <c r="C21" s="11" t="s">
        <v>1797</v>
      </c>
      <c r="D21" s="85" t="s">
        <v>1825</v>
      </c>
      <c r="E21" s="289"/>
      <c r="F21" s="416">
        <v>416000</v>
      </c>
    </row>
    <row r="22" spans="1:6" ht="15" x14ac:dyDescent="0.3">
      <c r="A22" s="6">
        <v>45799</v>
      </c>
      <c r="B22" s="9" t="s">
        <v>1826</v>
      </c>
      <c r="C22" s="10" t="s">
        <v>1797</v>
      </c>
      <c r="D22" s="86" t="s">
        <v>1827</v>
      </c>
      <c r="E22" s="289"/>
      <c r="F22" s="416">
        <v>5953253</v>
      </c>
    </row>
    <row r="23" spans="1:6" ht="15" x14ac:dyDescent="0.3">
      <c r="A23" s="6">
        <v>45799</v>
      </c>
      <c r="B23" s="9" t="s">
        <v>1826</v>
      </c>
      <c r="C23" s="10" t="s">
        <v>1797</v>
      </c>
      <c r="D23" s="86" t="s">
        <v>1828</v>
      </c>
      <c r="E23" s="289"/>
      <c r="F23" s="416">
        <v>411500</v>
      </c>
    </row>
    <row r="24" spans="1:6" ht="15" x14ac:dyDescent="0.3">
      <c r="A24" s="33">
        <v>45681</v>
      </c>
      <c r="B24" s="11" t="s">
        <v>1829</v>
      </c>
      <c r="C24" s="11" t="s">
        <v>1797</v>
      </c>
      <c r="D24" s="34" t="s">
        <v>1648</v>
      </c>
      <c r="E24" s="289"/>
      <c r="F24" s="416">
        <v>88000</v>
      </c>
    </row>
    <row r="25" spans="1:6" ht="15" x14ac:dyDescent="0.3">
      <c r="A25" s="33">
        <v>45693</v>
      </c>
      <c r="B25" s="11" t="s">
        <v>1048</v>
      </c>
      <c r="C25" s="11" t="s">
        <v>1797</v>
      </c>
      <c r="D25" s="63" t="s">
        <v>1830</v>
      </c>
      <c r="E25" s="371"/>
      <c r="F25" s="285">
        <v>533942</v>
      </c>
    </row>
    <row r="26" spans="1:6" ht="15" x14ac:dyDescent="0.3">
      <c r="A26" s="33">
        <v>45693</v>
      </c>
      <c r="B26" s="11" t="s">
        <v>1048</v>
      </c>
      <c r="C26" s="11" t="s">
        <v>1797</v>
      </c>
      <c r="D26" s="63" t="s">
        <v>1831</v>
      </c>
      <c r="E26" s="371"/>
      <c r="F26" s="285">
        <v>20000</v>
      </c>
    </row>
    <row r="27" spans="1:6" ht="15" x14ac:dyDescent="0.3">
      <c r="A27" s="33">
        <v>45693</v>
      </c>
      <c r="B27" s="11" t="s">
        <v>1048</v>
      </c>
      <c r="C27" s="11" t="s">
        <v>1797</v>
      </c>
      <c r="D27" s="63" t="s">
        <v>1832</v>
      </c>
      <c r="E27" s="371"/>
      <c r="F27" s="285">
        <v>215000</v>
      </c>
    </row>
    <row r="28" spans="1:6" ht="15" x14ac:dyDescent="0.3">
      <c r="A28" s="33">
        <v>45702</v>
      </c>
      <c r="B28" s="11" t="s">
        <v>247</v>
      </c>
      <c r="C28" s="15" t="s">
        <v>1797</v>
      </c>
      <c r="D28" s="16" t="s">
        <v>1833</v>
      </c>
      <c r="E28" s="289"/>
      <c r="F28" s="416">
        <v>58000</v>
      </c>
    </row>
    <row r="29" spans="1:6" ht="15" x14ac:dyDescent="0.3">
      <c r="A29" s="33">
        <v>45709</v>
      </c>
      <c r="B29" s="31" t="s">
        <v>709</v>
      </c>
      <c r="C29" s="31" t="s">
        <v>1797</v>
      </c>
      <c r="D29" s="75" t="s">
        <v>1834</v>
      </c>
      <c r="E29" s="431"/>
      <c r="F29" s="416">
        <v>2200000</v>
      </c>
    </row>
    <row r="30" spans="1:6" ht="15" x14ac:dyDescent="0.3">
      <c r="A30" s="33">
        <v>45716</v>
      </c>
      <c r="B30" s="31" t="s">
        <v>1835</v>
      </c>
      <c r="C30" s="35" t="s">
        <v>1836</v>
      </c>
      <c r="D30" s="40" t="s">
        <v>1837</v>
      </c>
      <c r="E30" s="431"/>
      <c r="F30" s="285">
        <v>5000000</v>
      </c>
    </row>
    <row r="31" spans="1:6" ht="15" x14ac:dyDescent="0.3">
      <c r="A31" s="33">
        <v>45728</v>
      </c>
      <c r="B31" s="31" t="s">
        <v>1838</v>
      </c>
      <c r="C31" s="21" t="s">
        <v>1797</v>
      </c>
      <c r="D31" s="12" t="s">
        <v>1839</v>
      </c>
      <c r="E31" s="431"/>
      <c r="F31" s="285">
        <v>200000</v>
      </c>
    </row>
    <row r="32" spans="1:6" ht="15" x14ac:dyDescent="0.3">
      <c r="A32" s="33">
        <v>45735</v>
      </c>
      <c r="B32" s="31" t="s">
        <v>1840</v>
      </c>
      <c r="C32" s="20" t="s">
        <v>1797</v>
      </c>
      <c r="D32" s="12" t="s">
        <v>1841</v>
      </c>
      <c r="E32" s="431"/>
      <c r="F32" s="416">
        <v>6300000</v>
      </c>
    </row>
    <row r="33" spans="1:6" ht="15" x14ac:dyDescent="0.3">
      <c r="A33" s="33">
        <v>45735</v>
      </c>
      <c r="B33" s="31" t="s">
        <v>1840</v>
      </c>
      <c r="C33" s="20" t="s">
        <v>1797</v>
      </c>
      <c r="D33" s="12" t="s">
        <v>1842</v>
      </c>
      <c r="E33" s="431"/>
      <c r="F33" s="416">
        <v>693000</v>
      </c>
    </row>
    <row r="34" spans="1:6" ht="15" x14ac:dyDescent="0.3">
      <c r="A34" s="33">
        <v>45735</v>
      </c>
      <c r="B34" s="31" t="s">
        <v>1840</v>
      </c>
      <c r="C34" s="20" t="s">
        <v>1797</v>
      </c>
      <c r="D34" s="12" t="s">
        <v>1843</v>
      </c>
      <c r="E34" s="431"/>
      <c r="F34" s="416">
        <v>-30000</v>
      </c>
    </row>
    <row r="35" spans="1:6" ht="15" x14ac:dyDescent="0.3">
      <c r="A35" s="33">
        <v>45735</v>
      </c>
      <c r="B35" s="31" t="s">
        <v>1840</v>
      </c>
      <c r="C35" s="20" t="s">
        <v>1797</v>
      </c>
      <c r="D35" s="12" t="s">
        <v>1844</v>
      </c>
      <c r="E35" s="431"/>
      <c r="F35" s="416">
        <v>2900</v>
      </c>
    </row>
    <row r="36" spans="1:6" ht="15" x14ac:dyDescent="0.3">
      <c r="A36" s="33">
        <v>45735</v>
      </c>
      <c r="B36" s="31" t="s">
        <v>1845</v>
      </c>
      <c r="C36" s="20" t="s">
        <v>1846</v>
      </c>
      <c r="D36" s="12" t="s">
        <v>1847</v>
      </c>
      <c r="E36" s="431"/>
      <c r="F36" s="416">
        <v>300000000</v>
      </c>
    </row>
    <row r="37" spans="1:6" ht="15" x14ac:dyDescent="0.3">
      <c r="A37" s="33">
        <v>45735</v>
      </c>
      <c r="B37" s="31" t="s">
        <v>1845</v>
      </c>
      <c r="C37" s="20" t="s">
        <v>1846</v>
      </c>
      <c r="D37" s="12" t="s">
        <v>1848</v>
      </c>
      <c r="E37" s="431"/>
      <c r="F37" s="416">
        <v>2900</v>
      </c>
    </row>
    <row r="38" spans="1:6" ht="15" x14ac:dyDescent="0.3">
      <c r="A38" s="33">
        <v>45737</v>
      </c>
      <c r="B38" s="31" t="s">
        <v>1201</v>
      </c>
      <c r="C38" s="15" t="s">
        <v>1797</v>
      </c>
      <c r="D38" s="12" t="s">
        <v>1849</v>
      </c>
      <c r="E38" s="444"/>
      <c r="F38" s="285">
        <v>1734694</v>
      </c>
    </row>
    <row r="39" spans="1:6" ht="15" x14ac:dyDescent="0.3">
      <c r="A39" s="33">
        <v>45737</v>
      </c>
      <c r="B39" s="31" t="s">
        <v>1201</v>
      </c>
      <c r="C39" s="15" t="s">
        <v>1797</v>
      </c>
      <c r="D39" s="12" t="s">
        <v>1850</v>
      </c>
      <c r="E39" s="444"/>
      <c r="F39" s="285">
        <v>-34694</v>
      </c>
    </row>
    <row r="40" spans="1:6" ht="15" x14ac:dyDescent="0.3">
      <c r="A40" s="33">
        <v>45737</v>
      </c>
      <c r="B40" s="31" t="s">
        <v>1201</v>
      </c>
      <c r="C40" s="15" t="s">
        <v>1797</v>
      </c>
      <c r="D40" s="12" t="s">
        <v>295</v>
      </c>
      <c r="E40" s="444"/>
      <c r="F40" s="285">
        <v>2500</v>
      </c>
    </row>
    <row r="41" spans="1:6" ht="15" x14ac:dyDescent="0.3">
      <c r="A41" s="33">
        <v>45737</v>
      </c>
      <c r="B41" s="31" t="s">
        <v>1851</v>
      </c>
      <c r="C41" s="20" t="s">
        <v>1797</v>
      </c>
      <c r="D41" s="12" t="s">
        <v>1852</v>
      </c>
      <c r="E41" s="444"/>
      <c r="F41" s="285">
        <v>10633797</v>
      </c>
    </row>
    <row r="42" spans="1:6" ht="15" x14ac:dyDescent="0.3">
      <c r="A42" s="33">
        <v>45742</v>
      </c>
      <c r="B42" s="31" t="s">
        <v>1853</v>
      </c>
      <c r="C42" s="10" t="s">
        <v>1846</v>
      </c>
      <c r="D42" s="12" t="s">
        <v>1854</v>
      </c>
      <c r="E42" s="444"/>
      <c r="F42" s="285">
        <v>193500000</v>
      </c>
    </row>
    <row r="43" spans="1:6" ht="15" x14ac:dyDescent="0.3">
      <c r="A43" s="33">
        <v>45742</v>
      </c>
      <c r="B43" s="31" t="s">
        <v>1853</v>
      </c>
      <c r="C43" s="10" t="s">
        <v>1846</v>
      </c>
      <c r="D43" s="12" t="s">
        <v>1855</v>
      </c>
      <c r="E43" s="444"/>
      <c r="F43" s="285">
        <v>54285000</v>
      </c>
    </row>
    <row r="44" spans="1:6" ht="15" x14ac:dyDescent="0.3">
      <c r="A44" s="33">
        <v>45742</v>
      </c>
      <c r="B44" s="31" t="s">
        <v>1853</v>
      </c>
      <c r="C44" s="10" t="s">
        <v>1846</v>
      </c>
      <c r="D44" s="25" t="s">
        <v>1856</v>
      </c>
      <c r="E44" s="444"/>
      <c r="F44" s="285">
        <v>-13077750</v>
      </c>
    </row>
    <row r="45" spans="1:6" ht="15" x14ac:dyDescent="0.3">
      <c r="A45" s="33">
        <v>45742</v>
      </c>
      <c r="B45" s="31" t="s">
        <v>1853</v>
      </c>
      <c r="C45" s="10" t="s">
        <v>1846</v>
      </c>
      <c r="D45" s="12" t="s">
        <v>724</v>
      </c>
      <c r="E45" s="444"/>
      <c r="F45" s="285">
        <v>2900</v>
      </c>
    </row>
    <row r="46" spans="1:6" ht="15" x14ac:dyDescent="0.3">
      <c r="A46" s="6">
        <v>45758</v>
      </c>
      <c r="B46" s="9" t="s">
        <v>1228</v>
      </c>
      <c r="C46" s="37" t="s">
        <v>1807</v>
      </c>
      <c r="D46" s="42" t="s">
        <v>1857</v>
      </c>
      <c r="E46" s="445"/>
      <c r="F46" s="408">
        <v>182763</v>
      </c>
    </row>
    <row r="47" spans="1:6" ht="15" x14ac:dyDescent="0.3">
      <c r="A47" s="6">
        <v>45758</v>
      </c>
      <c r="B47" s="9" t="s">
        <v>1228</v>
      </c>
      <c r="C47" s="37" t="s">
        <v>1807</v>
      </c>
      <c r="D47" s="42" t="s">
        <v>295</v>
      </c>
      <c r="E47" s="445"/>
      <c r="F47" s="408">
        <v>2500</v>
      </c>
    </row>
    <row r="48" spans="1:6" ht="15" x14ac:dyDescent="0.3">
      <c r="A48" s="6">
        <v>45763</v>
      </c>
      <c r="B48" s="9" t="s">
        <v>1858</v>
      </c>
      <c r="C48" s="37" t="s">
        <v>1807</v>
      </c>
      <c r="D48" s="89" t="s">
        <v>1859</v>
      </c>
      <c r="E48" s="408"/>
      <c r="F48" s="445">
        <v>31000000</v>
      </c>
    </row>
    <row r="49" spans="1:6" ht="15" x14ac:dyDescent="0.3">
      <c r="A49" s="6">
        <v>45763</v>
      </c>
      <c r="B49" s="9" t="s">
        <v>312</v>
      </c>
      <c r="C49" s="36" t="s">
        <v>1797</v>
      </c>
      <c r="D49" s="42" t="s">
        <v>1860</v>
      </c>
      <c r="E49" s="433"/>
      <c r="F49" s="408">
        <v>294000</v>
      </c>
    </row>
    <row r="50" spans="1:6" ht="15" x14ac:dyDescent="0.3">
      <c r="A50" s="6">
        <v>45763</v>
      </c>
      <c r="B50" s="9" t="s">
        <v>312</v>
      </c>
      <c r="C50" s="36" t="s">
        <v>1797</v>
      </c>
      <c r="D50" s="42" t="s">
        <v>1861</v>
      </c>
      <c r="E50" s="433"/>
      <c r="F50" s="408">
        <v>462836</v>
      </c>
    </row>
    <row r="51" spans="1:6" ht="15" x14ac:dyDescent="0.3">
      <c r="A51" s="6">
        <v>45763</v>
      </c>
      <c r="B51" s="9" t="s">
        <v>312</v>
      </c>
      <c r="C51" s="36" t="s">
        <v>1797</v>
      </c>
      <c r="D51" s="42" t="s">
        <v>1862</v>
      </c>
      <c r="E51" s="433"/>
      <c r="F51" s="408">
        <v>160000</v>
      </c>
    </row>
    <row r="52" spans="1:6" ht="15" x14ac:dyDescent="0.3">
      <c r="A52" s="6">
        <v>45763</v>
      </c>
      <c r="B52" s="9" t="s">
        <v>312</v>
      </c>
      <c r="C52" s="36" t="s">
        <v>1797</v>
      </c>
      <c r="D52" s="42" t="s">
        <v>1863</v>
      </c>
      <c r="E52" s="433"/>
      <c r="F52" s="408">
        <v>17600</v>
      </c>
    </row>
    <row r="53" spans="1:6" ht="15" x14ac:dyDescent="0.3">
      <c r="A53" s="6">
        <v>45763</v>
      </c>
      <c r="B53" s="9" t="s">
        <v>312</v>
      </c>
      <c r="C53" s="36" t="s">
        <v>1797</v>
      </c>
      <c r="D53" s="42" t="s">
        <v>1864</v>
      </c>
      <c r="E53" s="433"/>
      <c r="F53" s="408">
        <v>-3200</v>
      </c>
    </row>
    <row r="54" spans="1:6" ht="15" x14ac:dyDescent="0.3">
      <c r="A54" s="6">
        <v>45763</v>
      </c>
      <c r="B54" s="9" t="s">
        <v>312</v>
      </c>
      <c r="C54" s="36" t="s">
        <v>1797</v>
      </c>
      <c r="D54" s="42" t="s">
        <v>295</v>
      </c>
      <c r="E54" s="433"/>
      <c r="F54" s="408">
        <v>2500</v>
      </c>
    </row>
    <row r="55" spans="1:6" ht="15" x14ac:dyDescent="0.3">
      <c r="A55" s="6">
        <v>45772</v>
      </c>
      <c r="B55" s="9" t="s">
        <v>1865</v>
      </c>
      <c r="C55" s="9" t="s">
        <v>1797</v>
      </c>
      <c r="D55" s="42" t="s">
        <v>1866</v>
      </c>
      <c r="E55" s="433"/>
      <c r="F55" s="335">
        <v>19757250</v>
      </c>
    </row>
    <row r="56" spans="1:6" ht="15" x14ac:dyDescent="0.3">
      <c r="A56" s="6">
        <v>45772</v>
      </c>
      <c r="B56" s="9" t="s">
        <v>1865</v>
      </c>
      <c r="C56" s="9" t="s">
        <v>1797</v>
      </c>
      <c r="D56" s="42" t="s">
        <v>1867</v>
      </c>
      <c r="E56" s="433"/>
      <c r="F56" s="335">
        <v>2173298</v>
      </c>
    </row>
    <row r="57" spans="1:6" ht="15" x14ac:dyDescent="0.3">
      <c r="A57" s="6">
        <v>45772</v>
      </c>
      <c r="B57" s="9" t="s">
        <v>1865</v>
      </c>
      <c r="C57" s="9" t="s">
        <v>1797</v>
      </c>
      <c r="D57" s="42" t="s">
        <v>1868</v>
      </c>
      <c r="E57" s="433"/>
      <c r="F57" s="335">
        <v>2900</v>
      </c>
    </row>
    <row r="58" spans="1:6" ht="15" x14ac:dyDescent="0.3">
      <c r="A58" s="6">
        <v>45777</v>
      </c>
      <c r="B58" s="9" t="s">
        <v>1869</v>
      </c>
      <c r="C58" s="44" t="s">
        <v>1797</v>
      </c>
      <c r="D58" s="30" t="s">
        <v>1870</v>
      </c>
      <c r="E58" s="433"/>
      <c r="F58" s="335">
        <v>2184098</v>
      </c>
    </row>
    <row r="59" spans="1:6" ht="15" x14ac:dyDescent="0.3">
      <c r="A59" s="6">
        <v>45777</v>
      </c>
      <c r="B59" s="9" t="s">
        <v>1869</v>
      </c>
      <c r="C59" s="44" t="s">
        <v>1797</v>
      </c>
      <c r="D59" s="30" t="s">
        <v>1871</v>
      </c>
      <c r="E59" s="433"/>
      <c r="F59" s="335">
        <v>24025</v>
      </c>
    </row>
    <row r="60" spans="1:6" ht="15" x14ac:dyDescent="0.3">
      <c r="A60" s="6">
        <v>45777</v>
      </c>
      <c r="B60" s="9" t="s">
        <v>1869</v>
      </c>
      <c r="C60" s="44" t="s">
        <v>1797</v>
      </c>
      <c r="D60" s="30" t="s">
        <v>1872</v>
      </c>
      <c r="E60" s="433"/>
      <c r="F60" s="335">
        <v>-43681</v>
      </c>
    </row>
    <row r="61" spans="1:6" ht="15" x14ac:dyDescent="0.3">
      <c r="A61" s="6">
        <v>45777</v>
      </c>
      <c r="B61" s="9" t="s">
        <v>1869</v>
      </c>
      <c r="C61" s="44" t="s">
        <v>1797</v>
      </c>
      <c r="D61" s="43" t="s">
        <v>1873</v>
      </c>
      <c r="E61" s="433"/>
      <c r="F61" s="335">
        <v>2900</v>
      </c>
    </row>
    <row r="62" spans="1:6" ht="15" x14ac:dyDescent="0.3">
      <c r="A62" s="6">
        <v>45777</v>
      </c>
      <c r="B62" s="9" t="s">
        <v>1874</v>
      </c>
      <c r="C62" s="9" t="s">
        <v>1797</v>
      </c>
      <c r="D62" s="17" t="s">
        <v>1875</v>
      </c>
      <c r="E62" s="433"/>
      <c r="F62" s="335">
        <v>6180000</v>
      </c>
    </row>
    <row r="63" spans="1:6" ht="15" x14ac:dyDescent="0.3">
      <c r="A63" s="6">
        <v>45777</v>
      </c>
      <c r="B63" s="9" t="s">
        <v>1874</v>
      </c>
      <c r="C63" s="9" t="s">
        <v>1797</v>
      </c>
      <c r="D63" s="17" t="s">
        <v>1876</v>
      </c>
      <c r="E63" s="433"/>
      <c r="F63" s="335">
        <v>679800</v>
      </c>
    </row>
    <row r="64" spans="1:6" ht="15" x14ac:dyDescent="0.3">
      <c r="A64" s="6">
        <v>45777</v>
      </c>
      <c r="B64" s="9" t="s">
        <v>1874</v>
      </c>
      <c r="C64" s="9" t="s">
        <v>1797</v>
      </c>
      <c r="D64" s="17" t="s">
        <v>1877</v>
      </c>
      <c r="E64" s="433"/>
      <c r="F64" s="335">
        <v>2900</v>
      </c>
    </row>
    <row r="65" spans="1:6" ht="15" x14ac:dyDescent="0.3">
      <c r="A65" s="6">
        <v>45777</v>
      </c>
      <c r="B65" s="9" t="s">
        <v>1878</v>
      </c>
      <c r="C65" s="44" t="s">
        <v>1797</v>
      </c>
      <c r="D65" s="17" t="s">
        <v>1879</v>
      </c>
      <c r="E65" s="433"/>
      <c r="F65" s="335">
        <v>7810000</v>
      </c>
    </row>
    <row r="66" spans="1:6" ht="15" x14ac:dyDescent="0.3">
      <c r="A66" s="6">
        <v>45777</v>
      </c>
      <c r="B66" s="9" t="s">
        <v>1878</v>
      </c>
      <c r="C66" s="44" t="s">
        <v>1797</v>
      </c>
      <c r="D66" s="17" t="s">
        <v>1880</v>
      </c>
      <c r="E66" s="433"/>
      <c r="F66" s="335">
        <v>859100</v>
      </c>
    </row>
    <row r="67" spans="1:6" ht="15" x14ac:dyDescent="0.3">
      <c r="A67" s="33">
        <v>45784</v>
      </c>
      <c r="B67" s="11" t="s">
        <v>1881</v>
      </c>
      <c r="C67" s="54" t="s">
        <v>1797</v>
      </c>
      <c r="D67" s="17" t="s">
        <v>1882</v>
      </c>
      <c r="E67" s="370"/>
      <c r="F67" s="289">
        <v>2200000</v>
      </c>
    </row>
    <row r="68" spans="1:6" ht="15" x14ac:dyDescent="0.3">
      <c r="A68" s="33">
        <v>45784</v>
      </c>
      <c r="B68" s="11" t="s">
        <v>1881</v>
      </c>
      <c r="C68" s="54" t="s">
        <v>1797</v>
      </c>
      <c r="D68" s="17" t="s">
        <v>1883</v>
      </c>
      <c r="E68" s="370"/>
      <c r="F68" s="431">
        <v>242000</v>
      </c>
    </row>
    <row r="69" spans="1:6" ht="15" x14ac:dyDescent="0.3">
      <c r="A69" s="33">
        <v>45784</v>
      </c>
      <c r="B69" s="11" t="s">
        <v>1881</v>
      </c>
      <c r="C69" s="54" t="s">
        <v>1797</v>
      </c>
      <c r="D69" s="17" t="s">
        <v>1884</v>
      </c>
      <c r="E69" s="370"/>
      <c r="F69" s="289">
        <v>2900</v>
      </c>
    </row>
    <row r="70" spans="1:6" ht="15" x14ac:dyDescent="0.3">
      <c r="A70" s="6">
        <v>45791</v>
      </c>
      <c r="B70" s="9" t="s">
        <v>443</v>
      </c>
      <c r="C70" s="11" t="s">
        <v>1797</v>
      </c>
      <c r="D70" s="26" t="s">
        <v>447</v>
      </c>
      <c r="E70" s="421"/>
      <c r="F70" s="299">
        <v>88000</v>
      </c>
    </row>
    <row r="71" spans="1:6" ht="15" x14ac:dyDescent="0.3">
      <c r="A71" s="6">
        <v>45791</v>
      </c>
      <c r="B71" s="9" t="s">
        <v>1885</v>
      </c>
      <c r="C71" s="11" t="s">
        <v>1797</v>
      </c>
      <c r="D71" s="26" t="s">
        <v>1886</v>
      </c>
      <c r="E71" s="421"/>
      <c r="F71" s="299">
        <v>18576000</v>
      </c>
    </row>
    <row r="72" spans="1:6" ht="15" x14ac:dyDescent="0.3">
      <c r="A72" s="6">
        <v>45793</v>
      </c>
      <c r="B72" s="9" t="s">
        <v>1887</v>
      </c>
      <c r="C72" s="31" t="s">
        <v>1797</v>
      </c>
      <c r="D72" s="46" t="s">
        <v>1888</v>
      </c>
      <c r="E72" s="421"/>
      <c r="F72" s="299">
        <v>9000000</v>
      </c>
    </row>
    <row r="73" spans="1:6" ht="15" x14ac:dyDescent="0.3">
      <c r="A73" s="6">
        <v>45793</v>
      </c>
      <c r="B73" s="9" t="s">
        <v>1887</v>
      </c>
      <c r="C73" s="31" t="s">
        <v>1797</v>
      </c>
      <c r="D73" s="46" t="s">
        <v>1889</v>
      </c>
      <c r="E73" s="421"/>
      <c r="F73" s="299">
        <v>2900</v>
      </c>
    </row>
    <row r="74" spans="1:6" ht="15" x14ac:dyDescent="0.3">
      <c r="A74" s="6">
        <v>45793</v>
      </c>
      <c r="B74" s="9" t="s">
        <v>463</v>
      </c>
      <c r="C74" s="44" t="s">
        <v>1797</v>
      </c>
      <c r="D74" s="26" t="s">
        <v>1890</v>
      </c>
      <c r="E74" s="421"/>
      <c r="F74" s="299">
        <v>96000</v>
      </c>
    </row>
    <row r="75" spans="1:6" ht="15" x14ac:dyDescent="0.3">
      <c r="A75" s="6">
        <v>45798</v>
      </c>
      <c r="B75" s="9" t="s">
        <v>1891</v>
      </c>
      <c r="C75" s="31" t="s">
        <v>1797</v>
      </c>
      <c r="D75" s="48" t="s">
        <v>1892</v>
      </c>
      <c r="E75" s="433"/>
      <c r="F75" s="335">
        <v>14700000</v>
      </c>
    </row>
    <row r="76" spans="1:6" ht="15" x14ac:dyDescent="0.3">
      <c r="A76" s="6">
        <v>45798</v>
      </c>
      <c r="B76" s="9" t="s">
        <v>1891</v>
      </c>
      <c r="C76" s="31" t="s">
        <v>1797</v>
      </c>
      <c r="D76" s="48" t="s">
        <v>1893</v>
      </c>
      <c r="E76" s="433"/>
      <c r="F76" s="335">
        <v>1617000</v>
      </c>
    </row>
    <row r="77" spans="1:6" ht="15" x14ac:dyDescent="0.3">
      <c r="A77" s="6">
        <v>45798</v>
      </c>
      <c r="B77" s="9" t="s">
        <v>1891</v>
      </c>
      <c r="C77" s="31" t="s">
        <v>1797</v>
      </c>
      <c r="D77" s="48" t="s">
        <v>1844</v>
      </c>
      <c r="E77" s="433"/>
      <c r="F77" s="335">
        <v>2900</v>
      </c>
    </row>
    <row r="78" spans="1:6" ht="15" x14ac:dyDescent="0.3">
      <c r="A78" s="6">
        <v>45798</v>
      </c>
      <c r="B78" s="9" t="s">
        <v>1894</v>
      </c>
      <c r="C78" s="31" t="s">
        <v>1797</v>
      </c>
      <c r="D78" s="48" t="s">
        <v>1895</v>
      </c>
      <c r="E78" s="433"/>
      <c r="F78" s="335">
        <v>32877195</v>
      </c>
    </row>
    <row r="79" spans="1:6" ht="15" x14ac:dyDescent="0.3">
      <c r="A79" s="6">
        <v>45800</v>
      </c>
      <c r="B79" s="9" t="s">
        <v>478</v>
      </c>
      <c r="C79" s="31" t="s">
        <v>1797</v>
      </c>
      <c r="D79" s="48" t="s">
        <v>1896</v>
      </c>
      <c r="E79" s="433"/>
      <c r="F79" s="433">
        <v>20000</v>
      </c>
    </row>
    <row r="80" spans="1:6" ht="15" x14ac:dyDescent="0.3">
      <c r="A80" s="6">
        <v>45800</v>
      </c>
      <c r="B80" s="9" t="s">
        <v>1897</v>
      </c>
      <c r="C80" s="31" t="s">
        <v>1797</v>
      </c>
      <c r="D80" s="48" t="s">
        <v>1898</v>
      </c>
      <c r="E80" s="433"/>
      <c r="F80" s="335">
        <v>130000</v>
      </c>
    </row>
    <row r="81" spans="1:6" ht="15" x14ac:dyDescent="0.3">
      <c r="A81" s="6">
        <v>45800</v>
      </c>
      <c r="B81" s="9" t="s">
        <v>1897</v>
      </c>
      <c r="C81" s="31" t="s">
        <v>1797</v>
      </c>
      <c r="D81" s="48" t="s">
        <v>1473</v>
      </c>
      <c r="E81" s="433"/>
      <c r="F81" s="335">
        <v>77500</v>
      </c>
    </row>
    <row r="82" spans="1:6" ht="15" x14ac:dyDescent="0.3">
      <c r="A82" s="6">
        <v>45800</v>
      </c>
      <c r="B82" s="9" t="s">
        <v>1897</v>
      </c>
      <c r="C82" s="31" t="s">
        <v>1797</v>
      </c>
      <c r="D82" s="48" t="s">
        <v>1899</v>
      </c>
      <c r="E82" s="433"/>
      <c r="F82" s="335">
        <v>65000</v>
      </c>
    </row>
    <row r="83" spans="1:6" ht="15" x14ac:dyDescent="0.3">
      <c r="A83" s="6">
        <v>45803</v>
      </c>
      <c r="B83" s="9" t="s">
        <v>1900</v>
      </c>
      <c r="C83" s="31" t="s">
        <v>1797</v>
      </c>
      <c r="D83" s="48" t="s">
        <v>1901</v>
      </c>
      <c r="E83" s="433"/>
      <c r="F83" s="335">
        <v>9768000</v>
      </c>
    </row>
    <row r="84" spans="1:6" ht="15" x14ac:dyDescent="0.3">
      <c r="A84" s="6">
        <v>45803</v>
      </c>
      <c r="B84" s="9" t="s">
        <v>1900</v>
      </c>
      <c r="C84" s="31" t="s">
        <v>1797</v>
      </c>
      <c r="D84" s="48" t="s">
        <v>1902</v>
      </c>
      <c r="E84" s="433"/>
      <c r="F84" s="335">
        <v>22562769</v>
      </c>
    </row>
    <row r="85" spans="1:6" ht="15" x14ac:dyDescent="0.3">
      <c r="A85" s="6">
        <v>45803</v>
      </c>
      <c r="B85" s="9" t="s">
        <v>1900</v>
      </c>
      <c r="C85" s="31" t="s">
        <v>1797</v>
      </c>
      <c r="D85" s="48" t="s">
        <v>1903</v>
      </c>
      <c r="E85" s="433"/>
      <c r="F85" s="335">
        <v>5127800</v>
      </c>
    </row>
    <row r="86" spans="1:6" ht="15" x14ac:dyDescent="0.3">
      <c r="A86" s="6">
        <v>45805</v>
      </c>
      <c r="B86" s="9" t="s">
        <v>1904</v>
      </c>
      <c r="C86" s="31" t="s">
        <v>1797</v>
      </c>
      <c r="D86" s="48" t="s">
        <v>1905</v>
      </c>
      <c r="E86" s="433"/>
      <c r="F86" s="335">
        <v>228869435</v>
      </c>
    </row>
    <row r="87" spans="1:6" ht="15" x14ac:dyDescent="0.3">
      <c r="A87" s="6">
        <v>45805</v>
      </c>
      <c r="B87" s="9" t="s">
        <v>1904</v>
      </c>
      <c r="C87" s="31" t="s">
        <v>1797</v>
      </c>
      <c r="D87" s="48" t="s">
        <v>1906</v>
      </c>
      <c r="E87" s="433"/>
      <c r="F87" s="335">
        <v>25175637</v>
      </c>
    </row>
    <row r="88" spans="1:6" ht="15" x14ac:dyDescent="0.3">
      <c r="A88" s="6">
        <v>45805</v>
      </c>
      <c r="B88" s="9" t="s">
        <v>1904</v>
      </c>
      <c r="C88" s="31" t="s">
        <v>1797</v>
      </c>
      <c r="D88" s="48" t="s">
        <v>56</v>
      </c>
      <c r="E88" s="433"/>
      <c r="F88" s="335">
        <v>2900</v>
      </c>
    </row>
    <row r="89" spans="1:6" ht="15" x14ac:dyDescent="0.3">
      <c r="A89" s="6">
        <v>45807</v>
      </c>
      <c r="B89" s="9" t="s">
        <v>503</v>
      </c>
      <c r="C89" s="31" t="s">
        <v>1797</v>
      </c>
      <c r="D89" s="46" t="s">
        <v>1907</v>
      </c>
      <c r="E89" s="421"/>
      <c r="F89" s="299">
        <v>120000</v>
      </c>
    </row>
    <row r="90" spans="1:6" ht="15" x14ac:dyDescent="0.3">
      <c r="A90" s="6">
        <v>45807</v>
      </c>
      <c r="B90" s="9" t="s">
        <v>503</v>
      </c>
      <c r="C90" s="31" t="s">
        <v>1797</v>
      </c>
      <c r="D90" s="46" t="s">
        <v>1908</v>
      </c>
      <c r="E90" s="421"/>
      <c r="F90" s="299">
        <v>436700</v>
      </c>
    </row>
    <row r="91" spans="1:6" ht="15" x14ac:dyDescent="0.3">
      <c r="A91" s="6">
        <v>45812</v>
      </c>
      <c r="B91" s="9" t="s">
        <v>1909</v>
      </c>
      <c r="C91" s="31" t="s">
        <v>1797</v>
      </c>
      <c r="D91" s="46" t="s">
        <v>1910</v>
      </c>
      <c r="E91" s="433"/>
      <c r="F91" s="335">
        <v>14950000</v>
      </c>
    </row>
    <row r="92" spans="1:6" ht="15" x14ac:dyDescent="0.3">
      <c r="A92" s="6">
        <v>45812</v>
      </c>
      <c r="B92" s="9" t="s">
        <v>1909</v>
      </c>
      <c r="C92" s="31" t="s">
        <v>1797</v>
      </c>
      <c r="D92" s="46" t="s">
        <v>1911</v>
      </c>
      <c r="E92" s="433"/>
      <c r="F92" s="335">
        <v>164450</v>
      </c>
    </row>
    <row r="93" spans="1:6" ht="15" x14ac:dyDescent="0.3">
      <c r="A93" s="6">
        <v>45812</v>
      </c>
      <c r="B93" s="9" t="s">
        <v>1909</v>
      </c>
      <c r="C93" s="31" t="s">
        <v>1797</v>
      </c>
      <c r="D93" s="46" t="s">
        <v>1912</v>
      </c>
      <c r="E93" s="433"/>
      <c r="F93" s="335">
        <v>-299000</v>
      </c>
    </row>
    <row r="94" spans="1:6" ht="15" x14ac:dyDescent="0.3">
      <c r="A94" s="6">
        <v>45812</v>
      </c>
      <c r="B94" s="9" t="s">
        <v>510</v>
      </c>
      <c r="C94" s="44" t="s">
        <v>1797</v>
      </c>
      <c r="D94" s="49" t="s">
        <v>1913</v>
      </c>
      <c r="E94" s="335"/>
      <c r="F94" s="335">
        <v>3600000</v>
      </c>
    </row>
    <row r="95" spans="1:6" ht="15" x14ac:dyDescent="0.3">
      <c r="A95" s="6">
        <v>45812</v>
      </c>
      <c r="B95" s="9" t="s">
        <v>804</v>
      </c>
      <c r="C95" s="44" t="s">
        <v>1797</v>
      </c>
      <c r="D95" s="49" t="s">
        <v>1914</v>
      </c>
      <c r="E95" s="335"/>
      <c r="F95" s="335">
        <v>550000</v>
      </c>
    </row>
    <row r="96" spans="1:6" ht="15" x14ac:dyDescent="0.3">
      <c r="A96" s="6">
        <v>45812</v>
      </c>
      <c r="B96" s="9" t="s">
        <v>804</v>
      </c>
      <c r="C96" s="44" t="s">
        <v>1797</v>
      </c>
      <c r="D96" s="49" t="s">
        <v>1348</v>
      </c>
      <c r="E96" s="335"/>
      <c r="F96" s="335">
        <v>2500</v>
      </c>
    </row>
    <row r="97" spans="1:6" ht="15" x14ac:dyDescent="0.3">
      <c r="A97" s="6">
        <v>45819</v>
      </c>
      <c r="B97" s="9" t="s">
        <v>1915</v>
      </c>
      <c r="C97" s="7" t="s">
        <v>1797</v>
      </c>
      <c r="D97" s="48" t="s">
        <v>1916</v>
      </c>
      <c r="E97" s="433"/>
      <c r="F97" s="335">
        <v>63000000</v>
      </c>
    </row>
    <row r="98" spans="1:6" ht="15" x14ac:dyDescent="0.3">
      <c r="A98" s="6">
        <v>45819</v>
      </c>
      <c r="B98" s="9" t="s">
        <v>1915</v>
      </c>
      <c r="C98" s="7" t="s">
        <v>1797</v>
      </c>
      <c r="D98" s="48" t="s">
        <v>1917</v>
      </c>
      <c r="E98" s="433"/>
      <c r="F98" s="335">
        <v>2900</v>
      </c>
    </row>
    <row r="99" spans="1:6" ht="15" x14ac:dyDescent="0.3">
      <c r="A99" s="6">
        <v>45819</v>
      </c>
      <c r="B99" s="9" t="s">
        <v>806</v>
      </c>
      <c r="C99" s="7" t="s">
        <v>1797</v>
      </c>
      <c r="D99" s="48" t="s">
        <v>1918</v>
      </c>
      <c r="E99" s="433"/>
      <c r="F99" s="335">
        <v>60000</v>
      </c>
    </row>
    <row r="100" spans="1:6" ht="15" x14ac:dyDescent="0.3">
      <c r="A100" s="6">
        <v>45819</v>
      </c>
      <c r="B100" s="9" t="s">
        <v>806</v>
      </c>
      <c r="C100" s="7" t="s">
        <v>1797</v>
      </c>
      <c r="D100" s="48" t="s">
        <v>1348</v>
      </c>
      <c r="E100" s="433"/>
      <c r="F100" s="335">
        <v>2500</v>
      </c>
    </row>
    <row r="101" spans="1:6" ht="15" x14ac:dyDescent="0.3">
      <c r="A101" s="87">
        <v>45821</v>
      </c>
      <c r="B101" s="88" t="s">
        <v>1919</v>
      </c>
      <c r="C101" s="10" t="s">
        <v>1797</v>
      </c>
      <c r="D101" s="12" t="s">
        <v>1920</v>
      </c>
      <c r="E101" s="445"/>
      <c r="F101" s="301">
        <v>13796351</v>
      </c>
    </row>
    <row r="102" spans="1:6" ht="15" x14ac:dyDescent="0.3">
      <c r="A102" s="87">
        <v>45821</v>
      </c>
      <c r="B102" s="88" t="s">
        <v>1919</v>
      </c>
      <c r="C102" s="10" t="s">
        <v>1797</v>
      </c>
      <c r="D102" s="12" t="s">
        <v>1921</v>
      </c>
      <c r="E102" s="445"/>
      <c r="F102" s="301">
        <v>4395581</v>
      </c>
    </row>
    <row r="103" spans="1:6" ht="15" x14ac:dyDescent="0.3">
      <c r="A103" s="6">
        <v>45825</v>
      </c>
      <c r="B103" s="9" t="s">
        <v>523</v>
      </c>
      <c r="C103" s="31" t="s">
        <v>1797</v>
      </c>
      <c r="D103" s="46" t="s">
        <v>1922</v>
      </c>
      <c r="E103" s="421"/>
      <c r="F103" s="299">
        <v>80000</v>
      </c>
    </row>
    <row r="104" spans="1:6" ht="15" x14ac:dyDescent="0.3">
      <c r="A104" s="6">
        <v>45825</v>
      </c>
      <c r="B104" s="9" t="s">
        <v>523</v>
      </c>
      <c r="C104" s="31" t="s">
        <v>1797</v>
      </c>
      <c r="D104" s="46" t="s">
        <v>1923</v>
      </c>
      <c r="E104" s="421"/>
      <c r="F104" s="299">
        <v>39000</v>
      </c>
    </row>
    <row r="105" spans="1:6" ht="15" x14ac:dyDescent="0.3">
      <c r="A105" s="6">
        <v>45826</v>
      </c>
      <c r="B105" s="9" t="s">
        <v>1924</v>
      </c>
      <c r="C105" s="31" t="s">
        <v>1797</v>
      </c>
      <c r="D105" s="26" t="s">
        <v>1925</v>
      </c>
      <c r="E105" s="421"/>
      <c r="F105" s="299">
        <v>205000000</v>
      </c>
    </row>
    <row r="106" spans="1:6" ht="15" x14ac:dyDescent="0.3">
      <c r="A106" s="6">
        <v>45828</v>
      </c>
      <c r="B106" s="9" t="s">
        <v>532</v>
      </c>
      <c r="C106" s="31" t="s">
        <v>1797</v>
      </c>
      <c r="D106" s="46" t="s">
        <v>1926</v>
      </c>
      <c r="E106" s="421"/>
      <c r="F106" s="299">
        <v>58000</v>
      </c>
    </row>
    <row r="107" spans="1:6" ht="15" x14ac:dyDescent="0.3">
      <c r="A107" s="6">
        <v>45833</v>
      </c>
      <c r="B107" s="9" t="s">
        <v>1927</v>
      </c>
      <c r="C107" s="31" t="s">
        <v>1846</v>
      </c>
      <c r="D107" s="46" t="s">
        <v>1925</v>
      </c>
      <c r="E107" s="421"/>
      <c r="F107" s="299">
        <v>250000000</v>
      </c>
    </row>
    <row r="108" spans="1:6" ht="15" x14ac:dyDescent="0.3">
      <c r="A108" s="6">
        <v>45833</v>
      </c>
      <c r="B108" s="9" t="s">
        <v>1927</v>
      </c>
      <c r="C108" s="31" t="s">
        <v>1846</v>
      </c>
      <c r="D108" s="46" t="s">
        <v>1278</v>
      </c>
      <c r="E108" s="421"/>
      <c r="F108" s="299">
        <v>2900</v>
      </c>
    </row>
    <row r="109" spans="1:6" ht="15" x14ac:dyDescent="0.3">
      <c r="A109" s="6">
        <v>45839</v>
      </c>
      <c r="B109" s="9" t="s">
        <v>1792</v>
      </c>
      <c r="C109" s="31" t="s">
        <v>1797</v>
      </c>
      <c r="D109" s="46" t="s">
        <v>1928</v>
      </c>
      <c r="E109" s="421"/>
      <c r="F109" s="299">
        <v>20000</v>
      </c>
    </row>
    <row r="110" spans="1:6" ht="15" x14ac:dyDescent="0.3">
      <c r="A110" s="6">
        <v>45840</v>
      </c>
      <c r="B110" s="9" t="s">
        <v>1929</v>
      </c>
      <c r="C110" s="31" t="s">
        <v>1846</v>
      </c>
      <c r="D110" s="46" t="s">
        <v>1930</v>
      </c>
      <c r="E110" s="421"/>
      <c r="F110" s="299">
        <v>250000000</v>
      </c>
    </row>
    <row r="111" spans="1:6" ht="15" x14ac:dyDescent="0.3">
      <c r="A111" s="6">
        <v>45840</v>
      </c>
      <c r="B111" s="9" t="s">
        <v>1929</v>
      </c>
      <c r="C111" s="31" t="s">
        <v>1846</v>
      </c>
      <c r="D111" s="46" t="s">
        <v>1848</v>
      </c>
      <c r="E111" s="421"/>
      <c r="F111" s="299">
        <v>2900</v>
      </c>
    </row>
    <row r="112" spans="1:6" ht="15" x14ac:dyDescent="0.3">
      <c r="A112" s="6">
        <v>45840</v>
      </c>
      <c r="B112" s="9" t="s">
        <v>1931</v>
      </c>
      <c r="C112" s="31" t="s">
        <v>1797</v>
      </c>
      <c r="D112" s="46" t="s">
        <v>1932</v>
      </c>
      <c r="E112" s="421"/>
      <c r="F112" s="299">
        <v>12813359</v>
      </c>
    </row>
    <row r="113" spans="1:6" ht="15" x14ac:dyDescent="0.3">
      <c r="A113" s="6">
        <v>45840</v>
      </c>
      <c r="B113" s="9" t="s">
        <v>1931</v>
      </c>
      <c r="C113" s="31" t="s">
        <v>1846</v>
      </c>
      <c r="D113" s="46" t="s">
        <v>1933</v>
      </c>
      <c r="E113" s="421"/>
      <c r="F113" s="299">
        <v>831710</v>
      </c>
    </row>
    <row r="114" spans="1:6" ht="15" x14ac:dyDescent="0.3">
      <c r="A114" s="6">
        <v>45840</v>
      </c>
      <c r="B114" s="9" t="s">
        <v>1931</v>
      </c>
      <c r="C114" s="31" t="s">
        <v>1846</v>
      </c>
      <c r="D114" s="46" t="s">
        <v>1934</v>
      </c>
      <c r="E114" s="421"/>
      <c r="F114" s="299">
        <v>-454880</v>
      </c>
    </row>
    <row r="115" spans="1:6" ht="15" x14ac:dyDescent="0.3">
      <c r="A115" s="6">
        <v>45842</v>
      </c>
      <c r="B115" s="9" t="s">
        <v>534</v>
      </c>
      <c r="C115" s="31" t="s">
        <v>1797</v>
      </c>
      <c r="D115" s="46" t="s">
        <v>1935</v>
      </c>
      <c r="E115" s="421"/>
      <c r="F115" s="299">
        <v>80000</v>
      </c>
    </row>
    <row r="116" spans="1:6" ht="15" x14ac:dyDescent="0.3">
      <c r="A116" s="32">
        <v>45842</v>
      </c>
      <c r="B116" s="9" t="s">
        <v>534</v>
      </c>
      <c r="C116" s="11" t="s">
        <v>1797</v>
      </c>
      <c r="D116" s="26" t="s">
        <v>1936</v>
      </c>
      <c r="E116" s="421"/>
      <c r="F116" s="299">
        <v>20000</v>
      </c>
    </row>
    <row r="117" spans="1:6" ht="15" x14ac:dyDescent="0.3">
      <c r="A117" s="33">
        <v>45854</v>
      </c>
      <c r="B117" s="11" t="s">
        <v>2261</v>
      </c>
      <c r="C117" s="31" t="s">
        <v>1797</v>
      </c>
      <c r="D117" s="46" t="s">
        <v>2262</v>
      </c>
      <c r="E117" s="370"/>
      <c r="F117" s="289">
        <v>76713455</v>
      </c>
    </row>
    <row r="118" spans="1:6" ht="15" x14ac:dyDescent="0.3">
      <c r="A118" s="33">
        <v>45854</v>
      </c>
      <c r="B118" s="11" t="s">
        <v>2263</v>
      </c>
      <c r="C118" s="31" t="s">
        <v>1797</v>
      </c>
      <c r="D118" s="46" t="s">
        <v>2264</v>
      </c>
      <c r="E118" s="370"/>
      <c r="F118" s="289">
        <v>8185000</v>
      </c>
    </row>
    <row r="119" spans="1:6" ht="15" x14ac:dyDescent="0.3">
      <c r="A119" s="33">
        <v>45854</v>
      </c>
      <c r="B119" s="11" t="s">
        <v>2263</v>
      </c>
      <c r="C119" s="31" t="s">
        <v>1797</v>
      </c>
      <c r="D119" s="46" t="s">
        <v>2265</v>
      </c>
      <c r="E119" s="370"/>
      <c r="F119" s="289">
        <v>900350</v>
      </c>
    </row>
    <row r="120" spans="1:6" ht="15" x14ac:dyDescent="0.3">
      <c r="A120" s="33">
        <v>45854</v>
      </c>
      <c r="B120" s="11" t="s">
        <v>2266</v>
      </c>
      <c r="C120" s="11" t="s">
        <v>1797</v>
      </c>
      <c r="D120" s="17" t="s">
        <v>2267</v>
      </c>
      <c r="E120" s="370"/>
      <c r="F120" s="289">
        <v>800000</v>
      </c>
    </row>
    <row r="121" spans="1:6" ht="15" x14ac:dyDescent="0.3">
      <c r="A121" s="33">
        <v>45854</v>
      </c>
      <c r="B121" s="11" t="s">
        <v>2266</v>
      </c>
      <c r="C121" s="11" t="s">
        <v>1797</v>
      </c>
      <c r="D121" s="17" t="s">
        <v>2268</v>
      </c>
      <c r="E121" s="370"/>
      <c r="F121" s="289">
        <v>2500</v>
      </c>
    </row>
    <row r="122" spans="1:6" ht="15" x14ac:dyDescent="0.3">
      <c r="A122" s="33">
        <v>45859</v>
      </c>
      <c r="B122" s="11" t="s">
        <v>2197</v>
      </c>
      <c r="C122" s="15" t="s">
        <v>1797</v>
      </c>
      <c r="D122" s="12" t="s">
        <v>2269</v>
      </c>
      <c r="E122" s="370"/>
      <c r="F122" s="285">
        <v>40000</v>
      </c>
    </row>
    <row r="123" spans="1:6" ht="15" x14ac:dyDescent="0.3">
      <c r="A123" s="33">
        <v>45861</v>
      </c>
      <c r="B123" s="11" t="s">
        <v>2270</v>
      </c>
      <c r="C123" s="31" t="s">
        <v>1797</v>
      </c>
      <c r="D123" s="25" t="s">
        <v>2271</v>
      </c>
      <c r="E123" s="370"/>
      <c r="F123" s="429">
        <v>12300000</v>
      </c>
    </row>
    <row r="124" spans="1:6" ht="15" x14ac:dyDescent="0.3">
      <c r="A124" s="33">
        <v>45861</v>
      </c>
      <c r="B124" s="11" t="s">
        <v>2270</v>
      </c>
      <c r="C124" s="31" t="s">
        <v>1797</v>
      </c>
      <c r="D124" s="12" t="s">
        <v>2272</v>
      </c>
      <c r="E124" s="370"/>
      <c r="F124" s="429">
        <v>1353000</v>
      </c>
    </row>
    <row r="125" spans="1:6" ht="15" x14ac:dyDescent="0.3">
      <c r="A125" s="33">
        <v>45861</v>
      </c>
      <c r="B125" s="11" t="s">
        <v>2270</v>
      </c>
      <c r="C125" s="31" t="s">
        <v>1797</v>
      </c>
      <c r="D125" s="12" t="s">
        <v>2273</v>
      </c>
      <c r="E125" s="370"/>
      <c r="F125" s="429">
        <v>2900</v>
      </c>
    </row>
    <row r="126" spans="1:6" ht="15" x14ac:dyDescent="0.3">
      <c r="A126" s="33">
        <v>45863</v>
      </c>
      <c r="B126" s="11" t="s">
        <v>2201</v>
      </c>
      <c r="C126" s="15" t="s">
        <v>1797</v>
      </c>
      <c r="D126" s="12" t="s">
        <v>2274</v>
      </c>
      <c r="E126" s="370"/>
      <c r="F126" s="285">
        <v>147000</v>
      </c>
    </row>
    <row r="127" spans="1:6" ht="15" x14ac:dyDescent="0.3">
      <c r="A127" s="33">
        <v>45866</v>
      </c>
      <c r="B127" s="11" t="s">
        <v>2275</v>
      </c>
      <c r="C127" s="31" t="s">
        <v>1797</v>
      </c>
      <c r="D127" s="25" t="s">
        <v>2276</v>
      </c>
      <c r="E127" s="370"/>
      <c r="F127" s="417">
        <v>46100250</v>
      </c>
    </row>
    <row r="128" spans="1:6" ht="15" x14ac:dyDescent="0.3">
      <c r="A128" s="33">
        <v>45866</v>
      </c>
      <c r="B128" s="11" t="s">
        <v>2275</v>
      </c>
      <c r="C128" s="31" t="s">
        <v>1797</v>
      </c>
      <c r="D128" s="12" t="s">
        <v>2277</v>
      </c>
      <c r="E128" s="370"/>
      <c r="F128" s="285">
        <v>5071027.5</v>
      </c>
    </row>
    <row r="129" spans="1:6" ht="15" x14ac:dyDescent="0.3">
      <c r="A129" s="33">
        <v>45866</v>
      </c>
      <c r="B129" s="11" t="s">
        <v>2275</v>
      </c>
      <c r="C129" s="31" t="s">
        <v>1797</v>
      </c>
      <c r="D129" s="12" t="s">
        <v>2278</v>
      </c>
      <c r="E129" s="370"/>
      <c r="F129" s="285">
        <v>3095302.5</v>
      </c>
    </row>
    <row r="130" spans="1:6" ht="15" x14ac:dyDescent="0.3">
      <c r="A130" s="105">
        <v>45866</v>
      </c>
      <c r="B130" s="11" t="s">
        <v>2275</v>
      </c>
      <c r="C130" s="11" t="s">
        <v>1797</v>
      </c>
      <c r="D130" s="12" t="s">
        <v>2279</v>
      </c>
      <c r="E130" s="370"/>
      <c r="F130" s="285">
        <v>2900</v>
      </c>
    </row>
    <row r="131" spans="1:6" ht="15.6" x14ac:dyDescent="0.3">
      <c r="A131" s="33">
        <v>45867</v>
      </c>
      <c r="B131" s="11" t="s">
        <v>4050</v>
      </c>
      <c r="C131" s="11" t="s">
        <v>1797</v>
      </c>
      <c r="D131" s="17" t="s">
        <v>4051</v>
      </c>
      <c r="E131" s="370"/>
      <c r="F131" s="446">
        <v>5060000</v>
      </c>
    </row>
    <row r="132" spans="1:6" ht="15.6" x14ac:dyDescent="0.3">
      <c r="A132" s="33">
        <v>45867</v>
      </c>
      <c r="B132" s="11" t="s">
        <v>4050</v>
      </c>
      <c r="C132" s="11" t="s">
        <v>1797</v>
      </c>
      <c r="D132" s="17" t="s">
        <v>4052</v>
      </c>
      <c r="E132" s="370"/>
      <c r="F132" s="446">
        <v>556600</v>
      </c>
    </row>
    <row r="133" spans="1:6" ht="15" x14ac:dyDescent="0.3">
      <c r="A133" s="33">
        <v>45868</v>
      </c>
      <c r="B133" s="11" t="s">
        <v>4053</v>
      </c>
      <c r="C133" s="31" t="s">
        <v>1797</v>
      </c>
      <c r="D133" s="192" t="s">
        <v>4054</v>
      </c>
      <c r="E133" s="370"/>
      <c r="F133" s="289">
        <v>850000</v>
      </c>
    </row>
    <row r="134" spans="1:6" ht="15" x14ac:dyDescent="0.3">
      <c r="A134" s="33">
        <v>45868</v>
      </c>
      <c r="B134" s="11" t="s">
        <v>4053</v>
      </c>
      <c r="C134" s="31" t="s">
        <v>1797</v>
      </c>
      <c r="D134" s="192" t="s">
        <v>4055</v>
      </c>
      <c r="E134" s="370"/>
      <c r="F134" s="289">
        <v>93500</v>
      </c>
    </row>
    <row r="135" spans="1:6" ht="15" x14ac:dyDescent="0.3">
      <c r="A135" s="33">
        <v>45868</v>
      </c>
      <c r="B135" s="11" t="s">
        <v>4053</v>
      </c>
      <c r="C135" s="31" t="s">
        <v>1797</v>
      </c>
      <c r="D135" s="192" t="s">
        <v>4056</v>
      </c>
      <c r="E135" s="370"/>
      <c r="F135" s="289">
        <v>-17000</v>
      </c>
    </row>
    <row r="136" spans="1:6" ht="15" x14ac:dyDescent="0.3">
      <c r="A136" s="33">
        <v>45868</v>
      </c>
      <c r="B136" s="11" t="s">
        <v>4053</v>
      </c>
      <c r="C136" s="31" t="s">
        <v>1797</v>
      </c>
      <c r="D136" s="192" t="s">
        <v>4057</v>
      </c>
      <c r="E136" s="370"/>
      <c r="F136" s="289">
        <v>24610000</v>
      </c>
    </row>
    <row r="137" spans="1:6" ht="15" x14ac:dyDescent="0.3">
      <c r="A137" s="33">
        <v>45868</v>
      </c>
      <c r="B137" s="11" t="s">
        <v>4053</v>
      </c>
      <c r="C137" s="31" t="s">
        <v>1797</v>
      </c>
      <c r="D137" s="192" t="s">
        <v>4058</v>
      </c>
      <c r="E137" s="370"/>
      <c r="F137" s="289">
        <v>270710</v>
      </c>
    </row>
    <row r="138" spans="1:6" ht="15" x14ac:dyDescent="0.3">
      <c r="A138" s="33">
        <v>45868</v>
      </c>
      <c r="B138" s="11" t="s">
        <v>4053</v>
      </c>
      <c r="C138" s="31" t="s">
        <v>1797</v>
      </c>
      <c r="D138" s="192" t="s">
        <v>4059</v>
      </c>
      <c r="E138" s="370"/>
      <c r="F138" s="289">
        <v>-492200</v>
      </c>
    </row>
    <row r="139" spans="1:6" ht="15" x14ac:dyDescent="0.3">
      <c r="A139" s="33">
        <v>45868</v>
      </c>
      <c r="B139" s="11" t="s">
        <v>4053</v>
      </c>
      <c r="C139" s="31" t="s">
        <v>1797</v>
      </c>
      <c r="D139" s="192" t="s">
        <v>4060</v>
      </c>
      <c r="E139" s="370"/>
      <c r="F139" s="289">
        <v>619864</v>
      </c>
    </row>
    <row r="140" spans="1:6" ht="15" x14ac:dyDescent="0.3">
      <c r="A140" s="33">
        <v>45868</v>
      </c>
      <c r="B140" s="11" t="s">
        <v>4053</v>
      </c>
      <c r="C140" s="31" t="s">
        <v>1797</v>
      </c>
      <c r="D140" s="192" t="s">
        <v>4061</v>
      </c>
      <c r="E140" s="370"/>
      <c r="F140" s="289">
        <v>68185</v>
      </c>
    </row>
    <row r="141" spans="1:6" ht="15" x14ac:dyDescent="0.3">
      <c r="A141" s="33">
        <v>45868</v>
      </c>
      <c r="B141" s="11" t="s">
        <v>4053</v>
      </c>
      <c r="C141" s="31" t="s">
        <v>1797</v>
      </c>
      <c r="D141" s="192" t="s">
        <v>4062</v>
      </c>
      <c r="E141" s="370"/>
      <c r="F141" s="289">
        <v>-12397</v>
      </c>
    </row>
    <row r="142" spans="1:6" ht="15" x14ac:dyDescent="0.3">
      <c r="A142" s="33">
        <v>45868</v>
      </c>
      <c r="B142" s="11" t="s">
        <v>4063</v>
      </c>
      <c r="C142" s="31" t="s">
        <v>1797</v>
      </c>
      <c r="D142" s="192" t="s">
        <v>4064</v>
      </c>
      <c r="E142" s="370"/>
      <c r="F142" s="289">
        <v>13500000</v>
      </c>
    </row>
    <row r="143" spans="1:6" ht="15" x14ac:dyDescent="0.3">
      <c r="A143" s="33">
        <v>45868</v>
      </c>
      <c r="B143" s="11" t="s">
        <v>4063</v>
      </c>
      <c r="C143" s="31" t="s">
        <v>1797</v>
      </c>
      <c r="D143" s="192" t="s">
        <v>4065</v>
      </c>
      <c r="E143" s="370"/>
      <c r="F143" s="289">
        <v>1485000</v>
      </c>
    </row>
    <row r="144" spans="1:6" ht="15" x14ac:dyDescent="0.3">
      <c r="A144" s="33">
        <v>45868</v>
      </c>
      <c r="B144" s="11" t="s">
        <v>4063</v>
      </c>
      <c r="C144" s="31" t="s">
        <v>1797</v>
      </c>
      <c r="D144" s="192" t="s">
        <v>4066</v>
      </c>
      <c r="E144" s="370"/>
      <c r="F144" s="289">
        <v>2900</v>
      </c>
    </row>
    <row r="145" spans="1:6" ht="15" x14ac:dyDescent="0.3">
      <c r="A145" s="33">
        <v>45870</v>
      </c>
      <c r="B145" s="11" t="s">
        <v>4067</v>
      </c>
      <c r="C145" s="31" t="s">
        <v>1797</v>
      </c>
      <c r="D145" s="17" t="s">
        <v>4068</v>
      </c>
      <c r="E145" s="289">
        <v>6190605</v>
      </c>
      <c r="F145" s="289"/>
    </row>
    <row r="146" spans="1:6" ht="15" x14ac:dyDescent="0.3">
      <c r="A146" s="33">
        <v>45876</v>
      </c>
      <c r="B146" s="11" t="s">
        <v>4069</v>
      </c>
      <c r="C146" s="31" t="s">
        <v>1797</v>
      </c>
      <c r="D146" s="192" t="s">
        <v>4070</v>
      </c>
      <c r="E146" s="370"/>
      <c r="F146" s="289">
        <v>21000000</v>
      </c>
    </row>
    <row r="147" spans="1:6" ht="15" x14ac:dyDescent="0.3">
      <c r="A147" s="33">
        <v>45876</v>
      </c>
      <c r="B147" s="11" t="s">
        <v>4069</v>
      </c>
      <c r="C147" s="31" t="s">
        <v>1797</v>
      </c>
      <c r="D147" s="192" t="s">
        <v>4071</v>
      </c>
      <c r="E147" s="370"/>
      <c r="F147" s="289">
        <v>2310000</v>
      </c>
    </row>
    <row r="148" spans="1:6" ht="15" x14ac:dyDescent="0.3">
      <c r="A148" s="33">
        <v>45876</v>
      </c>
      <c r="B148" s="11" t="s">
        <v>4069</v>
      </c>
      <c r="C148" s="31" t="s">
        <v>1797</v>
      </c>
      <c r="D148" s="192" t="s">
        <v>4072</v>
      </c>
      <c r="E148" s="370"/>
      <c r="F148" s="289">
        <v>-556500</v>
      </c>
    </row>
    <row r="149" spans="1:6" ht="15" x14ac:dyDescent="0.3">
      <c r="A149" s="33">
        <v>45876</v>
      </c>
      <c r="B149" s="11" t="s">
        <v>4069</v>
      </c>
      <c r="C149" s="31" t="s">
        <v>1797</v>
      </c>
      <c r="D149" s="192" t="s">
        <v>4073</v>
      </c>
      <c r="E149" s="370"/>
      <c r="F149" s="289">
        <v>2900</v>
      </c>
    </row>
    <row r="150" spans="1:6" ht="15" x14ac:dyDescent="0.3">
      <c r="A150" s="33">
        <v>45882</v>
      </c>
      <c r="B150" s="11" t="s">
        <v>4074</v>
      </c>
      <c r="C150" s="31" t="s">
        <v>1797</v>
      </c>
      <c r="D150" s="192" t="s">
        <v>4075</v>
      </c>
      <c r="E150" s="370"/>
      <c r="F150" s="289">
        <v>89320000</v>
      </c>
    </row>
    <row r="151" spans="1:6" ht="15" x14ac:dyDescent="0.3">
      <c r="A151" s="33">
        <v>45882</v>
      </c>
      <c r="B151" s="11" t="s">
        <v>4074</v>
      </c>
      <c r="C151" s="31" t="s">
        <v>1797</v>
      </c>
      <c r="D151" s="192" t="s">
        <v>4076</v>
      </c>
      <c r="E151" s="370"/>
      <c r="F151" s="289">
        <v>9825200</v>
      </c>
    </row>
    <row r="152" spans="1:6" ht="15" x14ac:dyDescent="0.3">
      <c r="A152" s="33">
        <v>45882</v>
      </c>
      <c r="B152" s="11" t="s">
        <v>4074</v>
      </c>
      <c r="C152" s="31" t="s">
        <v>1797</v>
      </c>
      <c r="D152" s="192" t="s">
        <v>4077</v>
      </c>
      <c r="E152" s="370"/>
      <c r="F152" s="289">
        <v>2900</v>
      </c>
    </row>
    <row r="153" spans="1:6" ht="15" x14ac:dyDescent="0.3">
      <c r="A153" s="105">
        <v>45896</v>
      </c>
      <c r="B153" s="11" t="s">
        <v>4078</v>
      </c>
      <c r="C153" s="11" t="s">
        <v>1797</v>
      </c>
      <c r="D153" s="194" t="s">
        <v>4079</v>
      </c>
      <c r="E153" s="447"/>
      <c r="F153" s="289">
        <v>39000000</v>
      </c>
    </row>
    <row r="154" spans="1:6" ht="15" x14ac:dyDescent="0.3">
      <c r="A154" s="105">
        <v>45896</v>
      </c>
      <c r="B154" s="11" t="s">
        <v>4078</v>
      </c>
      <c r="C154" s="11" t="s">
        <v>1797</v>
      </c>
      <c r="D154" s="194" t="s">
        <v>4080</v>
      </c>
      <c r="E154" s="447"/>
      <c r="F154" s="289">
        <v>4290000</v>
      </c>
    </row>
    <row r="155" spans="1:6" ht="15" x14ac:dyDescent="0.3">
      <c r="A155" s="105">
        <v>45896</v>
      </c>
      <c r="B155" s="11" t="s">
        <v>4078</v>
      </c>
      <c r="C155" s="11" t="s">
        <v>1797</v>
      </c>
      <c r="D155" s="194" t="s">
        <v>4081</v>
      </c>
      <c r="E155" s="447"/>
      <c r="F155" s="289">
        <v>-1033500</v>
      </c>
    </row>
    <row r="156" spans="1:6" ht="15" x14ac:dyDescent="0.3">
      <c r="A156" s="105">
        <v>45896</v>
      </c>
      <c r="B156" s="11" t="s">
        <v>4078</v>
      </c>
      <c r="C156" s="11" t="s">
        <v>1797</v>
      </c>
      <c r="D156" s="194" t="s">
        <v>4082</v>
      </c>
      <c r="E156" s="447"/>
      <c r="F156" s="289">
        <v>2900</v>
      </c>
    </row>
    <row r="157" spans="1:6" ht="15" x14ac:dyDescent="0.3">
      <c r="A157" s="105">
        <v>45911</v>
      </c>
      <c r="B157" s="11" t="s">
        <v>4556</v>
      </c>
      <c r="C157" s="11" t="s">
        <v>1797</v>
      </c>
      <c r="D157" s="210" t="s">
        <v>4557</v>
      </c>
      <c r="E157" s="290"/>
      <c r="F157" s="289">
        <v>13500000</v>
      </c>
    </row>
    <row r="158" spans="1:6" ht="15" x14ac:dyDescent="0.3">
      <c r="A158" s="105">
        <v>45911</v>
      </c>
      <c r="B158" s="11" t="s">
        <v>4556</v>
      </c>
      <c r="C158" s="11" t="s">
        <v>1797</v>
      </c>
      <c r="D158" s="210" t="s">
        <v>4558</v>
      </c>
      <c r="E158" s="290"/>
      <c r="F158" s="289">
        <v>1485000</v>
      </c>
    </row>
    <row r="159" spans="1:6" ht="15" x14ac:dyDescent="0.3">
      <c r="A159" s="105">
        <v>45911</v>
      </c>
      <c r="B159" s="11" t="s">
        <v>4556</v>
      </c>
      <c r="C159" s="11" t="s">
        <v>1797</v>
      </c>
      <c r="D159" s="210" t="s">
        <v>4559</v>
      </c>
      <c r="E159" s="290"/>
      <c r="F159" s="289">
        <v>2900</v>
      </c>
    </row>
    <row r="160" spans="1:6" ht="15" x14ac:dyDescent="0.3">
      <c r="A160" s="105">
        <v>45918</v>
      </c>
      <c r="B160" s="11" t="s">
        <v>4473</v>
      </c>
      <c r="C160" s="31" t="s">
        <v>1797</v>
      </c>
      <c r="D160" s="207" t="s">
        <v>4560</v>
      </c>
      <c r="E160" s="290"/>
      <c r="F160" s="429">
        <v>165000</v>
      </c>
    </row>
    <row r="161" spans="1:6" ht="15" x14ac:dyDescent="0.3">
      <c r="A161" s="108">
        <v>45919</v>
      </c>
      <c r="B161" s="11" t="s">
        <v>4481</v>
      </c>
      <c r="C161" s="11" t="s">
        <v>4561</v>
      </c>
      <c r="D161" s="210" t="s">
        <v>4562</v>
      </c>
      <c r="E161" s="290"/>
      <c r="F161" s="289">
        <v>237500</v>
      </c>
    </row>
    <row r="162" spans="1:6" ht="15" x14ac:dyDescent="0.3">
      <c r="A162" s="108">
        <v>45919</v>
      </c>
      <c r="B162" s="11" t="s">
        <v>4481</v>
      </c>
      <c r="C162" s="11" t="s">
        <v>4561</v>
      </c>
      <c r="D162" s="210" t="s">
        <v>4563</v>
      </c>
      <c r="E162" s="290"/>
      <c r="F162" s="289">
        <v>1000000</v>
      </c>
    </row>
    <row r="163" spans="1:6" ht="15" x14ac:dyDescent="0.3">
      <c r="A163" s="108">
        <v>45919</v>
      </c>
      <c r="B163" s="11" t="s">
        <v>4481</v>
      </c>
      <c r="C163" s="11" t="s">
        <v>4561</v>
      </c>
      <c r="D163" s="210" t="s">
        <v>4461</v>
      </c>
      <c r="E163" s="290"/>
      <c r="F163" s="289">
        <v>2500</v>
      </c>
    </row>
    <row r="164" spans="1:6" ht="15" x14ac:dyDescent="0.3">
      <c r="A164" s="108">
        <v>45919</v>
      </c>
      <c r="B164" s="11" t="s">
        <v>4492</v>
      </c>
      <c r="C164" s="11" t="s">
        <v>1797</v>
      </c>
      <c r="D164" s="210" t="s">
        <v>4564</v>
      </c>
      <c r="E164" s="290"/>
      <c r="F164" s="289">
        <v>75000</v>
      </c>
    </row>
    <row r="165" spans="1:6" ht="15" x14ac:dyDescent="0.3">
      <c r="A165" s="108">
        <v>45919</v>
      </c>
      <c r="B165" s="11" t="s">
        <v>4492</v>
      </c>
      <c r="C165" s="11" t="s">
        <v>1797</v>
      </c>
      <c r="D165" s="210" t="s">
        <v>4565</v>
      </c>
      <c r="E165" s="290"/>
      <c r="F165" s="289">
        <v>20000</v>
      </c>
    </row>
    <row r="166" spans="1:6" ht="15" x14ac:dyDescent="0.3">
      <c r="A166" s="61">
        <v>45958</v>
      </c>
      <c r="B166" s="62" t="s">
        <v>5091</v>
      </c>
      <c r="C166" s="62" t="s">
        <v>5092</v>
      </c>
      <c r="D166" s="160" t="s">
        <v>985</v>
      </c>
      <c r="E166" s="448"/>
      <c r="F166" s="449">
        <v>37500000</v>
      </c>
    </row>
    <row r="167" spans="1:6" ht="15" x14ac:dyDescent="0.3">
      <c r="A167" s="61">
        <v>45958</v>
      </c>
      <c r="B167" s="62" t="s">
        <v>5091</v>
      </c>
      <c r="C167" s="62" t="s">
        <v>1797</v>
      </c>
      <c r="D167" s="160" t="s">
        <v>985</v>
      </c>
      <c r="E167" s="448"/>
      <c r="F167" s="449">
        <v>431550000</v>
      </c>
    </row>
    <row r="168" spans="1:6" ht="15" x14ac:dyDescent="0.3">
      <c r="A168" s="105">
        <v>45943</v>
      </c>
      <c r="B168" s="11" t="s">
        <v>5093</v>
      </c>
      <c r="C168" s="54" t="s">
        <v>1797</v>
      </c>
      <c r="D168" s="28" t="s">
        <v>5094</v>
      </c>
      <c r="E168" s="290"/>
      <c r="F168" s="289">
        <v>19617500</v>
      </c>
    </row>
    <row r="169" spans="1:6" ht="15" x14ac:dyDescent="0.3">
      <c r="A169" s="105">
        <v>45943</v>
      </c>
      <c r="B169" s="11" t="s">
        <v>5038</v>
      </c>
      <c r="C169" s="54" t="s">
        <v>1797</v>
      </c>
      <c r="D169" s="28" t="s">
        <v>5095</v>
      </c>
      <c r="E169" s="290"/>
      <c r="F169" s="289">
        <v>220000</v>
      </c>
    </row>
    <row r="170" spans="1:6" ht="15" x14ac:dyDescent="0.3">
      <c r="A170" s="105">
        <v>45943</v>
      </c>
      <c r="B170" s="11" t="s">
        <v>5038</v>
      </c>
      <c r="C170" s="54" t="s">
        <v>1797</v>
      </c>
      <c r="D170" s="28" t="s">
        <v>50</v>
      </c>
      <c r="E170" s="290"/>
      <c r="F170" s="289">
        <v>2500</v>
      </c>
    </row>
    <row r="171" spans="1:6" ht="15" x14ac:dyDescent="0.3">
      <c r="A171" s="105">
        <v>45946</v>
      </c>
      <c r="B171" s="11" t="s">
        <v>5096</v>
      </c>
      <c r="C171" s="54" t="s">
        <v>1797</v>
      </c>
      <c r="D171" s="234" t="s">
        <v>5097</v>
      </c>
      <c r="E171" s="450"/>
      <c r="F171" s="289">
        <v>9200000</v>
      </c>
    </row>
    <row r="172" spans="1:6" ht="15" x14ac:dyDescent="0.3">
      <c r="A172" s="105">
        <v>45946</v>
      </c>
      <c r="B172" s="11" t="s">
        <v>5096</v>
      </c>
      <c r="C172" s="112" t="s">
        <v>1797</v>
      </c>
      <c r="D172" s="234" t="s">
        <v>5098</v>
      </c>
      <c r="E172" s="450"/>
      <c r="F172" s="289">
        <v>1012000</v>
      </c>
    </row>
    <row r="173" spans="1:6" ht="15" x14ac:dyDescent="0.3">
      <c r="A173" s="230">
        <v>45946</v>
      </c>
      <c r="B173" s="11" t="s">
        <v>5096</v>
      </c>
      <c r="C173" s="112" t="s">
        <v>1797</v>
      </c>
      <c r="D173" s="234" t="s">
        <v>5099</v>
      </c>
      <c r="E173" s="450"/>
      <c r="F173" s="289">
        <v>2900</v>
      </c>
    </row>
    <row r="174" spans="1:6" ht="15" x14ac:dyDescent="0.3">
      <c r="A174" s="230">
        <v>45947</v>
      </c>
      <c r="B174" s="11" t="s">
        <v>5100</v>
      </c>
      <c r="C174" s="130" t="s">
        <v>1797</v>
      </c>
      <c r="D174" s="234" t="s">
        <v>5101</v>
      </c>
      <c r="E174" s="450">
        <v>3421575000</v>
      </c>
      <c r="F174" s="289"/>
    </row>
    <row r="175" spans="1:6" ht="15" x14ac:dyDescent="0.3">
      <c r="A175" s="230">
        <v>45951</v>
      </c>
      <c r="B175" s="11" t="s">
        <v>4973</v>
      </c>
      <c r="C175" s="130" t="s">
        <v>1797</v>
      </c>
      <c r="D175" s="234" t="s">
        <v>5102</v>
      </c>
      <c r="E175" s="450"/>
      <c r="F175" s="289">
        <v>2547000</v>
      </c>
    </row>
    <row r="176" spans="1:6" ht="15" x14ac:dyDescent="0.3">
      <c r="A176" s="230">
        <v>45951</v>
      </c>
      <c r="B176" s="11" t="s">
        <v>4973</v>
      </c>
      <c r="C176" s="130" t="s">
        <v>1797</v>
      </c>
      <c r="D176" s="234" t="s">
        <v>5103</v>
      </c>
      <c r="E176" s="450"/>
      <c r="F176" s="289">
        <v>5882683</v>
      </c>
    </row>
    <row r="177" spans="1:6" ht="15" x14ac:dyDescent="0.3">
      <c r="A177" s="231">
        <v>45951</v>
      </c>
      <c r="B177" s="31" t="s">
        <v>4973</v>
      </c>
      <c r="C177" s="229" t="s">
        <v>1797</v>
      </c>
      <c r="D177" s="235" t="s">
        <v>5104</v>
      </c>
      <c r="E177" s="451"/>
      <c r="F177" s="431">
        <v>1336950</v>
      </c>
    </row>
    <row r="178" spans="1:6" ht="15.6" x14ac:dyDescent="0.3">
      <c r="A178" s="232">
        <v>45966</v>
      </c>
      <c r="B178" s="9" t="s">
        <v>5539</v>
      </c>
      <c r="C178" s="233" t="s">
        <v>5540</v>
      </c>
      <c r="D178" s="236" t="s">
        <v>5541</v>
      </c>
      <c r="E178" s="452"/>
      <c r="F178" s="311">
        <v>211500000</v>
      </c>
    </row>
    <row r="179" spans="1:6" ht="15.6" x14ac:dyDescent="0.3">
      <c r="A179" s="232">
        <v>45966</v>
      </c>
      <c r="B179" s="9" t="s">
        <v>5539</v>
      </c>
      <c r="C179" s="233" t="s">
        <v>5540</v>
      </c>
      <c r="D179" s="236" t="s">
        <v>5542</v>
      </c>
      <c r="E179" s="452"/>
      <c r="F179" s="311">
        <v>23265000</v>
      </c>
    </row>
    <row r="180" spans="1:6" ht="15" x14ac:dyDescent="0.3">
      <c r="A180" s="232">
        <v>45966</v>
      </c>
      <c r="B180" s="9" t="s">
        <v>5539</v>
      </c>
      <c r="C180" s="130" t="s">
        <v>5540</v>
      </c>
      <c r="D180" s="237" t="s">
        <v>5543</v>
      </c>
      <c r="E180" s="450"/>
      <c r="F180" s="290">
        <v>-5604750</v>
      </c>
    </row>
    <row r="181" spans="1:6" ht="15" x14ac:dyDescent="0.3">
      <c r="A181" s="232">
        <v>45972</v>
      </c>
      <c r="B181" s="11" t="s">
        <v>5513</v>
      </c>
      <c r="C181" s="130" t="s">
        <v>1797</v>
      </c>
      <c r="D181" s="237" t="s">
        <v>5544</v>
      </c>
      <c r="E181" s="290"/>
      <c r="F181" s="290">
        <v>595000</v>
      </c>
    </row>
    <row r="182" spans="1:6" ht="15" x14ac:dyDescent="0.3">
      <c r="A182" s="232">
        <v>45972</v>
      </c>
      <c r="B182" s="130" t="s">
        <v>5513</v>
      </c>
      <c r="C182" s="11" t="s">
        <v>1797</v>
      </c>
      <c r="D182" s="259" t="s">
        <v>2372</v>
      </c>
      <c r="E182" s="290"/>
      <c r="F182" s="290">
        <v>2500</v>
      </c>
    </row>
    <row r="183" spans="1:6" ht="15" x14ac:dyDescent="0.3">
      <c r="A183" s="32">
        <v>45972</v>
      </c>
      <c r="B183" s="112" t="s">
        <v>5513</v>
      </c>
      <c r="C183" s="11" t="s">
        <v>1797</v>
      </c>
      <c r="D183" s="259" t="s">
        <v>5545</v>
      </c>
      <c r="E183" s="290"/>
      <c r="F183" s="290">
        <v>3000000</v>
      </c>
    </row>
    <row r="184" spans="1:6" ht="15" x14ac:dyDescent="0.3">
      <c r="A184" s="32">
        <v>45972</v>
      </c>
      <c r="B184" s="112" t="s">
        <v>5513</v>
      </c>
      <c r="C184" s="11" t="s">
        <v>1797</v>
      </c>
      <c r="D184" s="259" t="s">
        <v>2372</v>
      </c>
      <c r="E184" s="290"/>
      <c r="F184" s="290">
        <v>5000</v>
      </c>
    </row>
    <row r="185" spans="1:6" ht="15" x14ac:dyDescent="0.3">
      <c r="A185" s="32">
        <v>45973</v>
      </c>
      <c r="B185" s="112" t="s">
        <v>5537</v>
      </c>
      <c r="C185" s="11" t="s">
        <v>5546</v>
      </c>
      <c r="D185" s="259" t="s">
        <v>5547</v>
      </c>
      <c r="E185" s="290"/>
      <c r="F185" s="290">
        <v>357000</v>
      </c>
    </row>
    <row r="186" spans="1:6" ht="15" x14ac:dyDescent="0.3">
      <c r="A186" s="6">
        <v>45973</v>
      </c>
      <c r="B186" s="351" t="s">
        <v>5537</v>
      </c>
      <c r="C186" s="31" t="s">
        <v>5546</v>
      </c>
      <c r="D186" s="440" t="s">
        <v>210</v>
      </c>
      <c r="E186" s="416"/>
      <c r="F186" s="416">
        <v>2500</v>
      </c>
    </row>
    <row r="187" spans="1:6" ht="15" x14ac:dyDescent="0.3">
      <c r="A187" s="238">
        <v>46002</v>
      </c>
      <c r="B187" s="441" t="s">
        <v>5789</v>
      </c>
      <c r="C187" s="239" t="s">
        <v>1797</v>
      </c>
      <c r="D187" s="442" t="s">
        <v>6180</v>
      </c>
      <c r="E187" s="453"/>
      <c r="F187" s="454">
        <v>239750000</v>
      </c>
    </row>
    <row r="188" spans="1:6" ht="15.6" x14ac:dyDescent="0.3">
      <c r="A188" s="588">
        <v>46022</v>
      </c>
      <c r="B188" s="589" t="s">
        <v>6176</v>
      </c>
      <c r="C188" s="577" t="s">
        <v>5546</v>
      </c>
      <c r="D188" s="589" t="s">
        <v>6177</v>
      </c>
      <c r="E188" s="597"/>
      <c r="F188" s="582">
        <v>4000</v>
      </c>
    </row>
    <row r="189" spans="1:6" ht="15.6" x14ac:dyDescent="0.3">
      <c r="A189" s="588">
        <v>46022</v>
      </c>
      <c r="B189" s="589" t="s">
        <v>6176</v>
      </c>
      <c r="C189" s="577" t="s">
        <v>5546</v>
      </c>
      <c r="D189" s="589" t="s">
        <v>6178</v>
      </c>
      <c r="E189" s="597"/>
      <c r="F189" s="582">
        <v>478000</v>
      </c>
    </row>
    <row r="190" spans="1:6" ht="15.6" x14ac:dyDescent="0.3">
      <c r="A190" s="588">
        <v>46022</v>
      </c>
      <c r="B190" s="589" t="s">
        <v>6176</v>
      </c>
      <c r="C190" s="577" t="s">
        <v>5546</v>
      </c>
      <c r="D190" s="589" t="s">
        <v>6179</v>
      </c>
      <c r="E190" s="597"/>
      <c r="F190" s="582">
        <v>300000</v>
      </c>
    </row>
    <row r="191" spans="1:6" ht="15" x14ac:dyDescent="0.3">
      <c r="A191" s="607">
        <v>46043</v>
      </c>
      <c r="B191" s="128" t="s">
        <v>6444</v>
      </c>
      <c r="C191" s="616" t="s">
        <v>1797</v>
      </c>
      <c r="D191" s="617" t="s">
        <v>6445</v>
      </c>
      <c r="E191" s="610"/>
      <c r="F191" s="620">
        <v>1864200</v>
      </c>
    </row>
    <row r="192" spans="1:6" ht="15" x14ac:dyDescent="0.3">
      <c r="A192" s="600">
        <v>46043</v>
      </c>
      <c r="B192" s="126" t="s">
        <v>6444</v>
      </c>
      <c r="C192" s="614" t="s">
        <v>1797</v>
      </c>
      <c r="D192" s="615" t="s">
        <v>6446</v>
      </c>
      <c r="E192" s="603"/>
      <c r="F192" s="621">
        <v>205062</v>
      </c>
    </row>
    <row r="193" spans="1:6" ht="15" x14ac:dyDescent="0.3">
      <c r="A193" s="600">
        <v>46043</v>
      </c>
      <c r="B193" s="126" t="s">
        <v>6444</v>
      </c>
      <c r="C193" s="614" t="s">
        <v>1797</v>
      </c>
      <c r="D193" s="615" t="s">
        <v>6447</v>
      </c>
      <c r="E193" s="603"/>
      <c r="F193" s="621">
        <v>-37284</v>
      </c>
    </row>
    <row r="194" spans="1:6" ht="15" x14ac:dyDescent="0.3">
      <c r="A194" s="600">
        <v>46043</v>
      </c>
      <c r="B194" s="126" t="s">
        <v>6444</v>
      </c>
      <c r="C194" s="614" t="s">
        <v>1797</v>
      </c>
      <c r="D194" s="615" t="s">
        <v>6448</v>
      </c>
      <c r="E194" s="603"/>
      <c r="F194" s="621">
        <v>23615000</v>
      </c>
    </row>
    <row r="195" spans="1:6" ht="15" x14ac:dyDescent="0.3">
      <c r="A195" s="600">
        <v>46043</v>
      </c>
      <c r="B195" s="126" t="s">
        <v>6444</v>
      </c>
      <c r="C195" s="614" t="s">
        <v>1797</v>
      </c>
      <c r="D195" s="615" t="s">
        <v>6449</v>
      </c>
      <c r="E195" s="603"/>
      <c r="F195" s="621">
        <v>259765</v>
      </c>
    </row>
    <row r="196" spans="1:6" ht="15" x14ac:dyDescent="0.3">
      <c r="A196" s="600">
        <v>46043</v>
      </c>
      <c r="B196" s="126" t="s">
        <v>6444</v>
      </c>
      <c r="C196" s="614" t="s">
        <v>1797</v>
      </c>
      <c r="D196" s="615" t="s">
        <v>6450</v>
      </c>
      <c r="E196" s="603"/>
      <c r="F196" s="621">
        <v>-472300</v>
      </c>
    </row>
    <row r="197" spans="1:6" ht="15" x14ac:dyDescent="0.3">
      <c r="A197" s="600">
        <v>46043</v>
      </c>
      <c r="B197" s="126" t="s">
        <v>6444</v>
      </c>
      <c r="C197" s="614" t="s">
        <v>1797</v>
      </c>
      <c r="D197" s="615" t="s">
        <v>6451</v>
      </c>
      <c r="E197" s="603"/>
      <c r="F197" s="621">
        <v>2025022</v>
      </c>
    </row>
    <row r="198" spans="1:6" ht="15" x14ac:dyDescent="0.3">
      <c r="A198" s="600">
        <v>46043</v>
      </c>
      <c r="B198" s="126" t="s">
        <v>6444</v>
      </c>
      <c r="C198" s="614" t="s">
        <v>1797</v>
      </c>
      <c r="D198" s="615" t="s">
        <v>6452</v>
      </c>
      <c r="E198" s="603"/>
      <c r="F198" s="621">
        <v>222752</v>
      </c>
    </row>
    <row r="199" spans="1:6" ht="15" x14ac:dyDescent="0.3">
      <c r="A199" s="600">
        <v>46043</v>
      </c>
      <c r="B199" s="126" t="s">
        <v>6444</v>
      </c>
      <c r="C199" s="614" t="s">
        <v>1797</v>
      </c>
      <c r="D199" s="615" t="s">
        <v>6453</v>
      </c>
      <c r="E199" s="603"/>
      <c r="F199" s="621">
        <v>-40500</v>
      </c>
    </row>
    <row r="200" spans="1:6" ht="15" x14ac:dyDescent="0.3">
      <c r="A200" s="127">
        <v>46043</v>
      </c>
      <c r="B200" s="132" t="s">
        <v>6444</v>
      </c>
      <c r="C200" s="618" t="s">
        <v>1797</v>
      </c>
      <c r="D200" s="619" t="s">
        <v>6454</v>
      </c>
      <c r="E200" s="606"/>
      <c r="F200" s="622">
        <v>2900</v>
      </c>
    </row>
  </sheetData>
  <autoFilter ref="A2:F130" xr:uid="{3BF808D7-6F01-48DB-AE82-D826B0093918}"/>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589B9-FE11-42FD-951F-C099BFB1F21F}">
  <dimension ref="A2:F40"/>
  <sheetViews>
    <sheetView workbookViewId="0">
      <pane xSplit="3" ySplit="2" topLeftCell="D24" activePane="bottomRight" state="frozen"/>
      <selection pane="topRight" activeCell="D1" sqref="D1"/>
      <selection pane="bottomLeft" activeCell="A3" sqref="A3"/>
      <selection pane="bottomRight" activeCell="D37" sqref="D37"/>
    </sheetView>
  </sheetViews>
  <sheetFormatPr defaultRowHeight="14.4" x14ac:dyDescent="0.3"/>
  <cols>
    <col min="1" max="3" width="13.88671875" style="83" customWidth="1"/>
    <col min="4" max="4" width="111" style="83" customWidth="1"/>
    <col min="5" max="6" width="18.88671875" style="468" customWidth="1"/>
    <col min="7" max="16384" width="8.88671875" style="83"/>
  </cols>
  <sheetData>
    <row r="2" spans="1:6" ht="15.6" x14ac:dyDescent="0.3">
      <c r="A2" s="1" t="s">
        <v>0</v>
      </c>
      <c r="B2" s="2" t="s">
        <v>1</v>
      </c>
      <c r="C2" s="2" t="s">
        <v>2</v>
      </c>
      <c r="D2" s="2" t="s">
        <v>3</v>
      </c>
      <c r="E2" s="412" t="s">
        <v>4</v>
      </c>
      <c r="F2" s="397" t="s">
        <v>5</v>
      </c>
    </row>
    <row r="3" spans="1:6" ht="15" x14ac:dyDescent="0.3">
      <c r="A3" s="3">
        <v>45637</v>
      </c>
      <c r="B3" s="4" t="s">
        <v>1937</v>
      </c>
      <c r="C3" s="4" t="s">
        <v>1938</v>
      </c>
      <c r="D3" s="84" t="s">
        <v>1939</v>
      </c>
      <c r="E3" s="425"/>
      <c r="F3" s="426">
        <v>49500000</v>
      </c>
    </row>
    <row r="4" spans="1:6" ht="15" x14ac:dyDescent="0.3">
      <c r="A4" s="3">
        <v>45637</v>
      </c>
      <c r="B4" s="4" t="s">
        <v>1937</v>
      </c>
      <c r="C4" s="4" t="s">
        <v>1938</v>
      </c>
      <c r="D4" s="84" t="s">
        <v>1940</v>
      </c>
      <c r="E4" s="425"/>
      <c r="F4" s="426">
        <v>35000000</v>
      </c>
    </row>
    <row r="5" spans="1:6" ht="15" x14ac:dyDescent="0.3">
      <c r="A5" s="3">
        <v>45637</v>
      </c>
      <c r="B5" s="4" t="s">
        <v>1937</v>
      </c>
      <c r="C5" s="4" t="s">
        <v>1938</v>
      </c>
      <c r="D5" s="84" t="s">
        <v>1941</v>
      </c>
      <c r="E5" s="425"/>
      <c r="F5" s="426">
        <v>5500000</v>
      </c>
    </row>
    <row r="6" spans="1:6" ht="15" x14ac:dyDescent="0.3">
      <c r="A6" s="33">
        <v>45716</v>
      </c>
      <c r="B6" s="31" t="s">
        <v>1835</v>
      </c>
      <c r="C6" s="35" t="s">
        <v>1836</v>
      </c>
      <c r="D6" s="40" t="s">
        <v>1837</v>
      </c>
      <c r="E6" s="431"/>
      <c r="F6" s="285">
        <v>5000000</v>
      </c>
    </row>
    <row r="7" spans="1:6" ht="15" x14ac:dyDescent="0.3">
      <c r="A7" s="33">
        <v>45730</v>
      </c>
      <c r="B7" s="31" t="s">
        <v>1942</v>
      </c>
      <c r="C7" s="54" t="s">
        <v>1938</v>
      </c>
      <c r="D7" s="12" t="s">
        <v>1943</v>
      </c>
      <c r="E7" s="431"/>
      <c r="F7" s="416">
        <v>94250000</v>
      </c>
    </row>
    <row r="8" spans="1:6" ht="15" x14ac:dyDescent="0.3">
      <c r="A8" s="33">
        <v>45730</v>
      </c>
      <c r="B8" s="31" t="s">
        <v>1942</v>
      </c>
      <c r="C8" s="54" t="s">
        <v>1938</v>
      </c>
      <c r="D8" s="12" t="s">
        <v>1944</v>
      </c>
      <c r="E8" s="431"/>
      <c r="F8" s="416">
        <v>10367500</v>
      </c>
    </row>
    <row r="9" spans="1:6" ht="15" x14ac:dyDescent="0.3">
      <c r="A9" s="33">
        <v>45730</v>
      </c>
      <c r="B9" s="31" t="s">
        <v>1942</v>
      </c>
      <c r="C9" s="54" t="s">
        <v>1938</v>
      </c>
      <c r="D9" s="12" t="s">
        <v>1945</v>
      </c>
      <c r="E9" s="431"/>
      <c r="F9" s="416">
        <v>-3000000</v>
      </c>
    </row>
    <row r="10" spans="1:6" ht="15" x14ac:dyDescent="0.3">
      <c r="A10" s="33">
        <v>45730</v>
      </c>
      <c r="B10" s="31" t="s">
        <v>1942</v>
      </c>
      <c r="C10" s="54" t="s">
        <v>1938</v>
      </c>
      <c r="D10" s="12" t="s">
        <v>1946</v>
      </c>
      <c r="E10" s="431"/>
      <c r="F10" s="285">
        <v>2900</v>
      </c>
    </row>
    <row r="11" spans="1:6" ht="15" x14ac:dyDescent="0.3">
      <c r="A11" s="33">
        <v>45735</v>
      </c>
      <c r="B11" s="31" t="s">
        <v>1947</v>
      </c>
      <c r="C11" s="20" t="s">
        <v>1938</v>
      </c>
      <c r="D11" s="12" t="s">
        <v>1948</v>
      </c>
      <c r="E11" s="431"/>
      <c r="F11" s="416">
        <v>64800000</v>
      </c>
    </row>
    <row r="12" spans="1:6" ht="15" x14ac:dyDescent="0.3">
      <c r="A12" s="33">
        <v>45735</v>
      </c>
      <c r="B12" s="31" t="s">
        <v>1947</v>
      </c>
      <c r="C12" s="20" t="s">
        <v>1938</v>
      </c>
      <c r="D12" s="12" t="s">
        <v>1949</v>
      </c>
      <c r="E12" s="431"/>
      <c r="F12" s="416">
        <v>7128000</v>
      </c>
    </row>
    <row r="13" spans="1:6" ht="15" x14ac:dyDescent="0.3">
      <c r="A13" s="33">
        <v>45735</v>
      </c>
      <c r="B13" s="31" t="s">
        <v>1947</v>
      </c>
      <c r="C13" s="20" t="s">
        <v>1938</v>
      </c>
      <c r="D13" s="12" t="s">
        <v>1950</v>
      </c>
      <c r="E13" s="431"/>
      <c r="F13" s="416">
        <v>2900</v>
      </c>
    </row>
    <row r="14" spans="1:6" ht="15" x14ac:dyDescent="0.3">
      <c r="A14" s="33">
        <v>45743</v>
      </c>
      <c r="B14" s="31" t="s">
        <v>1951</v>
      </c>
      <c r="C14" s="11" t="s">
        <v>1938</v>
      </c>
      <c r="D14" s="26" t="s">
        <v>1952</v>
      </c>
      <c r="E14" s="432"/>
      <c r="F14" s="289">
        <v>350000</v>
      </c>
    </row>
    <row r="15" spans="1:6" ht="15" x14ac:dyDescent="0.3">
      <c r="A15" s="33">
        <v>45743</v>
      </c>
      <c r="B15" s="31" t="s">
        <v>1951</v>
      </c>
      <c r="C15" s="11" t="s">
        <v>1938</v>
      </c>
      <c r="D15" s="26" t="s">
        <v>1953</v>
      </c>
      <c r="E15" s="432"/>
      <c r="F15" s="289">
        <v>229000</v>
      </c>
    </row>
    <row r="16" spans="1:6" ht="15" x14ac:dyDescent="0.3">
      <c r="A16" s="33">
        <v>45743</v>
      </c>
      <c r="B16" s="31" t="s">
        <v>1951</v>
      </c>
      <c r="C16" s="11" t="s">
        <v>1938</v>
      </c>
      <c r="D16" s="26" t="s">
        <v>387</v>
      </c>
      <c r="E16" s="432"/>
      <c r="F16" s="289">
        <v>2900</v>
      </c>
    </row>
    <row r="17" spans="1:6" ht="15" x14ac:dyDescent="0.3">
      <c r="A17" s="6">
        <v>45770</v>
      </c>
      <c r="B17" s="9" t="s">
        <v>1954</v>
      </c>
      <c r="C17" s="90" t="s">
        <v>1938</v>
      </c>
      <c r="D17" s="42" t="s">
        <v>1955</v>
      </c>
      <c r="E17" s="433"/>
      <c r="F17" s="335">
        <v>32400000</v>
      </c>
    </row>
    <row r="18" spans="1:6" ht="15" x14ac:dyDescent="0.3">
      <c r="A18" s="6">
        <v>45770</v>
      </c>
      <c r="B18" s="9" t="s">
        <v>1954</v>
      </c>
      <c r="C18" s="90" t="s">
        <v>1938</v>
      </c>
      <c r="D18" s="42" t="s">
        <v>1955</v>
      </c>
      <c r="E18" s="433"/>
      <c r="F18" s="335">
        <v>3564000</v>
      </c>
    </row>
    <row r="19" spans="1:6" ht="15" x14ac:dyDescent="0.3">
      <c r="A19" s="6">
        <v>45770</v>
      </c>
      <c r="B19" s="9" t="s">
        <v>1954</v>
      </c>
      <c r="C19" s="90" t="s">
        <v>1938</v>
      </c>
      <c r="D19" s="42" t="s">
        <v>1950</v>
      </c>
      <c r="E19" s="433"/>
      <c r="F19" s="335">
        <v>2900</v>
      </c>
    </row>
    <row r="20" spans="1:6" ht="15" x14ac:dyDescent="0.3">
      <c r="A20" s="33">
        <v>45777</v>
      </c>
      <c r="B20" s="11" t="s">
        <v>1956</v>
      </c>
      <c r="C20" s="11" t="s">
        <v>1938</v>
      </c>
      <c r="D20" s="17" t="s">
        <v>1957</v>
      </c>
      <c r="E20" s="370"/>
      <c r="F20" s="289">
        <v>149200000</v>
      </c>
    </row>
    <row r="21" spans="1:6" ht="15" x14ac:dyDescent="0.3">
      <c r="A21" s="33">
        <v>45777</v>
      </c>
      <c r="B21" s="11" t="s">
        <v>1956</v>
      </c>
      <c r="C21" s="11" t="s">
        <v>1938</v>
      </c>
      <c r="D21" s="17" t="s">
        <v>1958</v>
      </c>
      <c r="E21" s="370"/>
      <c r="F21" s="289">
        <v>16412000</v>
      </c>
    </row>
    <row r="22" spans="1:6" ht="15" x14ac:dyDescent="0.3">
      <c r="A22" s="33">
        <v>45777</v>
      </c>
      <c r="B22" s="11" t="s">
        <v>1956</v>
      </c>
      <c r="C22" s="11" t="s">
        <v>1938</v>
      </c>
      <c r="D22" s="17" t="s">
        <v>1959</v>
      </c>
      <c r="E22" s="370"/>
      <c r="F22" s="289">
        <v>-2984000</v>
      </c>
    </row>
    <row r="23" spans="1:6" ht="15" x14ac:dyDescent="0.3">
      <c r="A23" s="33">
        <v>45777</v>
      </c>
      <c r="B23" s="11" t="s">
        <v>1956</v>
      </c>
      <c r="C23" s="11" t="s">
        <v>1938</v>
      </c>
      <c r="D23" s="17" t="s">
        <v>1960</v>
      </c>
      <c r="E23" s="370"/>
      <c r="F23" s="289">
        <v>2900</v>
      </c>
    </row>
    <row r="24" spans="1:6" ht="15" x14ac:dyDescent="0.3">
      <c r="A24" s="6">
        <v>45812</v>
      </c>
      <c r="B24" s="9" t="s">
        <v>1961</v>
      </c>
      <c r="C24" s="31" t="s">
        <v>1938</v>
      </c>
      <c r="D24" s="26" t="s">
        <v>1962</v>
      </c>
      <c r="E24" s="433"/>
      <c r="F24" s="335">
        <v>68185000</v>
      </c>
    </row>
    <row r="25" spans="1:6" ht="15" x14ac:dyDescent="0.3">
      <c r="A25" s="6">
        <v>45812</v>
      </c>
      <c r="B25" s="9" t="s">
        <v>1961</v>
      </c>
      <c r="C25" s="31" t="s">
        <v>1938</v>
      </c>
      <c r="D25" s="26" t="s">
        <v>1963</v>
      </c>
      <c r="E25" s="433"/>
      <c r="F25" s="335">
        <v>7500350</v>
      </c>
    </row>
    <row r="26" spans="1:6" ht="15" x14ac:dyDescent="0.3">
      <c r="A26" s="6">
        <v>45812</v>
      </c>
      <c r="B26" s="9" t="s">
        <v>1961</v>
      </c>
      <c r="C26" s="31" t="s">
        <v>1938</v>
      </c>
      <c r="D26" s="26" t="s">
        <v>1964</v>
      </c>
      <c r="E26" s="433"/>
      <c r="F26" s="335">
        <v>2900</v>
      </c>
    </row>
    <row r="27" spans="1:6" ht="15" x14ac:dyDescent="0.3">
      <c r="A27" s="6">
        <v>45840</v>
      </c>
      <c r="B27" s="9" t="s">
        <v>1965</v>
      </c>
      <c r="C27" s="31" t="s">
        <v>1938</v>
      </c>
      <c r="D27" s="46" t="s">
        <v>1966</v>
      </c>
      <c r="E27" s="421"/>
      <c r="F27" s="299">
        <v>84825000</v>
      </c>
    </row>
    <row r="28" spans="1:6" ht="15" x14ac:dyDescent="0.3">
      <c r="A28" s="6">
        <v>45840</v>
      </c>
      <c r="B28" s="9" t="s">
        <v>1965</v>
      </c>
      <c r="C28" s="31" t="s">
        <v>1938</v>
      </c>
      <c r="D28" s="46" t="s">
        <v>1967</v>
      </c>
      <c r="E28" s="300"/>
      <c r="F28" s="299">
        <v>9330750</v>
      </c>
    </row>
    <row r="29" spans="1:6" ht="15" x14ac:dyDescent="0.3">
      <c r="A29" s="32">
        <v>45840</v>
      </c>
      <c r="B29" s="9" t="s">
        <v>1965</v>
      </c>
      <c r="C29" s="11" t="s">
        <v>1938</v>
      </c>
      <c r="D29" s="49" t="s">
        <v>1968</v>
      </c>
      <c r="E29" s="465"/>
      <c r="F29" s="299">
        <v>2900</v>
      </c>
    </row>
    <row r="30" spans="1:6" ht="15" x14ac:dyDescent="0.3">
      <c r="A30" s="105">
        <v>45898</v>
      </c>
      <c r="B30" s="130" t="s">
        <v>4083</v>
      </c>
      <c r="C30" s="130" t="s">
        <v>1938</v>
      </c>
      <c r="D30" s="246" t="s">
        <v>4084</v>
      </c>
      <c r="E30" s="469">
        <v>13500000</v>
      </c>
      <c r="F30" s="289"/>
    </row>
    <row r="31" spans="1:6" ht="15" x14ac:dyDescent="0.3">
      <c r="A31" s="230">
        <v>45898</v>
      </c>
      <c r="B31" s="130" t="s">
        <v>4083</v>
      </c>
      <c r="C31" s="130" t="s">
        <v>1938</v>
      </c>
      <c r="D31" s="461" t="s">
        <v>4085</v>
      </c>
      <c r="E31" s="466"/>
      <c r="F31" s="289">
        <v>3008562</v>
      </c>
    </row>
    <row r="32" spans="1:6" ht="15" x14ac:dyDescent="0.3">
      <c r="A32" s="230">
        <v>45898</v>
      </c>
      <c r="B32" s="130" t="s">
        <v>4083</v>
      </c>
      <c r="C32" s="130" t="s">
        <v>1938</v>
      </c>
      <c r="D32" s="461" t="s">
        <v>4086</v>
      </c>
      <c r="E32" s="466"/>
      <c r="F32" s="289">
        <v>3527559</v>
      </c>
    </row>
    <row r="33" spans="1:6" ht="15" x14ac:dyDescent="0.3">
      <c r="A33" s="230">
        <v>45898</v>
      </c>
      <c r="B33" s="130" t="s">
        <v>4083</v>
      </c>
      <c r="C33" s="130" t="s">
        <v>1938</v>
      </c>
      <c r="D33" s="246" t="s">
        <v>4087</v>
      </c>
      <c r="E33" s="466"/>
      <c r="F33" s="289">
        <v>181000</v>
      </c>
    </row>
    <row r="34" spans="1:6" ht="15" x14ac:dyDescent="0.3">
      <c r="A34" s="230">
        <v>45898</v>
      </c>
      <c r="B34" s="130" t="s">
        <v>4083</v>
      </c>
      <c r="C34" s="130" t="s">
        <v>1938</v>
      </c>
      <c r="D34" s="461" t="s">
        <v>4088</v>
      </c>
      <c r="E34" s="466"/>
      <c r="F34" s="289">
        <v>2801668</v>
      </c>
    </row>
    <row r="35" spans="1:6" ht="15" x14ac:dyDescent="0.3">
      <c r="A35" s="230">
        <v>45903</v>
      </c>
      <c r="B35" s="130" t="s">
        <v>4410</v>
      </c>
      <c r="C35" s="130" t="s">
        <v>1938</v>
      </c>
      <c r="D35" s="462" t="s">
        <v>4566</v>
      </c>
      <c r="E35" s="450"/>
      <c r="F35" s="289">
        <v>879426</v>
      </c>
    </row>
    <row r="36" spans="1:6" ht="15" x14ac:dyDescent="0.3">
      <c r="A36" s="231">
        <v>45903</v>
      </c>
      <c r="B36" s="229" t="s">
        <v>4410</v>
      </c>
      <c r="C36" s="229" t="s">
        <v>1938</v>
      </c>
      <c r="D36" s="463" t="s">
        <v>50</v>
      </c>
      <c r="E36" s="451"/>
      <c r="F36" s="431">
        <v>2500</v>
      </c>
    </row>
    <row r="37" spans="1:6" ht="15" x14ac:dyDescent="0.3">
      <c r="A37" s="459">
        <v>45958</v>
      </c>
      <c r="B37" s="460" t="s">
        <v>5091</v>
      </c>
      <c r="C37" s="460" t="s">
        <v>1938</v>
      </c>
      <c r="D37" s="464" t="s">
        <v>985</v>
      </c>
      <c r="E37" s="467"/>
      <c r="F37" s="283">
        <v>162000000</v>
      </c>
    </row>
    <row r="38" spans="1:6" ht="15" x14ac:dyDescent="0.3">
      <c r="A38" s="459">
        <v>46002</v>
      </c>
      <c r="B38" s="460" t="s">
        <v>5789</v>
      </c>
      <c r="C38" s="460" t="s">
        <v>1938</v>
      </c>
      <c r="D38" s="630" t="s">
        <v>6181</v>
      </c>
      <c r="E38" s="467"/>
      <c r="F38" s="283">
        <v>90000000</v>
      </c>
    </row>
    <row r="39" spans="1:6" ht="15" x14ac:dyDescent="0.3">
      <c r="A39" s="607">
        <v>46027</v>
      </c>
      <c r="B39" s="128" t="s">
        <v>6455</v>
      </c>
      <c r="C39" s="627" t="s">
        <v>1938</v>
      </c>
      <c r="D39" s="628" t="s">
        <v>6456</v>
      </c>
      <c r="E39" s="629"/>
      <c r="F39" s="565">
        <f>270000+403977</f>
        <v>673977</v>
      </c>
    </row>
    <row r="40" spans="1:6" ht="15" x14ac:dyDescent="0.3">
      <c r="A40" s="127">
        <v>46027</v>
      </c>
      <c r="B40" s="132" t="s">
        <v>6455</v>
      </c>
      <c r="C40" s="625" t="s">
        <v>1938</v>
      </c>
      <c r="D40" s="199" t="s">
        <v>6457</v>
      </c>
      <c r="E40" s="626"/>
      <c r="F40" s="631">
        <v>2500</v>
      </c>
    </row>
  </sheetData>
  <autoFilter ref="A2:F29" xr:uid="{356589B9-FE11-42FD-951F-C099BFB1F21F}"/>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3F4CC-38D1-4C3A-BAB3-BA10EED32A3E}">
  <dimension ref="A2:F141"/>
  <sheetViews>
    <sheetView zoomScaleNormal="100" workbookViewId="0">
      <pane xSplit="3" ySplit="2" topLeftCell="D128" activePane="bottomRight" state="frozen"/>
      <selection pane="topRight" activeCell="D1" sqref="D1"/>
      <selection pane="bottomLeft" activeCell="A3" sqref="A3"/>
      <selection pane="bottomRight" activeCell="D143" sqref="D143"/>
    </sheetView>
  </sheetViews>
  <sheetFormatPr defaultRowHeight="14.4" x14ac:dyDescent="0.3"/>
  <cols>
    <col min="1" max="3" width="13.88671875" style="83" customWidth="1"/>
    <col min="4" max="4" width="111" style="83" customWidth="1"/>
    <col min="5" max="6" width="18.88671875" style="468" customWidth="1"/>
    <col min="7" max="16384" width="8.88671875" style="83"/>
  </cols>
  <sheetData>
    <row r="2" spans="1:6" ht="15.6" x14ac:dyDescent="0.3">
      <c r="A2" s="1" t="s">
        <v>0</v>
      </c>
      <c r="B2" s="2" t="s">
        <v>1</v>
      </c>
      <c r="C2" s="2" t="s">
        <v>2</v>
      </c>
      <c r="D2" s="2" t="s">
        <v>3</v>
      </c>
      <c r="E2" s="412" t="s">
        <v>4</v>
      </c>
      <c r="F2" s="397" t="s">
        <v>5</v>
      </c>
    </row>
    <row r="3" spans="1:6" ht="15" x14ac:dyDescent="0.3">
      <c r="A3" s="152">
        <v>45637</v>
      </c>
      <c r="B3" s="153" t="s">
        <v>2421</v>
      </c>
      <c r="C3" s="154" t="s">
        <v>2422</v>
      </c>
      <c r="D3" s="155" t="s">
        <v>2423</v>
      </c>
      <c r="E3" s="471"/>
      <c r="F3" s="472">
        <v>30000000</v>
      </c>
    </row>
    <row r="4" spans="1:6" ht="15" x14ac:dyDescent="0.3">
      <c r="A4" s="139">
        <v>45637</v>
      </c>
      <c r="B4" s="141" t="s">
        <v>2421</v>
      </c>
      <c r="C4" s="145" t="s">
        <v>2422</v>
      </c>
      <c r="D4" s="146" t="s">
        <v>2424</v>
      </c>
      <c r="E4" s="427"/>
      <c r="F4" s="405">
        <v>3125000</v>
      </c>
    </row>
    <row r="5" spans="1:6" ht="15" x14ac:dyDescent="0.3">
      <c r="A5" s="32">
        <v>45639</v>
      </c>
      <c r="B5" s="142" t="s">
        <v>1412</v>
      </c>
      <c r="C5" s="15" t="s">
        <v>2422</v>
      </c>
      <c r="D5" s="118" t="s">
        <v>1413</v>
      </c>
      <c r="E5" s="289"/>
      <c r="F5" s="290">
        <v>200000</v>
      </c>
    </row>
    <row r="6" spans="1:6" ht="15" x14ac:dyDescent="0.3">
      <c r="A6" s="32">
        <v>45639</v>
      </c>
      <c r="B6" s="142" t="s">
        <v>1412</v>
      </c>
      <c r="C6" s="15" t="s">
        <v>2422</v>
      </c>
      <c r="D6" s="118" t="s">
        <v>2255</v>
      </c>
      <c r="E6" s="289"/>
      <c r="F6" s="290">
        <v>70000</v>
      </c>
    </row>
    <row r="7" spans="1:6" ht="15" x14ac:dyDescent="0.3">
      <c r="A7" s="32">
        <v>45639</v>
      </c>
      <c r="B7" s="142" t="s">
        <v>866</v>
      </c>
      <c r="C7" s="15" t="s">
        <v>2425</v>
      </c>
      <c r="D7" s="118" t="s">
        <v>2426</v>
      </c>
      <c r="E7" s="289"/>
      <c r="F7" s="301">
        <v>60000</v>
      </c>
    </row>
    <row r="8" spans="1:6" ht="15" x14ac:dyDescent="0.3">
      <c r="A8" s="32">
        <v>45645</v>
      </c>
      <c r="B8" s="142" t="s">
        <v>2427</v>
      </c>
      <c r="C8" s="11" t="s">
        <v>2422</v>
      </c>
      <c r="D8" s="118" t="s">
        <v>2428</v>
      </c>
      <c r="E8" s="289"/>
      <c r="F8" s="290">
        <v>41089623</v>
      </c>
    </row>
    <row r="9" spans="1:6" ht="15" x14ac:dyDescent="0.3">
      <c r="A9" s="32">
        <v>45645</v>
      </c>
      <c r="B9" s="142" t="s">
        <v>2427</v>
      </c>
      <c r="C9" s="11" t="s">
        <v>2422</v>
      </c>
      <c r="D9" s="118" t="s">
        <v>2429</v>
      </c>
      <c r="E9" s="289"/>
      <c r="F9" s="290">
        <v>409375</v>
      </c>
    </row>
    <row r="10" spans="1:6" ht="15" x14ac:dyDescent="0.3">
      <c r="A10" s="139">
        <v>45603</v>
      </c>
      <c r="B10" s="141" t="s">
        <v>2430</v>
      </c>
      <c r="C10" s="145" t="s">
        <v>2422</v>
      </c>
      <c r="D10" s="146" t="s">
        <v>2431</v>
      </c>
      <c r="E10" s="427"/>
      <c r="F10" s="401">
        <v>17520000</v>
      </c>
    </row>
    <row r="11" spans="1:6" ht="15" x14ac:dyDescent="0.3">
      <c r="A11" s="139">
        <v>45603</v>
      </c>
      <c r="B11" s="141" t="s">
        <v>2430</v>
      </c>
      <c r="C11" s="145" t="s">
        <v>2422</v>
      </c>
      <c r="D11" s="146" t="s">
        <v>2432</v>
      </c>
      <c r="E11" s="427"/>
      <c r="F11" s="401">
        <v>12480000</v>
      </c>
    </row>
    <row r="12" spans="1:6" ht="15" x14ac:dyDescent="0.3">
      <c r="A12" s="32">
        <v>45632</v>
      </c>
      <c r="B12" s="142" t="s">
        <v>155</v>
      </c>
      <c r="C12" s="15" t="s">
        <v>2425</v>
      </c>
      <c r="D12" s="118" t="s">
        <v>2433</v>
      </c>
      <c r="E12" s="299"/>
      <c r="F12" s="301">
        <v>60000</v>
      </c>
    </row>
    <row r="13" spans="1:6" ht="15" x14ac:dyDescent="0.3">
      <c r="A13" s="32">
        <v>45646</v>
      </c>
      <c r="B13" s="142" t="s">
        <v>943</v>
      </c>
      <c r="C13" s="15" t="s">
        <v>2425</v>
      </c>
      <c r="D13" s="118" t="s">
        <v>2434</v>
      </c>
      <c r="E13" s="299"/>
      <c r="F13" s="301">
        <v>64000</v>
      </c>
    </row>
    <row r="14" spans="1:6" ht="15" x14ac:dyDescent="0.3">
      <c r="A14" s="32">
        <v>45677</v>
      </c>
      <c r="B14" s="143" t="s">
        <v>2435</v>
      </c>
      <c r="C14" s="9" t="s">
        <v>2436</v>
      </c>
      <c r="D14" s="118" t="s">
        <v>2437</v>
      </c>
      <c r="E14" s="473"/>
      <c r="F14" s="305">
        <v>13979000</v>
      </c>
    </row>
    <row r="15" spans="1:6" ht="15" x14ac:dyDescent="0.3">
      <c r="A15" s="32">
        <v>45677</v>
      </c>
      <c r="B15" s="143" t="s">
        <v>2435</v>
      </c>
      <c r="C15" s="9" t="s">
        <v>2436</v>
      </c>
      <c r="D15" s="118" t="s">
        <v>2438</v>
      </c>
      <c r="E15" s="473"/>
      <c r="F15" s="305">
        <v>32289560</v>
      </c>
    </row>
    <row r="16" spans="1:6" ht="15" x14ac:dyDescent="0.3">
      <c r="A16" s="32">
        <v>45677</v>
      </c>
      <c r="B16" s="143" t="s">
        <v>2435</v>
      </c>
      <c r="C16" s="9" t="s">
        <v>2436</v>
      </c>
      <c r="D16" s="118" t="s">
        <v>2439</v>
      </c>
      <c r="E16" s="473"/>
      <c r="F16" s="305">
        <v>7338500</v>
      </c>
    </row>
    <row r="17" spans="1:6" ht="15" x14ac:dyDescent="0.3">
      <c r="A17" s="32">
        <v>45827</v>
      </c>
      <c r="B17" s="142" t="s">
        <v>2440</v>
      </c>
      <c r="C17" s="9" t="s">
        <v>2422</v>
      </c>
      <c r="D17" s="147" t="s">
        <v>2441</v>
      </c>
      <c r="E17" s="335"/>
      <c r="F17" s="283">
        <v>2100000</v>
      </c>
    </row>
    <row r="18" spans="1:6" ht="15" x14ac:dyDescent="0.3">
      <c r="A18" s="32">
        <v>45674</v>
      </c>
      <c r="B18" s="142" t="s">
        <v>2442</v>
      </c>
      <c r="C18" s="9" t="s">
        <v>2422</v>
      </c>
      <c r="D18" s="118" t="s">
        <v>2443</v>
      </c>
      <c r="E18" s="289"/>
      <c r="F18" s="301">
        <v>111265945</v>
      </c>
    </row>
    <row r="19" spans="1:6" ht="15" x14ac:dyDescent="0.3">
      <c r="A19" s="32">
        <v>45674</v>
      </c>
      <c r="B19" s="142" t="s">
        <v>2442</v>
      </c>
      <c r="C19" s="9" t="s">
        <v>2422</v>
      </c>
      <c r="D19" s="118" t="s">
        <v>2444</v>
      </c>
      <c r="E19" s="289"/>
      <c r="F19" s="301">
        <v>412250</v>
      </c>
    </row>
    <row r="20" spans="1:6" ht="15" x14ac:dyDescent="0.3">
      <c r="A20" s="140">
        <v>45698</v>
      </c>
      <c r="B20" s="144" t="s">
        <v>1806</v>
      </c>
      <c r="C20" s="15" t="s">
        <v>1807</v>
      </c>
      <c r="D20" s="148" t="s">
        <v>1808</v>
      </c>
      <c r="E20" s="285"/>
      <c r="F20" s="292">
        <v>11844000</v>
      </c>
    </row>
    <row r="21" spans="1:6" ht="15" x14ac:dyDescent="0.3">
      <c r="A21" s="32">
        <v>45698</v>
      </c>
      <c r="B21" s="142" t="s">
        <v>638</v>
      </c>
      <c r="C21" s="11" t="s">
        <v>2422</v>
      </c>
      <c r="D21" s="147" t="s">
        <v>2445</v>
      </c>
      <c r="E21" s="289"/>
      <c r="F21" s="290">
        <v>60675000</v>
      </c>
    </row>
    <row r="22" spans="1:6" ht="15" x14ac:dyDescent="0.3">
      <c r="A22" s="32">
        <v>45708</v>
      </c>
      <c r="B22" s="142" t="s">
        <v>2446</v>
      </c>
      <c r="C22" s="11" t="s">
        <v>2422</v>
      </c>
      <c r="D22" s="147" t="s">
        <v>2447</v>
      </c>
      <c r="E22" s="289"/>
      <c r="F22" s="290">
        <v>90616890</v>
      </c>
    </row>
    <row r="23" spans="1:6" ht="15" x14ac:dyDescent="0.3">
      <c r="A23" s="32">
        <v>45708</v>
      </c>
      <c r="B23" s="142" t="s">
        <v>2446</v>
      </c>
      <c r="C23" s="11" t="s">
        <v>2422</v>
      </c>
      <c r="D23" s="147" t="s">
        <v>2448</v>
      </c>
      <c r="E23" s="289"/>
      <c r="F23" s="290">
        <v>576975</v>
      </c>
    </row>
    <row r="24" spans="1:6" ht="15" x14ac:dyDescent="0.3">
      <c r="A24" s="32">
        <v>45715</v>
      </c>
      <c r="B24" s="142" t="s">
        <v>1809</v>
      </c>
      <c r="C24" s="11" t="s">
        <v>1807</v>
      </c>
      <c r="D24" s="147" t="s">
        <v>1810</v>
      </c>
      <c r="E24" s="289"/>
      <c r="F24" s="290">
        <v>27778800</v>
      </c>
    </row>
    <row r="25" spans="1:6" ht="15" x14ac:dyDescent="0.3">
      <c r="A25" s="32">
        <v>45715</v>
      </c>
      <c r="B25" s="142" t="s">
        <v>1809</v>
      </c>
      <c r="C25" s="11" t="s">
        <v>1807</v>
      </c>
      <c r="D25" s="147" t="s">
        <v>1811</v>
      </c>
      <c r="E25" s="289"/>
      <c r="F25" s="290">
        <v>413375</v>
      </c>
    </row>
    <row r="26" spans="1:6" ht="15" x14ac:dyDescent="0.3">
      <c r="A26" s="32">
        <v>45736</v>
      </c>
      <c r="B26" s="142" t="s">
        <v>2449</v>
      </c>
      <c r="C26" s="11" t="s">
        <v>2422</v>
      </c>
      <c r="D26" s="118" t="s">
        <v>2450</v>
      </c>
      <c r="E26" s="289"/>
      <c r="F26" s="290">
        <v>68076251</v>
      </c>
    </row>
    <row r="27" spans="1:6" ht="15" x14ac:dyDescent="0.3">
      <c r="A27" s="32">
        <v>45736</v>
      </c>
      <c r="B27" s="142" t="s">
        <v>2449</v>
      </c>
      <c r="C27" s="11" t="s">
        <v>2422</v>
      </c>
      <c r="D27" s="118" t="s">
        <v>2451</v>
      </c>
      <c r="E27" s="289"/>
      <c r="F27" s="290">
        <v>415250</v>
      </c>
    </row>
    <row r="28" spans="1:6" ht="15" x14ac:dyDescent="0.3">
      <c r="A28" s="32">
        <v>45743</v>
      </c>
      <c r="B28" s="142" t="s">
        <v>1818</v>
      </c>
      <c r="C28" s="15" t="s">
        <v>2422</v>
      </c>
      <c r="D28" s="118" t="s">
        <v>2452</v>
      </c>
      <c r="E28" s="289"/>
      <c r="F28" s="290">
        <v>29359898</v>
      </c>
    </row>
    <row r="29" spans="1:6" ht="15" x14ac:dyDescent="0.3">
      <c r="A29" s="105">
        <v>45674</v>
      </c>
      <c r="B29" s="112" t="s">
        <v>235</v>
      </c>
      <c r="C29" s="11" t="s">
        <v>2422</v>
      </c>
      <c r="D29" s="117" t="s">
        <v>2453</v>
      </c>
      <c r="E29" s="289"/>
      <c r="F29" s="290">
        <v>60000</v>
      </c>
    </row>
    <row r="30" spans="1:6" ht="15" x14ac:dyDescent="0.3">
      <c r="A30" s="105">
        <v>45674</v>
      </c>
      <c r="B30" s="112" t="s">
        <v>235</v>
      </c>
      <c r="C30" s="11" t="s">
        <v>2422</v>
      </c>
      <c r="D30" s="117" t="s">
        <v>2453</v>
      </c>
      <c r="E30" s="289"/>
      <c r="F30" s="290">
        <v>60000</v>
      </c>
    </row>
    <row r="31" spans="1:6" ht="15" x14ac:dyDescent="0.3">
      <c r="A31" s="105">
        <v>45679</v>
      </c>
      <c r="B31" s="112" t="s">
        <v>1024</v>
      </c>
      <c r="C31" s="11" t="s">
        <v>2422</v>
      </c>
      <c r="D31" s="117" t="s">
        <v>2454</v>
      </c>
      <c r="E31" s="289"/>
      <c r="F31" s="290">
        <v>331000</v>
      </c>
    </row>
    <row r="32" spans="1:6" ht="15" x14ac:dyDescent="0.3">
      <c r="A32" s="105">
        <v>45679</v>
      </c>
      <c r="B32" s="112" t="s">
        <v>1024</v>
      </c>
      <c r="C32" s="11" t="s">
        <v>2422</v>
      </c>
      <c r="D32" s="117" t="s">
        <v>2455</v>
      </c>
      <c r="E32" s="289"/>
      <c r="F32" s="290">
        <v>2500</v>
      </c>
    </row>
    <row r="33" spans="1:6" ht="15" x14ac:dyDescent="0.3">
      <c r="A33" s="105">
        <v>45681</v>
      </c>
      <c r="B33" s="112" t="s">
        <v>684</v>
      </c>
      <c r="C33" s="11" t="s">
        <v>2422</v>
      </c>
      <c r="D33" s="117" t="s">
        <v>2456</v>
      </c>
      <c r="E33" s="289"/>
      <c r="F33" s="289">
        <v>114000</v>
      </c>
    </row>
    <row r="34" spans="1:6" ht="15" x14ac:dyDescent="0.3">
      <c r="A34" s="105">
        <v>45681</v>
      </c>
      <c r="B34" s="112" t="s">
        <v>684</v>
      </c>
      <c r="C34" s="11" t="s">
        <v>2422</v>
      </c>
      <c r="D34" s="117" t="s">
        <v>2457</v>
      </c>
      <c r="E34" s="289"/>
      <c r="F34" s="289">
        <v>70000</v>
      </c>
    </row>
    <row r="35" spans="1:6" ht="15" x14ac:dyDescent="0.3">
      <c r="A35" s="105">
        <v>45681</v>
      </c>
      <c r="B35" s="112" t="s">
        <v>1829</v>
      </c>
      <c r="C35" s="11" t="s">
        <v>2422</v>
      </c>
      <c r="D35" s="117" t="s">
        <v>1649</v>
      </c>
      <c r="E35" s="289"/>
      <c r="F35" s="290">
        <v>200000</v>
      </c>
    </row>
    <row r="36" spans="1:6" ht="15" x14ac:dyDescent="0.3">
      <c r="A36" s="105">
        <v>45691</v>
      </c>
      <c r="B36" s="112" t="s">
        <v>693</v>
      </c>
      <c r="C36" s="11" t="s">
        <v>2422</v>
      </c>
      <c r="D36" s="117" t="s">
        <v>2458</v>
      </c>
      <c r="E36" s="289"/>
      <c r="F36" s="290">
        <v>40000</v>
      </c>
    </row>
    <row r="37" spans="1:6" ht="15" x14ac:dyDescent="0.3">
      <c r="A37" s="105">
        <v>45695</v>
      </c>
      <c r="B37" s="112" t="s">
        <v>2459</v>
      </c>
      <c r="C37" s="11" t="s">
        <v>2422</v>
      </c>
      <c r="D37" s="117" t="s">
        <v>2460</v>
      </c>
      <c r="E37" s="289"/>
      <c r="F37" s="290">
        <v>300000</v>
      </c>
    </row>
    <row r="38" spans="1:6" ht="15" x14ac:dyDescent="0.3">
      <c r="A38" s="105">
        <v>45695</v>
      </c>
      <c r="B38" s="112" t="s">
        <v>2459</v>
      </c>
      <c r="C38" s="11" t="s">
        <v>2422</v>
      </c>
      <c r="D38" s="117" t="s">
        <v>2461</v>
      </c>
      <c r="E38" s="289"/>
      <c r="F38" s="290">
        <v>548000</v>
      </c>
    </row>
    <row r="39" spans="1:6" ht="15" x14ac:dyDescent="0.3">
      <c r="A39" s="105">
        <v>45695</v>
      </c>
      <c r="B39" s="112" t="s">
        <v>2459</v>
      </c>
      <c r="C39" s="11" t="s">
        <v>2422</v>
      </c>
      <c r="D39" s="117" t="s">
        <v>2462</v>
      </c>
      <c r="E39" s="289"/>
      <c r="F39" s="290">
        <v>240000</v>
      </c>
    </row>
    <row r="40" spans="1:6" ht="15" x14ac:dyDescent="0.3">
      <c r="A40" s="105">
        <v>45695</v>
      </c>
      <c r="B40" s="112" t="s">
        <v>2459</v>
      </c>
      <c r="C40" s="11" t="s">
        <v>2422</v>
      </c>
      <c r="D40" s="117" t="s">
        <v>2463</v>
      </c>
      <c r="E40" s="289"/>
      <c r="F40" s="290">
        <v>70000</v>
      </c>
    </row>
    <row r="41" spans="1:6" ht="15" x14ac:dyDescent="0.3">
      <c r="A41" s="105">
        <v>45700</v>
      </c>
      <c r="B41" s="112" t="s">
        <v>1077</v>
      </c>
      <c r="C41" s="11" t="s">
        <v>2422</v>
      </c>
      <c r="D41" s="118" t="s">
        <v>2464</v>
      </c>
      <c r="E41" s="289"/>
      <c r="F41" s="290">
        <v>60000</v>
      </c>
    </row>
    <row r="42" spans="1:6" ht="15" x14ac:dyDescent="0.3">
      <c r="A42" s="105">
        <v>45709</v>
      </c>
      <c r="B42" s="112" t="s">
        <v>262</v>
      </c>
      <c r="C42" s="15" t="s">
        <v>2422</v>
      </c>
      <c r="D42" s="123" t="s">
        <v>2465</v>
      </c>
      <c r="E42" s="289"/>
      <c r="F42" s="285">
        <v>134000</v>
      </c>
    </row>
    <row r="43" spans="1:6" ht="15" x14ac:dyDescent="0.3">
      <c r="A43" s="105">
        <v>45716</v>
      </c>
      <c r="B43" s="112" t="s">
        <v>266</v>
      </c>
      <c r="C43" s="115" t="s">
        <v>2422</v>
      </c>
      <c r="D43" s="124" t="s">
        <v>2466</v>
      </c>
      <c r="E43" s="289"/>
      <c r="F43" s="290">
        <v>600000</v>
      </c>
    </row>
    <row r="44" spans="1:6" ht="15" x14ac:dyDescent="0.3">
      <c r="A44" s="105">
        <v>45716</v>
      </c>
      <c r="B44" s="112" t="s">
        <v>266</v>
      </c>
      <c r="C44" s="115" t="s">
        <v>2422</v>
      </c>
      <c r="D44" s="124" t="s">
        <v>2467</v>
      </c>
      <c r="E44" s="289"/>
      <c r="F44" s="285">
        <v>543000</v>
      </c>
    </row>
    <row r="45" spans="1:6" ht="15" x14ac:dyDescent="0.3">
      <c r="A45" s="105">
        <v>45716</v>
      </c>
      <c r="B45" s="112" t="s">
        <v>266</v>
      </c>
      <c r="C45" s="115" t="s">
        <v>2422</v>
      </c>
      <c r="D45" s="124" t="s">
        <v>105</v>
      </c>
      <c r="E45" s="289"/>
      <c r="F45" s="285">
        <v>2500</v>
      </c>
    </row>
    <row r="46" spans="1:6" ht="15" x14ac:dyDescent="0.3">
      <c r="A46" s="105">
        <v>45716</v>
      </c>
      <c r="B46" s="112" t="s">
        <v>1138</v>
      </c>
      <c r="C46" s="115" t="s">
        <v>2422</v>
      </c>
      <c r="D46" s="124" t="s">
        <v>2468</v>
      </c>
      <c r="E46" s="289"/>
      <c r="F46" s="285">
        <v>18000</v>
      </c>
    </row>
    <row r="47" spans="1:6" ht="15" x14ac:dyDescent="0.3">
      <c r="A47" s="105">
        <v>45716</v>
      </c>
      <c r="B47" s="112" t="s">
        <v>1835</v>
      </c>
      <c r="C47" s="115" t="s">
        <v>1836</v>
      </c>
      <c r="D47" s="124" t="s">
        <v>1837</v>
      </c>
      <c r="E47" s="289"/>
      <c r="F47" s="285">
        <v>5000000</v>
      </c>
    </row>
    <row r="48" spans="1:6" ht="15" x14ac:dyDescent="0.3">
      <c r="A48" s="32">
        <v>45723</v>
      </c>
      <c r="B48" s="142" t="s">
        <v>271</v>
      </c>
      <c r="C48" s="37" t="s">
        <v>2422</v>
      </c>
      <c r="D48" s="147" t="s">
        <v>2469</v>
      </c>
      <c r="E48" s="335"/>
      <c r="F48" s="290">
        <v>40000</v>
      </c>
    </row>
    <row r="49" spans="1:6" ht="15" x14ac:dyDescent="0.3">
      <c r="A49" s="105">
        <v>45730</v>
      </c>
      <c r="B49" s="112" t="s">
        <v>2470</v>
      </c>
      <c r="C49" s="15" t="s">
        <v>2422</v>
      </c>
      <c r="D49" s="118" t="s">
        <v>2471</v>
      </c>
      <c r="E49" s="289"/>
      <c r="F49" s="285">
        <v>157941</v>
      </c>
    </row>
    <row r="50" spans="1:6" ht="15" x14ac:dyDescent="0.3">
      <c r="A50" s="105">
        <v>45730</v>
      </c>
      <c r="B50" s="112" t="s">
        <v>2472</v>
      </c>
      <c r="C50" s="15" t="s">
        <v>2422</v>
      </c>
      <c r="D50" s="118" t="s">
        <v>24</v>
      </c>
      <c r="E50" s="289"/>
      <c r="F50" s="285">
        <v>388000</v>
      </c>
    </row>
    <row r="51" spans="1:6" ht="15" x14ac:dyDescent="0.3">
      <c r="A51" s="105">
        <v>45730</v>
      </c>
      <c r="B51" s="112" t="s">
        <v>2472</v>
      </c>
      <c r="C51" s="15" t="s">
        <v>2422</v>
      </c>
      <c r="D51" s="118" t="s">
        <v>25</v>
      </c>
      <c r="E51" s="289"/>
      <c r="F51" s="285">
        <v>250000</v>
      </c>
    </row>
    <row r="52" spans="1:6" ht="15" x14ac:dyDescent="0.3">
      <c r="A52" s="105">
        <v>45730</v>
      </c>
      <c r="B52" s="112" t="s">
        <v>2472</v>
      </c>
      <c r="C52" s="15" t="s">
        <v>2422</v>
      </c>
      <c r="D52" s="118" t="s">
        <v>2473</v>
      </c>
      <c r="E52" s="289"/>
      <c r="F52" s="285">
        <v>45000</v>
      </c>
    </row>
    <row r="53" spans="1:6" ht="15" x14ac:dyDescent="0.3">
      <c r="A53" s="105">
        <v>45730</v>
      </c>
      <c r="B53" s="112" t="s">
        <v>2474</v>
      </c>
      <c r="C53" s="11" t="s">
        <v>2422</v>
      </c>
      <c r="D53" s="117" t="s">
        <v>2475</v>
      </c>
      <c r="E53" s="289"/>
      <c r="F53" s="290">
        <v>165500</v>
      </c>
    </row>
    <row r="54" spans="1:6" ht="15" x14ac:dyDescent="0.3">
      <c r="A54" s="105">
        <v>45735</v>
      </c>
      <c r="B54" s="112" t="s">
        <v>1840</v>
      </c>
      <c r="C54" s="15" t="s">
        <v>2422</v>
      </c>
      <c r="D54" s="118" t="s">
        <v>2476</v>
      </c>
      <c r="E54" s="289"/>
      <c r="F54" s="290">
        <v>32550000</v>
      </c>
    </row>
    <row r="55" spans="1:6" ht="15" x14ac:dyDescent="0.3">
      <c r="A55" s="105">
        <v>45735</v>
      </c>
      <c r="B55" s="112" t="s">
        <v>1840</v>
      </c>
      <c r="C55" s="15" t="s">
        <v>2422</v>
      </c>
      <c r="D55" s="118" t="s">
        <v>2477</v>
      </c>
      <c r="E55" s="289"/>
      <c r="F55" s="290">
        <v>3580500</v>
      </c>
    </row>
    <row r="56" spans="1:6" ht="15" x14ac:dyDescent="0.3">
      <c r="A56" s="105">
        <v>45735</v>
      </c>
      <c r="B56" s="112" t="s">
        <v>1840</v>
      </c>
      <c r="C56" s="15" t="s">
        <v>2422</v>
      </c>
      <c r="D56" s="118" t="s">
        <v>2478</v>
      </c>
      <c r="E56" s="289"/>
      <c r="F56" s="290">
        <v>-30000</v>
      </c>
    </row>
    <row r="57" spans="1:6" ht="15" x14ac:dyDescent="0.3">
      <c r="A57" s="105">
        <v>45735</v>
      </c>
      <c r="B57" s="112" t="s">
        <v>1845</v>
      </c>
      <c r="C57" s="15" t="s">
        <v>1846</v>
      </c>
      <c r="D57" s="118" t="s">
        <v>1847</v>
      </c>
      <c r="E57" s="289"/>
      <c r="F57" s="290">
        <v>300000000</v>
      </c>
    </row>
    <row r="58" spans="1:6" ht="15" x14ac:dyDescent="0.3">
      <c r="A58" s="105">
        <v>45735</v>
      </c>
      <c r="B58" s="112" t="s">
        <v>1845</v>
      </c>
      <c r="C58" s="15" t="s">
        <v>1846</v>
      </c>
      <c r="D58" s="118" t="s">
        <v>1848</v>
      </c>
      <c r="E58" s="289"/>
      <c r="F58" s="290">
        <v>2900</v>
      </c>
    </row>
    <row r="59" spans="1:6" ht="15" x14ac:dyDescent="0.3">
      <c r="A59" s="105">
        <v>45737</v>
      </c>
      <c r="B59" s="112" t="s">
        <v>1851</v>
      </c>
      <c r="C59" s="15" t="s">
        <v>2422</v>
      </c>
      <c r="D59" s="118" t="s">
        <v>2479</v>
      </c>
      <c r="E59" s="474"/>
      <c r="F59" s="285">
        <v>2416750</v>
      </c>
    </row>
    <row r="60" spans="1:6" ht="15" x14ac:dyDescent="0.3">
      <c r="A60" s="105">
        <v>45742</v>
      </c>
      <c r="B60" s="112" t="s">
        <v>1853</v>
      </c>
      <c r="C60" s="15" t="s">
        <v>1846</v>
      </c>
      <c r="D60" s="118" t="s">
        <v>1854</v>
      </c>
      <c r="E60" s="474"/>
      <c r="F60" s="285">
        <v>193500000</v>
      </c>
    </row>
    <row r="61" spans="1:6" ht="15" x14ac:dyDescent="0.3">
      <c r="A61" s="105">
        <v>45742</v>
      </c>
      <c r="B61" s="112" t="s">
        <v>1853</v>
      </c>
      <c r="C61" s="15" t="s">
        <v>1846</v>
      </c>
      <c r="D61" s="118" t="s">
        <v>1855</v>
      </c>
      <c r="E61" s="474"/>
      <c r="F61" s="285">
        <v>54285000</v>
      </c>
    </row>
    <row r="62" spans="1:6" ht="15" x14ac:dyDescent="0.3">
      <c r="A62" s="105">
        <v>45742</v>
      </c>
      <c r="B62" s="112" t="s">
        <v>1853</v>
      </c>
      <c r="C62" s="15" t="s">
        <v>1846</v>
      </c>
      <c r="D62" s="118" t="s">
        <v>1856</v>
      </c>
      <c r="E62" s="474"/>
      <c r="F62" s="285">
        <v>-13077750</v>
      </c>
    </row>
    <row r="63" spans="1:6" ht="15" x14ac:dyDescent="0.3">
      <c r="A63" s="105">
        <v>45742</v>
      </c>
      <c r="B63" s="112" t="s">
        <v>1853</v>
      </c>
      <c r="C63" s="15" t="s">
        <v>1846</v>
      </c>
      <c r="D63" s="118" t="s">
        <v>724</v>
      </c>
      <c r="E63" s="474"/>
      <c r="F63" s="285">
        <v>2900</v>
      </c>
    </row>
    <row r="64" spans="1:6" ht="15" x14ac:dyDescent="0.3">
      <c r="A64" s="32">
        <v>45758</v>
      </c>
      <c r="B64" s="142" t="s">
        <v>1228</v>
      </c>
      <c r="C64" s="37" t="s">
        <v>1807</v>
      </c>
      <c r="D64" s="148" t="s">
        <v>1857</v>
      </c>
      <c r="E64" s="408"/>
      <c r="F64" s="285">
        <v>182763</v>
      </c>
    </row>
    <row r="65" spans="1:6" ht="15" x14ac:dyDescent="0.3">
      <c r="A65" s="32">
        <v>45758</v>
      </c>
      <c r="B65" s="142" t="s">
        <v>1228</v>
      </c>
      <c r="C65" s="37" t="s">
        <v>1807</v>
      </c>
      <c r="D65" s="148" t="s">
        <v>295</v>
      </c>
      <c r="E65" s="408"/>
      <c r="F65" s="285">
        <v>2500</v>
      </c>
    </row>
    <row r="66" spans="1:6" ht="15" x14ac:dyDescent="0.3">
      <c r="A66" s="32">
        <v>45763</v>
      </c>
      <c r="B66" s="142" t="s">
        <v>1858</v>
      </c>
      <c r="C66" s="37" t="s">
        <v>1807</v>
      </c>
      <c r="D66" s="149" t="s">
        <v>1859</v>
      </c>
      <c r="E66" s="408"/>
      <c r="F66" s="285">
        <v>31000000</v>
      </c>
    </row>
    <row r="67" spans="1:6" ht="15" x14ac:dyDescent="0.3">
      <c r="A67" s="32">
        <v>45763</v>
      </c>
      <c r="B67" s="142" t="s">
        <v>312</v>
      </c>
      <c r="C67" s="37" t="s">
        <v>2422</v>
      </c>
      <c r="D67" s="148" t="s">
        <v>2480</v>
      </c>
      <c r="E67" s="335"/>
      <c r="F67" s="285">
        <v>90000</v>
      </c>
    </row>
    <row r="68" spans="1:6" ht="15" x14ac:dyDescent="0.3">
      <c r="A68" s="32">
        <v>45763</v>
      </c>
      <c r="B68" s="142" t="s">
        <v>312</v>
      </c>
      <c r="C68" s="37" t="s">
        <v>2422</v>
      </c>
      <c r="D68" s="148" t="s">
        <v>295</v>
      </c>
      <c r="E68" s="335"/>
      <c r="F68" s="285">
        <v>2500</v>
      </c>
    </row>
    <row r="69" spans="1:6" ht="15" x14ac:dyDescent="0.3">
      <c r="A69" s="32">
        <v>45764</v>
      </c>
      <c r="B69" s="142" t="s">
        <v>2481</v>
      </c>
      <c r="C69" s="9" t="s">
        <v>2422</v>
      </c>
      <c r="D69" s="147" t="s">
        <v>2482</v>
      </c>
      <c r="E69" s="335"/>
      <c r="F69" s="289">
        <v>181500</v>
      </c>
    </row>
    <row r="70" spans="1:6" ht="15" x14ac:dyDescent="0.3">
      <c r="A70" s="32">
        <v>45764</v>
      </c>
      <c r="B70" s="142" t="s">
        <v>2481</v>
      </c>
      <c r="C70" s="9" t="s">
        <v>2422</v>
      </c>
      <c r="D70" s="147" t="s">
        <v>2483</v>
      </c>
      <c r="E70" s="335"/>
      <c r="F70" s="289">
        <v>160000</v>
      </c>
    </row>
    <row r="71" spans="1:6" ht="15" x14ac:dyDescent="0.3">
      <c r="A71" s="32">
        <v>45772</v>
      </c>
      <c r="B71" s="142" t="s">
        <v>377</v>
      </c>
      <c r="C71" s="37" t="s">
        <v>2422</v>
      </c>
      <c r="D71" s="148" t="s">
        <v>2484</v>
      </c>
      <c r="E71" s="335"/>
      <c r="F71" s="285">
        <v>20000</v>
      </c>
    </row>
    <row r="72" spans="1:6" ht="15" x14ac:dyDescent="0.3">
      <c r="A72" s="32">
        <v>45777</v>
      </c>
      <c r="B72" s="142" t="s">
        <v>1878</v>
      </c>
      <c r="C72" s="9" t="s">
        <v>2422</v>
      </c>
      <c r="D72" s="117" t="s">
        <v>2485</v>
      </c>
      <c r="E72" s="335"/>
      <c r="F72" s="289">
        <v>7810000</v>
      </c>
    </row>
    <row r="73" spans="1:6" ht="15" x14ac:dyDescent="0.3">
      <c r="A73" s="32">
        <v>45777</v>
      </c>
      <c r="B73" s="142" t="s">
        <v>1878</v>
      </c>
      <c r="C73" s="9" t="s">
        <v>2422</v>
      </c>
      <c r="D73" s="117" t="s">
        <v>2486</v>
      </c>
      <c r="E73" s="335"/>
      <c r="F73" s="289">
        <v>859100</v>
      </c>
    </row>
    <row r="74" spans="1:6" ht="15" x14ac:dyDescent="0.3">
      <c r="A74" s="105">
        <v>45779</v>
      </c>
      <c r="B74" s="112" t="s">
        <v>401</v>
      </c>
      <c r="C74" s="11" t="s">
        <v>2422</v>
      </c>
      <c r="D74" s="117" t="s">
        <v>2487</v>
      </c>
      <c r="E74" s="289"/>
      <c r="F74" s="289">
        <v>20000</v>
      </c>
    </row>
    <row r="75" spans="1:6" ht="15" x14ac:dyDescent="0.3">
      <c r="A75" s="32">
        <v>45791</v>
      </c>
      <c r="B75" s="142" t="s">
        <v>1885</v>
      </c>
      <c r="C75" s="11" t="s">
        <v>2422</v>
      </c>
      <c r="D75" s="121" t="s">
        <v>2488</v>
      </c>
      <c r="E75" s="299"/>
      <c r="F75" s="289">
        <v>42909073</v>
      </c>
    </row>
    <row r="76" spans="1:6" ht="15" x14ac:dyDescent="0.3">
      <c r="A76" s="32">
        <v>45791</v>
      </c>
      <c r="B76" s="142" t="s">
        <v>2489</v>
      </c>
      <c r="C76" s="11" t="s">
        <v>2422</v>
      </c>
      <c r="D76" s="121" t="s">
        <v>2490</v>
      </c>
      <c r="E76" s="299"/>
      <c r="F76" s="289">
        <v>75950000</v>
      </c>
    </row>
    <row r="77" spans="1:6" ht="15" x14ac:dyDescent="0.3">
      <c r="A77" s="32">
        <v>45791</v>
      </c>
      <c r="B77" s="142" t="s">
        <v>2489</v>
      </c>
      <c r="C77" s="11" t="s">
        <v>2422</v>
      </c>
      <c r="D77" s="121" t="s">
        <v>2491</v>
      </c>
      <c r="E77" s="299"/>
      <c r="F77" s="289">
        <v>8354500</v>
      </c>
    </row>
    <row r="78" spans="1:6" ht="15" x14ac:dyDescent="0.3">
      <c r="A78" s="32">
        <v>45791</v>
      </c>
      <c r="B78" s="142" t="s">
        <v>2489</v>
      </c>
      <c r="C78" s="11" t="s">
        <v>2422</v>
      </c>
      <c r="D78" s="121" t="s">
        <v>2492</v>
      </c>
      <c r="E78" s="299"/>
      <c r="F78" s="289">
        <v>2900</v>
      </c>
    </row>
    <row r="79" spans="1:6" ht="15" x14ac:dyDescent="0.3">
      <c r="A79" s="32">
        <v>45791</v>
      </c>
      <c r="B79" s="142" t="s">
        <v>1279</v>
      </c>
      <c r="C79" s="9" t="s">
        <v>2422</v>
      </c>
      <c r="D79" s="121" t="s">
        <v>2493</v>
      </c>
      <c r="E79" s="299"/>
      <c r="F79" s="289">
        <v>32958000</v>
      </c>
    </row>
    <row r="80" spans="1:6" ht="15" x14ac:dyDescent="0.3">
      <c r="A80" s="32">
        <v>45791</v>
      </c>
      <c r="B80" s="142" t="s">
        <v>1279</v>
      </c>
      <c r="C80" s="9" t="s">
        <v>2422</v>
      </c>
      <c r="D80" s="121" t="s">
        <v>2494</v>
      </c>
      <c r="E80" s="299"/>
      <c r="F80" s="289">
        <v>362538</v>
      </c>
    </row>
    <row r="81" spans="1:6" ht="15" x14ac:dyDescent="0.3">
      <c r="A81" s="32">
        <v>45791</v>
      </c>
      <c r="B81" s="142" t="s">
        <v>1279</v>
      </c>
      <c r="C81" s="9" t="s">
        <v>2422</v>
      </c>
      <c r="D81" s="121" t="s">
        <v>2495</v>
      </c>
      <c r="E81" s="299"/>
      <c r="F81" s="289">
        <v>-659160</v>
      </c>
    </row>
    <row r="82" spans="1:6" ht="15" x14ac:dyDescent="0.3">
      <c r="A82" s="32">
        <v>45793</v>
      </c>
      <c r="B82" s="142" t="s">
        <v>1887</v>
      </c>
      <c r="C82" s="11" t="s">
        <v>2422</v>
      </c>
      <c r="D82" s="121" t="s">
        <v>1888</v>
      </c>
      <c r="E82" s="299"/>
      <c r="F82" s="289">
        <v>9000000</v>
      </c>
    </row>
    <row r="83" spans="1:6" ht="15" x14ac:dyDescent="0.3">
      <c r="A83" s="32">
        <v>45800</v>
      </c>
      <c r="B83" s="142" t="s">
        <v>480</v>
      </c>
      <c r="C83" s="11" t="s">
        <v>2422</v>
      </c>
      <c r="D83" s="150" t="s">
        <v>481</v>
      </c>
      <c r="E83" s="335"/>
      <c r="F83" s="289">
        <v>112000</v>
      </c>
    </row>
    <row r="84" spans="1:6" ht="15" x14ac:dyDescent="0.3">
      <c r="A84" s="32">
        <v>45800</v>
      </c>
      <c r="B84" s="142" t="s">
        <v>480</v>
      </c>
      <c r="C84" s="11" t="s">
        <v>2422</v>
      </c>
      <c r="D84" s="150" t="s">
        <v>953</v>
      </c>
      <c r="E84" s="335"/>
      <c r="F84" s="289">
        <v>53000</v>
      </c>
    </row>
    <row r="85" spans="1:6" ht="15" x14ac:dyDescent="0.3">
      <c r="A85" s="32">
        <v>45800</v>
      </c>
      <c r="B85" s="142" t="s">
        <v>480</v>
      </c>
      <c r="C85" s="11" t="s">
        <v>2422</v>
      </c>
      <c r="D85" s="150" t="s">
        <v>2186</v>
      </c>
      <c r="E85" s="335"/>
      <c r="F85" s="289">
        <v>32000</v>
      </c>
    </row>
    <row r="86" spans="1:6" ht="15" x14ac:dyDescent="0.3">
      <c r="A86" s="32">
        <v>45805</v>
      </c>
      <c r="B86" s="142" t="s">
        <v>1303</v>
      </c>
      <c r="C86" s="11" t="s">
        <v>2422</v>
      </c>
      <c r="D86" s="150" t="s">
        <v>2496</v>
      </c>
      <c r="E86" s="335"/>
      <c r="F86" s="289">
        <v>2022700</v>
      </c>
    </row>
    <row r="87" spans="1:6" ht="15" x14ac:dyDescent="0.3">
      <c r="A87" s="32">
        <v>45805</v>
      </c>
      <c r="B87" s="142" t="s">
        <v>1303</v>
      </c>
      <c r="C87" s="11" t="s">
        <v>2422</v>
      </c>
      <c r="D87" s="150" t="s">
        <v>2497</v>
      </c>
      <c r="E87" s="335"/>
      <c r="F87" s="289">
        <v>222497</v>
      </c>
    </row>
    <row r="88" spans="1:6" ht="15" x14ac:dyDescent="0.3">
      <c r="A88" s="32">
        <v>45805</v>
      </c>
      <c r="B88" s="142" t="s">
        <v>1303</v>
      </c>
      <c r="C88" s="11" t="s">
        <v>2422</v>
      </c>
      <c r="D88" s="150" t="s">
        <v>2498</v>
      </c>
      <c r="E88" s="335"/>
      <c r="F88" s="289">
        <v>-40454</v>
      </c>
    </row>
    <row r="89" spans="1:6" ht="15" x14ac:dyDescent="0.3">
      <c r="A89" s="32">
        <v>45805</v>
      </c>
      <c r="B89" s="142" t="s">
        <v>1303</v>
      </c>
      <c r="C89" s="11" t="s">
        <v>2422</v>
      </c>
      <c r="D89" s="150" t="s">
        <v>2499</v>
      </c>
      <c r="E89" s="335"/>
      <c r="F89" s="289">
        <v>50030050</v>
      </c>
    </row>
    <row r="90" spans="1:6" ht="15" x14ac:dyDescent="0.3">
      <c r="A90" s="32">
        <v>45805</v>
      </c>
      <c r="B90" s="142" t="s">
        <v>1303</v>
      </c>
      <c r="C90" s="11" t="s">
        <v>2422</v>
      </c>
      <c r="D90" s="150" t="s">
        <v>2500</v>
      </c>
      <c r="E90" s="335"/>
      <c r="F90" s="289">
        <v>550331</v>
      </c>
    </row>
    <row r="91" spans="1:6" ht="15" x14ac:dyDescent="0.3">
      <c r="A91" s="32">
        <v>45805</v>
      </c>
      <c r="B91" s="142" t="s">
        <v>1303</v>
      </c>
      <c r="C91" s="11" t="s">
        <v>2422</v>
      </c>
      <c r="D91" s="150" t="s">
        <v>2501</v>
      </c>
      <c r="E91" s="335"/>
      <c r="F91" s="289">
        <v>-1000601</v>
      </c>
    </row>
    <row r="92" spans="1:6" ht="15" x14ac:dyDescent="0.3">
      <c r="A92" s="32">
        <v>45805</v>
      </c>
      <c r="B92" s="142" t="s">
        <v>1303</v>
      </c>
      <c r="C92" s="11" t="s">
        <v>2422</v>
      </c>
      <c r="D92" s="150" t="s">
        <v>2502</v>
      </c>
      <c r="E92" s="335"/>
      <c r="F92" s="289">
        <v>3260271</v>
      </c>
    </row>
    <row r="93" spans="1:6" ht="15" x14ac:dyDescent="0.3">
      <c r="A93" s="32">
        <v>45805</v>
      </c>
      <c r="B93" s="142" t="s">
        <v>1303</v>
      </c>
      <c r="C93" s="11" t="s">
        <v>2422</v>
      </c>
      <c r="D93" s="150" t="s">
        <v>2503</v>
      </c>
      <c r="E93" s="335"/>
      <c r="F93" s="289">
        <v>358630</v>
      </c>
    </row>
    <row r="94" spans="1:6" ht="15" x14ac:dyDescent="0.3">
      <c r="A94" s="32">
        <v>45805</v>
      </c>
      <c r="B94" s="142" t="s">
        <v>1303</v>
      </c>
      <c r="C94" s="11" t="s">
        <v>2422</v>
      </c>
      <c r="D94" s="150" t="s">
        <v>2504</v>
      </c>
      <c r="E94" s="335"/>
      <c r="F94" s="289">
        <v>-65205</v>
      </c>
    </row>
    <row r="95" spans="1:6" ht="15" x14ac:dyDescent="0.3">
      <c r="A95" s="32">
        <v>45805</v>
      </c>
      <c r="B95" s="142" t="s">
        <v>1303</v>
      </c>
      <c r="C95" s="11" t="s">
        <v>2422</v>
      </c>
      <c r="D95" s="150" t="s">
        <v>2505</v>
      </c>
      <c r="E95" s="335"/>
      <c r="F95" s="289">
        <v>5434</v>
      </c>
    </row>
    <row r="96" spans="1:6" ht="15" x14ac:dyDescent="0.3">
      <c r="A96" s="32">
        <v>45812</v>
      </c>
      <c r="B96" s="142" t="s">
        <v>1909</v>
      </c>
      <c r="C96" s="11" t="s">
        <v>2422</v>
      </c>
      <c r="D96" s="121" t="s">
        <v>2506</v>
      </c>
      <c r="E96" s="335"/>
      <c r="F96" s="289">
        <v>305000</v>
      </c>
    </row>
    <row r="97" spans="1:6" ht="15" x14ac:dyDescent="0.3">
      <c r="A97" s="32">
        <v>45812</v>
      </c>
      <c r="B97" s="142" t="s">
        <v>1909</v>
      </c>
      <c r="C97" s="11" t="s">
        <v>2422</v>
      </c>
      <c r="D97" s="121" t="s">
        <v>2507</v>
      </c>
      <c r="E97" s="335"/>
      <c r="F97" s="289">
        <v>33550</v>
      </c>
    </row>
    <row r="98" spans="1:6" ht="15" x14ac:dyDescent="0.3">
      <c r="A98" s="32">
        <v>45812</v>
      </c>
      <c r="B98" s="142" t="s">
        <v>1909</v>
      </c>
      <c r="C98" s="11" t="s">
        <v>2422</v>
      </c>
      <c r="D98" s="121" t="s">
        <v>2508</v>
      </c>
      <c r="E98" s="335"/>
      <c r="F98" s="289">
        <v>-6100</v>
      </c>
    </row>
    <row r="99" spans="1:6" ht="15" x14ac:dyDescent="0.3">
      <c r="A99" s="32">
        <v>45812</v>
      </c>
      <c r="B99" s="142" t="s">
        <v>1909</v>
      </c>
      <c r="C99" s="11" t="s">
        <v>2422</v>
      </c>
      <c r="D99" s="121" t="s">
        <v>311</v>
      </c>
      <c r="E99" s="335"/>
      <c r="F99" s="289">
        <v>2900</v>
      </c>
    </row>
    <row r="100" spans="1:6" ht="15" x14ac:dyDescent="0.3">
      <c r="A100" s="32">
        <v>45819</v>
      </c>
      <c r="B100" s="142" t="s">
        <v>2509</v>
      </c>
      <c r="C100" s="9" t="s">
        <v>2422</v>
      </c>
      <c r="D100" s="150" t="s">
        <v>2510</v>
      </c>
      <c r="E100" s="335"/>
      <c r="F100" s="289">
        <v>55260000</v>
      </c>
    </row>
    <row r="101" spans="1:6" ht="15" x14ac:dyDescent="0.3">
      <c r="A101" s="32">
        <v>45819</v>
      </c>
      <c r="B101" s="142" t="s">
        <v>2509</v>
      </c>
      <c r="C101" s="9" t="s">
        <v>2422</v>
      </c>
      <c r="D101" s="150" t="s">
        <v>2511</v>
      </c>
      <c r="E101" s="335"/>
      <c r="F101" s="289">
        <v>6078600</v>
      </c>
    </row>
    <row r="102" spans="1:6" ht="15" x14ac:dyDescent="0.3">
      <c r="A102" s="32">
        <v>45819</v>
      </c>
      <c r="B102" s="142" t="s">
        <v>2509</v>
      </c>
      <c r="C102" s="9" t="s">
        <v>2422</v>
      </c>
      <c r="D102" s="150" t="s">
        <v>2082</v>
      </c>
      <c r="E102" s="335"/>
      <c r="F102" s="289">
        <v>2900</v>
      </c>
    </row>
    <row r="103" spans="1:6" ht="15" x14ac:dyDescent="0.3">
      <c r="A103" s="140">
        <v>45821</v>
      </c>
      <c r="B103" s="144" t="s">
        <v>2153</v>
      </c>
      <c r="C103" s="37" t="s">
        <v>2422</v>
      </c>
      <c r="D103" s="149" t="s">
        <v>2154</v>
      </c>
      <c r="E103" s="408"/>
      <c r="F103" s="285">
        <v>30029500</v>
      </c>
    </row>
    <row r="104" spans="1:6" ht="15" x14ac:dyDescent="0.3">
      <c r="A104" s="140">
        <v>45821</v>
      </c>
      <c r="B104" s="144" t="s">
        <v>2153</v>
      </c>
      <c r="C104" s="37" t="s">
        <v>2422</v>
      </c>
      <c r="D104" s="149" t="s">
        <v>2154</v>
      </c>
      <c r="E104" s="408"/>
      <c r="F104" s="285">
        <v>7267500</v>
      </c>
    </row>
    <row r="105" spans="1:6" ht="15" x14ac:dyDescent="0.3">
      <c r="A105" s="32">
        <v>45826</v>
      </c>
      <c r="B105" s="142" t="s">
        <v>1924</v>
      </c>
      <c r="C105" s="11" t="s">
        <v>2422</v>
      </c>
      <c r="D105" s="121" t="s">
        <v>2512</v>
      </c>
      <c r="E105" s="299"/>
      <c r="F105" s="289">
        <v>77550000</v>
      </c>
    </row>
    <row r="106" spans="1:6" ht="15" x14ac:dyDescent="0.3">
      <c r="A106" s="32">
        <v>45833</v>
      </c>
      <c r="B106" s="142" t="s">
        <v>1927</v>
      </c>
      <c r="C106" s="11" t="s">
        <v>1846</v>
      </c>
      <c r="D106" s="121" t="s">
        <v>1925</v>
      </c>
      <c r="E106" s="299"/>
      <c r="F106" s="289">
        <v>250000000</v>
      </c>
    </row>
    <row r="107" spans="1:6" ht="15" x14ac:dyDescent="0.3">
      <c r="A107" s="32">
        <v>45833</v>
      </c>
      <c r="B107" s="142" t="s">
        <v>1927</v>
      </c>
      <c r="C107" s="11" t="s">
        <v>1846</v>
      </c>
      <c r="D107" s="121" t="s">
        <v>1278</v>
      </c>
      <c r="E107" s="299"/>
      <c r="F107" s="289">
        <v>2900</v>
      </c>
    </row>
    <row r="108" spans="1:6" ht="15" x14ac:dyDescent="0.3">
      <c r="A108" s="32">
        <v>45840</v>
      </c>
      <c r="B108" s="142" t="s">
        <v>1929</v>
      </c>
      <c r="C108" s="11" t="s">
        <v>1846</v>
      </c>
      <c r="D108" s="121" t="s">
        <v>1930</v>
      </c>
      <c r="E108" s="299"/>
      <c r="F108" s="289">
        <v>250000000</v>
      </c>
    </row>
    <row r="109" spans="1:6" ht="15" x14ac:dyDescent="0.3">
      <c r="A109" s="32">
        <v>45840</v>
      </c>
      <c r="B109" s="142" t="s">
        <v>1929</v>
      </c>
      <c r="C109" s="11" t="s">
        <v>1846</v>
      </c>
      <c r="D109" s="121" t="s">
        <v>1848</v>
      </c>
      <c r="E109" s="299"/>
      <c r="F109" s="289">
        <v>2900</v>
      </c>
    </row>
    <row r="110" spans="1:6" ht="15" x14ac:dyDescent="0.3">
      <c r="A110" s="32">
        <v>45840</v>
      </c>
      <c r="B110" s="142" t="s">
        <v>1931</v>
      </c>
      <c r="C110" s="11" t="s">
        <v>2422</v>
      </c>
      <c r="D110" s="121" t="s">
        <v>2513</v>
      </c>
      <c r="E110" s="299"/>
      <c r="F110" s="289">
        <v>8896279</v>
      </c>
    </row>
    <row r="111" spans="1:6" ht="15" x14ac:dyDescent="0.3">
      <c r="A111" s="32">
        <v>45840</v>
      </c>
      <c r="B111" s="142" t="s">
        <v>1931</v>
      </c>
      <c r="C111" s="11" t="s">
        <v>1846</v>
      </c>
      <c r="D111" s="121" t="s">
        <v>1933</v>
      </c>
      <c r="E111" s="299"/>
      <c r="F111" s="289">
        <v>831710</v>
      </c>
    </row>
    <row r="112" spans="1:6" ht="15" x14ac:dyDescent="0.3">
      <c r="A112" s="32">
        <v>45840</v>
      </c>
      <c r="B112" s="142" t="s">
        <v>1931</v>
      </c>
      <c r="C112" s="11" t="s">
        <v>1846</v>
      </c>
      <c r="D112" s="121" t="s">
        <v>1934</v>
      </c>
      <c r="E112" s="299"/>
      <c r="F112" s="289">
        <v>-454880</v>
      </c>
    </row>
    <row r="113" spans="1:6" ht="15" x14ac:dyDescent="0.3">
      <c r="A113" s="32">
        <v>45861</v>
      </c>
      <c r="B113" s="142" t="s">
        <v>2298</v>
      </c>
      <c r="C113" s="11" t="s">
        <v>2425</v>
      </c>
      <c r="D113" s="118" t="s">
        <v>2299</v>
      </c>
      <c r="E113" s="299"/>
      <c r="F113" s="305">
        <v>3000000</v>
      </c>
    </row>
    <row r="114" spans="1:6" ht="15" x14ac:dyDescent="0.3">
      <c r="A114" s="32">
        <v>45863</v>
      </c>
      <c r="B114" s="142" t="s">
        <v>2230</v>
      </c>
      <c r="C114" s="15" t="s">
        <v>2422</v>
      </c>
      <c r="D114" s="118" t="s">
        <v>2255</v>
      </c>
      <c r="E114" s="299"/>
      <c r="F114" s="301">
        <v>439500</v>
      </c>
    </row>
    <row r="115" spans="1:6" ht="15" x14ac:dyDescent="0.3">
      <c r="A115" s="32">
        <v>45863</v>
      </c>
      <c r="B115" s="142" t="s">
        <v>2230</v>
      </c>
      <c r="C115" s="15" t="s">
        <v>2422</v>
      </c>
      <c r="D115" s="118" t="s">
        <v>1413</v>
      </c>
      <c r="E115" s="299"/>
      <c r="F115" s="301">
        <v>568500</v>
      </c>
    </row>
    <row r="116" spans="1:6" ht="15" x14ac:dyDescent="0.3">
      <c r="A116" s="32">
        <v>45863</v>
      </c>
      <c r="B116" s="142" t="s">
        <v>2230</v>
      </c>
      <c r="C116" s="15" t="s">
        <v>2422</v>
      </c>
      <c r="D116" s="118" t="s">
        <v>2514</v>
      </c>
      <c r="E116" s="299"/>
      <c r="F116" s="301">
        <v>13000</v>
      </c>
    </row>
    <row r="117" spans="1:6" ht="15" x14ac:dyDescent="0.3">
      <c r="A117" s="32">
        <v>45863</v>
      </c>
      <c r="B117" s="142" t="s">
        <v>2230</v>
      </c>
      <c r="C117" s="15" t="s">
        <v>2422</v>
      </c>
      <c r="D117" s="118" t="s">
        <v>2515</v>
      </c>
      <c r="E117" s="299"/>
      <c r="F117" s="301">
        <v>24000</v>
      </c>
    </row>
    <row r="118" spans="1:6" ht="15" x14ac:dyDescent="0.3">
      <c r="A118" s="32">
        <v>45869</v>
      </c>
      <c r="B118" s="142" t="s">
        <v>2368</v>
      </c>
      <c r="C118" s="11" t="s">
        <v>2422</v>
      </c>
      <c r="D118" s="151" t="s">
        <v>2516</v>
      </c>
      <c r="E118" s="299"/>
      <c r="F118" s="289">
        <v>80000</v>
      </c>
    </row>
    <row r="119" spans="1:6" ht="15" x14ac:dyDescent="0.3">
      <c r="A119" s="32">
        <v>45869</v>
      </c>
      <c r="B119" s="142" t="s">
        <v>2368</v>
      </c>
      <c r="C119" s="11" t="s">
        <v>2422</v>
      </c>
      <c r="D119" s="151" t="s">
        <v>2517</v>
      </c>
      <c r="E119" s="299"/>
      <c r="F119" s="289">
        <v>53000</v>
      </c>
    </row>
    <row r="120" spans="1:6" ht="15" x14ac:dyDescent="0.3">
      <c r="A120" s="33">
        <v>45870</v>
      </c>
      <c r="B120" s="11" t="s">
        <v>4089</v>
      </c>
      <c r="C120" s="31" t="s">
        <v>2422</v>
      </c>
      <c r="D120" s="157" t="s">
        <v>4090</v>
      </c>
      <c r="E120" s="370"/>
      <c r="F120" s="289">
        <v>181500</v>
      </c>
    </row>
    <row r="121" spans="1:6" ht="15" x14ac:dyDescent="0.3">
      <c r="A121" s="33">
        <v>45870</v>
      </c>
      <c r="B121" s="11" t="s">
        <v>2530</v>
      </c>
      <c r="C121" s="31" t="s">
        <v>2422</v>
      </c>
      <c r="D121" s="157" t="s">
        <v>4091</v>
      </c>
      <c r="E121" s="370"/>
      <c r="F121" s="289">
        <v>20000</v>
      </c>
    </row>
    <row r="122" spans="1:6" ht="15" x14ac:dyDescent="0.3">
      <c r="A122" s="33">
        <v>45873</v>
      </c>
      <c r="B122" s="11" t="s">
        <v>2554</v>
      </c>
      <c r="C122" s="31" t="s">
        <v>2422</v>
      </c>
      <c r="D122" s="157" t="s">
        <v>4092</v>
      </c>
      <c r="E122" s="370"/>
      <c r="F122" s="289">
        <v>484000</v>
      </c>
    </row>
    <row r="123" spans="1:6" ht="15" x14ac:dyDescent="0.3">
      <c r="A123" s="33">
        <v>45873</v>
      </c>
      <c r="B123" s="11" t="s">
        <v>2554</v>
      </c>
      <c r="C123" s="31" t="s">
        <v>2422</v>
      </c>
      <c r="D123" s="157" t="s">
        <v>4093</v>
      </c>
      <c r="E123" s="370"/>
      <c r="F123" s="289">
        <v>2500</v>
      </c>
    </row>
    <row r="124" spans="1:6" ht="15" x14ac:dyDescent="0.3">
      <c r="A124" s="33">
        <v>45873</v>
      </c>
      <c r="B124" s="11" t="s">
        <v>2554</v>
      </c>
      <c r="C124" s="31" t="s">
        <v>2422</v>
      </c>
      <c r="D124" s="157" t="s">
        <v>4094</v>
      </c>
      <c r="E124" s="370"/>
      <c r="F124" s="289">
        <v>53000</v>
      </c>
    </row>
    <row r="125" spans="1:6" ht="15" x14ac:dyDescent="0.3">
      <c r="A125" s="33">
        <v>45884</v>
      </c>
      <c r="B125" s="11" t="s">
        <v>4095</v>
      </c>
      <c r="C125" s="31" t="s">
        <v>2422</v>
      </c>
      <c r="D125" s="157" t="s">
        <v>4096</v>
      </c>
      <c r="E125" s="370"/>
      <c r="F125" s="289">
        <v>416000</v>
      </c>
    </row>
    <row r="126" spans="1:6" ht="15" x14ac:dyDescent="0.3">
      <c r="A126" s="105">
        <v>45894</v>
      </c>
      <c r="B126" s="11" t="s">
        <v>4097</v>
      </c>
      <c r="C126" s="11" t="s">
        <v>2422</v>
      </c>
      <c r="D126" s="158" t="s">
        <v>4098</v>
      </c>
      <c r="E126" s="475">
        <v>1192500000</v>
      </c>
      <c r="F126" s="289"/>
    </row>
    <row r="127" spans="1:6" ht="15" x14ac:dyDescent="0.3">
      <c r="A127" s="105">
        <v>45894</v>
      </c>
      <c r="B127" s="11" t="s">
        <v>4097</v>
      </c>
      <c r="C127" s="11" t="s">
        <v>2422</v>
      </c>
      <c r="D127" s="156" t="s">
        <v>4099</v>
      </c>
      <c r="E127" s="475">
        <v>131175000</v>
      </c>
      <c r="F127" s="289"/>
    </row>
    <row r="128" spans="1:6" ht="15" x14ac:dyDescent="0.3">
      <c r="A128" s="105">
        <v>45898</v>
      </c>
      <c r="B128" s="11" t="s">
        <v>4083</v>
      </c>
      <c r="C128" s="11" t="s">
        <v>2422</v>
      </c>
      <c r="D128" s="184" t="s">
        <v>4100</v>
      </c>
      <c r="E128" s="447"/>
      <c r="F128" s="289">
        <v>53000</v>
      </c>
    </row>
    <row r="129" spans="1:6" ht="15" x14ac:dyDescent="0.3">
      <c r="A129" s="105">
        <v>45898</v>
      </c>
      <c r="B129" s="11" t="s">
        <v>4083</v>
      </c>
      <c r="C129" s="11" t="s">
        <v>2422</v>
      </c>
      <c r="D129" s="184" t="s">
        <v>4101</v>
      </c>
      <c r="E129" s="447"/>
      <c r="F129" s="289">
        <v>200000</v>
      </c>
    </row>
    <row r="130" spans="1:6" ht="15" x14ac:dyDescent="0.3">
      <c r="A130" s="105">
        <v>45898</v>
      </c>
      <c r="B130" s="11" t="s">
        <v>4083</v>
      </c>
      <c r="C130" s="11" t="s">
        <v>2422</v>
      </c>
      <c r="D130" s="184" t="s">
        <v>4102</v>
      </c>
      <c r="E130" s="447"/>
      <c r="F130" s="289">
        <v>40000</v>
      </c>
    </row>
    <row r="131" spans="1:6" ht="15" x14ac:dyDescent="0.3">
      <c r="A131" s="105">
        <v>45898</v>
      </c>
      <c r="B131" s="11" t="s">
        <v>4083</v>
      </c>
      <c r="C131" s="11" t="s">
        <v>2422</v>
      </c>
      <c r="D131" s="184" t="s">
        <v>4103</v>
      </c>
      <c r="E131" s="447"/>
      <c r="F131" s="289">
        <v>20000</v>
      </c>
    </row>
    <row r="132" spans="1:6" ht="15" x14ac:dyDescent="0.3">
      <c r="A132" s="108">
        <v>45910</v>
      </c>
      <c r="B132" s="15" t="s">
        <v>4440</v>
      </c>
      <c r="C132" s="15" t="s">
        <v>2422</v>
      </c>
      <c r="D132" s="212" t="s">
        <v>4567</v>
      </c>
      <c r="E132" s="375"/>
      <c r="F132" s="285">
        <v>245000</v>
      </c>
    </row>
    <row r="133" spans="1:6" ht="15" x14ac:dyDescent="0.3">
      <c r="A133" s="108">
        <v>45910</v>
      </c>
      <c r="B133" s="15" t="s">
        <v>4440</v>
      </c>
      <c r="C133" s="15" t="s">
        <v>2422</v>
      </c>
      <c r="D133" s="212" t="s">
        <v>202</v>
      </c>
      <c r="E133" s="375"/>
      <c r="F133" s="285">
        <v>2500</v>
      </c>
    </row>
    <row r="134" spans="1:6" ht="15" x14ac:dyDescent="0.3">
      <c r="A134" s="218">
        <v>45918</v>
      </c>
      <c r="B134" s="219" t="s">
        <v>4927</v>
      </c>
      <c r="C134" s="219" t="s">
        <v>2422</v>
      </c>
      <c r="D134" s="220" t="s">
        <v>4928</v>
      </c>
      <c r="E134" s="476"/>
      <c r="F134" s="477">
        <f>618*16485</f>
        <v>10187730</v>
      </c>
    </row>
    <row r="135" spans="1:6" ht="15" x14ac:dyDescent="0.3">
      <c r="A135" s="221">
        <v>45918</v>
      </c>
      <c r="B135" s="222" t="s">
        <v>4927</v>
      </c>
      <c r="C135" s="222" t="s">
        <v>2422</v>
      </c>
      <c r="D135" s="51" t="s">
        <v>4929</v>
      </c>
      <c r="E135" s="285"/>
      <c r="F135" s="478">
        <f>25*16485</f>
        <v>412125</v>
      </c>
    </row>
    <row r="136" spans="1:6" ht="15" x14ac:dyDescent="0.3">
      <c r="A136" s="61">
        <v>45958</v>
      </c>
      <c r="B136" s="62" t="s">
        <v>5091</v>
      </c>
      <c r="C136" s="62" t="s">
        <v>5092</v>
      </c>
      <c r="D136" s="160" t="s">
        <v>985</v>
      </c>
      <c r="E136" s="448"/>
      <c r="F136" s="449">
        <v>37500000</v>
      </c>
    </row>
    <row r="137" spans="1:6" ht="15" x14ac:dyDescent="0.3">
      <c r="A137" s="107">
        <v>45958</v>
      </c>
      <c r="B137" s="106" t="s">
        <v>5091</v>
      </c>
      <c r="C137" s="106" t="s">
        <v>2422</v>
      </c>
      <c r="D137" s="65" t="s">
        <v>985</v>
      </c>
      <c r="E137" s="296"/>
      <c r="F137" s="287">
        <v>59625000</v>
      </c>
    </row>
    <row r="138" spans="1:6" ht="15.6" x14ac:dyDescent="0.3">
      <c r="A138" s="105">
        <v>45966</v>
      </c>
      <c r="B138" s="11" t="s">
        <v>5539</v>
      </c>
      <c r="C138" s="253" t="s">
        <v>5540</v>
      </c>
      <c r="D138" s="254" t="s">
        <v>5541</v>
      </c>
      <c r="E138" s="311"/>
      <c r="F138" s="311">
        <v>211500000</v>
      </c>
    </row>
    <row r="139" spans="1:6" ht="15.6" x14ac:dyDescent="0.3">
      <c r="A139" s="105">
        <v>45966</v>
      </c>
      <c r="B139" s="11" t="s">
        <v>5539</v>
      </c>
      <c r="C139" s="253" t="s">
        <v>5540</v>
      </c>
      <c r="D139" s="254" t="s">
        <v>5542</v>
      </c>
      <c r="E139" s="311"/>
      <c r="F139" s="311">
        <v>23265000</v>
      </c>
    </row>
    <row r="140" spans="1:6" ht="15" x14ac:dyDescent="0.3">
      <c r="A140" s="105">
        <v>45966</v>
      </c>
      <c r="B140" s="11" t="s">
        <v>5539</v>
      </c>
      <c r="C140" s="11" t="s">
        <v>5540</v>
      </c>
      <c r="D140" s="213" t="s">
        <v>5543</v>
      </c>
      <c r="E140" s="290"/>
      <c r="F140" s="290">
        <v>-5604750</v>
      </c>
    </row>
    <row r="141" spans="1:6" ht="15" x14ac:dyDescent="0.3">
      <c r="A141" s="438">
        <v>46002</v>
      </c>
      <c r="B141" s="439" t="s">
        <v>5789</v>
      </c>
      <c r="C141" s="439" t="s">
        <v>2422</v>
      </c>
      <c r="D141" s="470" t="s">
        <v>6182</v>
      </c>
      <c r="E141" s="479"/>
      <c r="F141" s="480">
        <v>33125000</v>
      </c>
    </row>
  </sheetData>
  <autoFilter ref="A2:F2" xr:uid="{356589B9-FE11-42FD-951F-C099BFB1F21F}"/>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759BF-6F26-43B5-AADB-A56FC4040661}">
  <dimension ref="A2:F110"/>
  <sheetViews>
    <sheetView workbookViewId="0">
      <pane xSplit="3" ySplit="2" topLeftCell="D96" activePane="bottomRight" state="frozen"/>
      <selection pane="topRight" activeCell="D1" sqref="D1"/>
      <selection pane="bottomLeft" activeCell="A3" sqref="A3"/>
      <selection pane="bottomRight" activeCell="D104" sqref="D104"/>
    </sheetView>
  </sheetViews>
  <sheetFormatPr defaultRowHeight="14.4" x14ac:dyDescent="0.3"/>
  <cols>
    <col min="1" max="3" width="13.88671875" style="83" customWidth="1"/>
    <col min="4" max="4" width="111" style="83" customWidth="1"/>
    <col min="5" max="6" width="18.88671875" style="468" customWidth="1"/>
    <col min="7" max="16384" width="8.88671875" style="83"/>
  </cols>
  <sheetData>
    <row r="2" spans="1:6" ht="15.6" x14ac:dyDescent="0.3">
      <c r="A2" s="1" t="s">
        <v>0</v>
      </c>
      <c r="B2" s="2" t="s">
        <v>1</v>
      </c>
      <c r="C2" s="2" t="s">
        <v>2</v>
      </c>
      <c r="D2" s="2" t="s">
        <v>3</v>
      </c>
      <c r="E2" s="412" t="s">
        <v>4</v>
      </c>
      <c r="F2" s="397" t="s">
        <v>5</v>
      </c>
    </row>
    <row r="3" spans="1:6" ht="15" x14ac:dyDescent="0.3">
      <c r="A3" s="3">
        <v>45736</v>
      </c>
      <c r="B3" s="4" t="s">
        <v>1969</v>
      </c>
      <c r="C3" s="4" t="s">
        <v>1970</v>
      </c>
      <c r="D3" s="73" t="s">
        <v>1971</v>
      </c>
      <c r="E3" s="425"/>
      <c r="F3" s="426">
        <v>3000000</v>
      </c>
    </row>
    <row r="4" spans="1:6" ht="15" x14ac:dyDescent="0.3">
      <c r="A4" s="6">
        <v>45770</v>
      </c>
      <c r="B4" s="7" t="s">
        <v>203</v>
      </c>
      <c r="C4" s="21" t="s">
        <v>1970</v>
      </c>
      <c r="D4" s="25" t="s">
        <v>1972</v>
      </c>
      <c r="E4" s="415"/>
      <c r="F4" s="481">
        <v>350000</v>
      </c>
    </row>
    <row r="5" spans="1:6" ht="15" x14ac:dyDescent="0.3">
      <c r="A5" s="6">
        <v>45770</v>
      </c>
      <c r="B5" s="7" t="s">
        <v>203</v>
      </c>
      <c r="C5" s="21" t="s">
        <v>1970</v>
      </c>
      <c r="D5" s="25" t="s">
        <v>202</v>
      </c>
      <c r="E5" s="415"/>
      <c r="F5" s="481">
        <v>2500</v>
      </c>
    </row>
    <row r="6" spans="1:6" ht="15" x14ac:dyDescent="0.3">
      <c r="A6" s="6">
        <v>45770</v>
      </c>
      <c r="B6" s="7" t="s">
        <v>203</v>
      </c>
      <c r="C6" s="21" t="s">
        <v>1970</v>
      </c>
      <c r="D6" s="25" t="s">
        <v>1973</v>
      </c>
      <c r="E6" s="415"/>
      <c r="F6" s="481">
        <v>76500</v>
      </c>
    </row>
    <row r="7" spans="1:6" ht="15" x14ac:dyDescent="0.3">
      <c r="A7" s="6">
        <v>45770</v>
      </c>
      <c r="B7" s="7" t="s">
        <v>203</v>
      </c>
      <c r="C7" s="21" t="s">
        <v>1970</v>
      </c>
      <c r="D7" s="25" t="s">
        <v>206</v>
      </c>
      <c r="E7" s="482"/>
      <c r="F7" s="481">
        <v>2500</v>
      </c>
    </row>
    <row r="8" spans="1:6" ht="15" x14ac:dyDescent="0.3">
      <c r="A8" s="6">
        <v>45791</v>
      </c>
      <c r="B8" s="7" t="s">
        <v>623</v>
      </c>
      <c r="C8" s="7" t="s">
        <v>1970</v>
      </c>
      <c r="D8" s="55" t="s">
        <v>1974</v>
      </c>
      <c r="E8" s="415"/>
      <c r="F8" s="414">
        <v>266000</v>
      </c>
    </row>
    <row r="9" spans="1:6" ht="15" x14ac:dyDescent="0.3">
      <c r="A9" s="6">
        <v>45791</v>
      </c>
      <c r="B9" s="7" t="s">
        <v>623</v>
      </c>
      <c r="C9" s="7" t="s">
        <v>1970</v>
      </c>
      <c r="D9" s="55" t="s">
        <v>1975</v>
      </c>
      <c r="E9" s="415"/>
      <c r="F9" s="414">
        <v>106000</v>
      </c>
    </row>
    <row r="10" spans="1:6" ht="15" x14ac:dyDescent="0.3">
      <c r="A10" s="6">
        <v>45791</v>
      </c>
      <c r="B10" s="19" t="s">
        <v>628</v>
      </c>
      <c r="C10" s="7" t="s">
        <v>1976</v>
      </c>
      <c r="D10" s="55" t="s">
        <v>476</v>
      </c>
      <c r="E10" s="415"/>
      <c r="F10" s="414">
        <v>2500</v>
      </c>
    </row>
    <row r="11" spans="1:6" ht="15" x14ac:dyDescent="0.3">
      <c r="A11" s="32">
        <v>45793</v>
      </c>
      <c r="B11" s="37" t="s">
        <v>631</v>
      </c>
      <c r="C11" s="9" t="s">
        <v>1970</v>
      </c>
      <c r="D11" s="56" t="s">
        <v>1977</v>
      </c>
      <c r="E11" s="415"/>
      <c r="F11" s="305">
        <v>51000</v>
      </c>
    </row>
    <row r="12" spans="1:6" ht="15" x14ac:dyDescent="0.3">
      <c r="A12" s="32">
        <v>45793</v>
      </c>
      <c r="B12" s="37" t="s">
        <v>631</v>
      </c>
      <c r="C12" s="9" t="s">
        <v>1970</v>
      </c>
      <c r="D12" s="56" t="s">
        <v>990</v>
      </c>
      <c r="E12" s="415"/>
      <c r="F12" s="305">
        <v>50000</v>
      </c>
    </row>
    <row r="13" spans="1:6" ht="15" x14ac:dyDescent="0.3">
      <c r="A13" s="6">
        <v>45800</v>
      </c>
      <c r="B13" s="7" t="s">
        <v>208</v>
      </c>
      <c r="C13" s="21" t="s">
        <v>1970</v>
      </c>
      <c r="D13" s="25" t="s">
        <v>1978</v>
      </c>
      <c r="E13" s="415"/>
      <c r="F13" s="481">
        <v>285000</v>
      </c>
    </row>
    <row r="14" spans="1:6" ht="15" x14ac:dyDescent="0.3">
      <c r="A14" s="6">
        <v>45800</v>
      </c>
      <c r="B14" s="7" t="s">
        <v>208</v>
      </c>
      <c r="C14" s="21" t="s">
        <v>1970</v>
      </c>
      <c r="D14" s="25" t="s">
        <v>210</v>
      </c>
      <c r="E14" s="415"/>
      <c r="F14" s="481">
        <v>2500</v>
      </c>
    </row>
    <row r="15" spans="1:6" ht="15" x14ac:dyDescent="0.3">
      <c r="A15" s="6">
        <v>45800</v>
      </c>
      <c r="B15" s="7" t="s">
        <v>208</v>
      </c>
      <c r="C15" s="21" t="s">
        <v>1970</v>
      </c>
      <c r="D15" s="25" t="s">
        <v>1979</v>
      </c>
      <c r="E15" s="428"/>
      <c r="F15" s="481">
        <v>180000</v>
      </c>
    </row>
    <row r="16" spans="1:6" ht="15" x14ac:dyDescent="0.3">
      <c r="A16" s="6">
        <v>45800</v>
      </c>
      <c r="B16" s="7" t="s">
        <v>208</v>
      </c>
      <c r="C16" s="21" t="s">
        <v>1970</v>
      </c>
      <c r="D16" s="12" t="s">
        <v>210</v>
      </c>
      <c r="E16" s="428"/>
      <c r="F16" s="301">
        <v>2500</v>
      </c>
    </row>
    <row r="17" spans="1:6" ht="15" x14ac:dyDescent="0.3">
      <c r="A17" s="18">
        <v>45698</v>
      </c>
      <c r="B17" s="37" t="s">
        <v>1806</v>
      </c>
      <c r="C17" s="15" t="s">
        <v>1970</v>
      </c>
      <c r="D17" s="74" t="s">
        <v>1980</v>
      </c>
      <c r="E17" s="443"/>
      <c r="F17" s="430">
        <v>36190000</v>
      </c>
    </row>
    <row r="18" spans="1:6" ht="15" x14ac:dyDescent="0.3">
      <c r="A18" s="18">
        <v>45698</v>
      </c>
      <c r="B18" s="37" t="s">
        <v>1806</v>
      </c>
      <c r="C18" s="15" t="s">
        <v>1970</v>
      </c>
      <c r="D18" s="74" t="s">
        <v>1981</v>
      </c>
      <c r="E18" s="430"/>
      <c r="F18" s="430">
        <v>411250</v>
      </c>
    </row>
    <row r="19" spans="1:6" ht="15" x14ac:dyDescent="0.3">
      <c r="A19" s="6">
        <v>45743</v>
      </c>
      <c r="B19" s="9" t="s">
        <v>1818</v>
      </c>
      <c r="C19" s="20" t="s">
        <v>1976</v>
      </c>
      <c r="D19" s="12" t="s">
        <v>1982</v>
      </c>
      <c r="E19" s="289"/>
      <c r="F19" s="416">
        <v>16046400</v>
      </c>
    </row>
    <row r="20" spans="1:6" ht="15" x14ac:dyDescent="0.3">
      <c r="A20" s="6">
        <v>45743</v>
      </c>
      <c r="B20" s="9" t="s">
        <v>1818</v>
      </c>
      <c r="C20" s="20" t="s">
        <v>1976</v>
      </c>
      <c r="D20" s="12" t="s">
        <v>1983</v>
      </c>
      <c r="E20" s="289"/>
      <c r="F20" s="416">
        <v>417875</v>
      </c>
    </row>
    <row r="21" spans="1:6" ht="15" x14ac:dyDescent="0.3">
      <c r="A21" s="6">
        <v>45757</v>
      </c>
      <c r="B21" s="9" t="s">
        <v>1984</v>
      </c>
      <c r="C21" s="11" t="s">
        <v>1970</v>
      </c>
      <c r="D21" s="12" t="s">
        <v>1985</v>
      </c>
      <c r="E21" s="289"/>
      <c r="F21" s="416">
        <v>214799000</v>
      </c>
    </row>
    <row r="22" spans="1:6" ht="15" x14ac:dyDescent="0.3">
      <c r="A22" s="6">
        <v>45793</v>
      </c>
      <c r="B22" s="9" t="s">
        <v>1986</v>
      </c>
      <c r="C22" s="15" t="s">
        <v>1970</v>
      </c>
      <c r="D22" s="12" t="s">
        <v>1987</v>
      </c>
      <c r="E22" s="289"/>
      <c r="F22" s="416">
        <v>60293625</v>
      </c>
    </row>
    <row r="23" spans="1:6" ht="15" x14ac:dyDescent="0.3">
      <c r="A23" s="33">
        <v>45667</v>
      </c>
      <c r="B23" s="11" t="s">
        <v>1988</v>
      </c>
      <c r="C23" s="11" t="s">
        <v>1970</v>
      </c>
      <c r="D23" s="34" t="s">
        <v>447</v>
      </c>
      <c r="E23" s="289"/>
      <c r="F23" s="416">
        <v>53000</v>
      </c>
    </row>
    <row r="24" spans="1:6" ht="15" x14ac:dyDescent="0.3">
      <c r="A24" s="33">
        <v>45667</v>
      </c>
      <c r="B24" s="11" t="s">
        <v>1988</v>
      </c>
      <c r="C24" s="11" t="s">
        <v>1970</v>
      </c>
      <c r="D24" s="34" t="s">
        <v>446</v>
      </c>
      <c r="E24" s="289"/>
      <c r="F24" s="416">
        <v>350000</v>
      </c>
    </row>
    <row r="25" spans="1:6" ht="15" x14ac:dyDescent="0.3">
      <c r="A25" s="33">
        <v>45667</v>
      </c>
      <c r="B25" s="11" t="s">
        <v>1988</v>
      </c>
      <c r="C25" s="11" t="s">
        <v>1970</v>
      </c>
      <c r="D25" s="34" t="s">
        <v>1989</v>
      </c>
      <c r="E25" s="289"/>
      <c r="F25" s="416">
        <v>210000</v>
      </c>
    </row>
    <row r="26" spans="1:6" ht="15" x14ac:dyDescent="0.3">
      <c r="A26" s="33">
        <v>45709</v>
      </c>
      <c r="B26" s="31" t="s">
        <v>262</v>
      </c>
      <c r="C26" s="15" t="s">
        <v>1970</v>
      </c>
      <c r="D26" s="29" t="s">
        <v>1990</v>
      </c>
      <c r="E26" s="431"/>
      <c r="F26" s="285">
        <v>18000</v>
      </c>
    </row>
    <row r="27" spans="1:6" ht="15" x14ac:dyDescent="0.3">
      <c r="A27" s="33">
        <v>45716</v>
      </c>
      <c r="B27" s="31" t="s">
        <v>1138</v>
      </c>
      <c r="C27" s="35" t="s">
        <v>1970</v>
      </c>
      <c r="D27" s="39" t="s">
        <v>1991</v>
      </c>
      <c r="E27" s="431"/>
      <c r="F27" s="285">
        <v>87500</v>
      </c>
    </row>
    <row r="28" spans="1:6" ht="15" x14ac:dyDescent="0.3">
      <c r="A28" s="6">
        <v>45722</v>
      </c>
      <c r="B28" s="7" t="s">
        <v>1992</v>
      </c>
      <c r="C28" s="36" t="s">
        <v>1993</v>
      </c>
      <c r="D28" s="42" t="s">
        <v>1994</v>
      </c>
      <c r="E28" s="413"/>
      <c r="F28" s="408">
        <v>159000000</v>
      </c>
    </row>
    <row r="29" spans="1:6" ht="15" x14ac:dyDescent="0.3">
      <c r="A29" s="6">
        <v>45722</v>
      </c>
      <c r="B29" s="7" t="s">
        <v>1992</v>
      </c>
      <c r="C29" s="36" t="s">
        <v>1993</v>
      </c>
      <c r="D29" s="42" t="s">
        <v>1995</v>
      </c>
      <c r="E29" s="413"/>
      <c r="F29" s="408">
        <v>-3180000</v>
      </c>
    </row>
    <row r="30" spans="1:6" ht="15" x14ac:dyDescent="0.3">
      <c r="A30" s="6">
        <v>45722</v>
      </c>
      <c r="B30" s="7" t="s">
        <v>1992</v>
      </c>
      <c r="C30" s="36" t="s">
        <v>1993</v>
      </c>
      <c r="D30" s="42" t="s">
        <v>1996</v>
      </c>
      <c r="E30" s="413"/>
      <c r="F30" s="408">
        <v>3180000</v>
      </c>
    </row>
    <row r="31" spans="1:6" ht="15" x14ac:dyDescent="0.3">
      <c r="A31" s="33">
        <v>45737</v>
      </c>
      <c r="B31" s="31" t="s">
        <v>1851</v>
      </c>
      <c r="C31" s="20" t="s">
        <v>1970</v>
      </c>
      <c r="D31" s="12" t="s">
        <v>1997</v>
      </c>
      <c r="E31" s="444"/>
      <c r="F31" s="285">
        <v>4604000</v>
      </c>
    </row>
    <row r="32" spans="1:6" ht="15" x14ac:dyDescent="0.3">
      <c r="A32" s="33">
        <v>45743</v>
      </c>
      <c r="B32" s="31" t="s">
        <v>284</v>
      </c>
      <c r="C32" s="10" t="s">
        <v>1970</v>
      </c>
      <c r="D32" s="12" t="s">
        <v>25</v>
      </c>
      <c r="E32" s="432"/>
      <c r="F32" s="285">
        <v>924771</v>
      </c>
    </row>
    <row r="33" spans="1:6" ht="15" x14ac:dyDescent="0.3">
      <c r="A33" s="33">
        <v>45743</v>
      </c>
      <c r="B33" s="31" t="s">
        <v>284</v>
      </c>
      <c r="C33" s="10" t="s">
        <v>1970</v>
      </c>
      <c r="D33" s="12" t="s">
        <v>26</v>
      </c>
      <c r="E33" s="432"/>
      <c r="F33" s="285">
        <v>440000</v>
      </c>
    </row>
    <row r="34" spans="1:6" ht="15" x14ac:dyDescent="0.3">
      <c r="A34" s="33">
        <v>45743</v>
      </c>
      <c r="B34" s="31" t="s">
        <v>284</v>
      </c>
      <c r="C34" s="10" t="s">
        <v>1970</v>
      </c>
      <c r="D34" s="12" t="s">
        <v>1998</v>
      </c>
      <c r="E34" s="432"/>
      <c r="F34" s="285">
        <v>2900</v>
      </c>
    </row>
    <row r="35" spans="1:6" ht="15" x14ac:dyDescent="0.3">
      <c r="A35" s="6">
        <v>45771</v>
      </c>
      <c r="B35" s="9" t="s">
        <v>1999</v>
      </c>
      <c r="C35" s="36" t="s">
        <v>1970</v>
      </c>
      <c r="D35" s="42" t="s">
        <v>2000</v>
      </c>
      <c r="E35" s="433"/>
      <c r="F35" s="408">
        <v>16142000</v>
      </c>
    </row>
    <row r="36" spans="1:6" ht="15" x14ac:dyDescent="0.3">
      <c r="A36" s="6">
        <v>45771</v>
      </c>
      <c r="B36" s="9" t="s">
        <v>1999</v>
      </c>
      <c r="C36" s="36" t="s">
        <v>1970</v>
      </c>
      <c r="D36" s="42" t="s">
        <v>2001</v>
      </c>
      <c r="E36" s="433"/>
      <c r="F36" s="408">
        <v>37287897</v>
      </c>
    </row>
    <row r="37" spans="1:6" ht="15" x14ac:dyDescent="0.3">
      <c r="A37" s="6">
        <v>45771</v>
      </c>
      <c r="B37" s="9" t="s">
        <v>1999</v>
      </c>
      <c r="C37" s="44" t="s">
        <v>1970</v>
      </c>
      <c r="D37" s="30" t="s">
        <v>2002</v>
      </c>
      <c r="E37" s="433"/>
      <c r="F37" s="335">
        <v>8474450</v>
      </c>
    </row>
    <row r="38" spans="1:6" ht="15" x14ac:dyDescent="0.3">
      <c r="A38" s="33">
        <v>45784</v>
      </c>
      <c r="B38" s="11" t="s">
        <v>774</v>
      </c>
      <c r="C38" s="11" t="s">
        <v>1976</v>
      </c>
      <c r="D38" s="26" t="s">
        <v>2003</v>
      </c>
      <c r="E38" s="421"/>
      <c r="F38" s="299">
        <v>542500</v>
      </c>
    </row>
    <row r="39" spans="1:6" ht="15" x14ac:dyDescent="0.3">
      <c r="A39" s="33">
        <v>45784</v>
      </c>
      <c r="B39" s="11" t="s">
        <v>774</v>
      </c>
      <c r="C39" s="11" t="s">
        <v>1976</v>
      </c>
      <c r="D39" s="26" t="s">
        <v>2004</v>
      </c>
      <c r="E39" s="421"/>
      <c r="F39" s="299">
        <v>64000</v>
      </c>
    </row>
    <row r="40" spans="1:6" ht="15" x14ac:dyDescent="0.3">
      <c r="A40" s="6">
        <v>45790</v>
      </c>
      <c r="B40" s="9" t="s">
        <v>437</v>
      </c>
      <c r="C40" s="11" t="s">
        <v>1970</v>
      </c>
      <c r="D40" s="26" t="s">
        <v>2005</v>
      </c>
      <c r="E40" s="421"/>
      <c r="F40" s="299">
        <v>2780000</v>
      </c>
    </row>
    <row r="41" spans="1:6" ht="15" x14ac:dyDescent="0.3">
      <c r="A41" s="6">
        <v>45790</v>
      </c>
      <c r="B41" s="9" t="s">
        <v>437</v>
      </c>
      <c r="C41" s="11" t="s">
        <v>1970</v>
      </c>
      <c r="D41" s="26" t="s">
        <v>275</v>
      </c>
      <c r="E41" s="421"/>
      <c r="F41" s="299">
        <v>2500</v>
      </c>
    </row>
    <row r="42" spans="1:6" ht="15" x14ac:dyDescent="0.3">
      <c r="A42" s="6">
        <v>45791</v>
      </c>
      <c r="B42" s="9" t="s">
        <v>443</v>
      </c>
      <c r="C42" s="11" t="s">
        <v>1970</v>
      </c>
      <c r="D42" s="26" t="s">
        <v>446</v>
      </c>
      <c r="E42" s="421"/>
      <c r="F42" s="299">
        <v>200000</v>
      </c>
    </row>
    <row r="43" spans="1:6" ht="15" x14ac:dyDescent="0.3">
      <c r="A43" s="6">
        <v>45791</v>
      </c>
      <c r="B43" s="9" t="s">
        <v>2006</v>
      </c>
      <c r="C43" s="11" t="s">
        <v>1970</v>
      </c>
      <c r="D43" s="26" t="s">
        <v>2007</v>
      </c>
      <c r="E43" s="421"/>
      <c r="F43" s="299">
        <v>489000</v>
      </c>
    </row>
    <row r="44" spans="1:6" ht="15" x14ac:dyDescent="0.3">
      <c r="A44" s="6">
        <v>45791</v>
      </c>
      <c r="B44" s="9" t="s">
        <v>1885</v>
      </c>
      <c r="C44" s="11" t="s">
        <v>1976</v>
      </c>
      <c r="D44" s="26" t="s">
        <v>2008</v>
      </c>
      <c r="E44" s="421"/>
      <c r="F44" s="299">
        <v>9751875</v>
      </c>
    </row>
    <row r="45" spans="1:6" ht="15" x14ac:dyDescent="0.3">
      <c r="A45" s="6">
        <v>45791</v>
      </c>
      <c r="B45" s="9" t="s">
        <v>2009</v>
      </c>
      <c r="C45" s="11" t="s">
        <v>1976</v>
      </c>
      <c r="D45" s="26" t="s">
        <v>2010</v>
      </c>
      <c r="E45" s="421"/>
      <c r="F45" s="299">
        <v>265000000</v>
      </c>
    </row>
    <row r="46" spans="1:6" ht="15" x14ac:dyDescent="0.3">
      <c r="A46" s="6">
        <v>45791</v>
      </c>
      <c r="B46" s="9" t="s">
        <v>2009</v>
      </c>
      <c r="C46" s="11" t="s">
        <v>1976</v>
      </c>
      <c r="D46" s="26" t="s">
        <v>2011</v>
      </c>
      <c r="E46" s="421"/>
      <c r="F46" s="299">
        <v>-5300000</v>
      </c>
    </row>
    <row r="47" spans="1:6" ht="15" x14ac:dyDescent="0.3">
      <c r="A47" s="6">
        <v>45791</v>
      </c>
      <c r="B47" s="9" t="s">
        <v>2009</v>
      </c>
      <c r="C47" s="11" t="s">
        <v>1976</v>
      </c>
      <c r="D47" s="26" t="s">
        <v>2012</v>
      </c>
      <c r="E47" s="421"/>
      <c r="F47" s="299">
        <v>-3180000</v>
      </c>
    </row>
    <row r="48" spans="1:6" ht="15" x14ac:dyDescent="0.3">
      <c r="A48" s="6">
        <v>45791</v>
      </c>
      <c r="B48" s="9" t="s">
        <v>2009</v>
      </c>
      <c r="C48" s="11" t="s">
        <v>1976</v>
      </c>
      <c r="D48" s="26" t="s">
        <v>2013</v>
      </c>
      <c r="E48" s="421"/>
      <c r="F48" s="299">
        <v>2900</v>
      </c>
    </row>
    <row r="49" spans="1:6" ht="15" x14ac:dyDescent="0.3">
      <c r="A49" s="6">
        <v>45793</v>
      </c>
      <c r="B49" s="9" t="s">
        <v>2014</v>
      </c>
      <c r="C49" s="31" t="s">
        <v>1970</v>
      </c>
      <c r="D49" s="46" t="s">
        <v>2015</v>
      </c>
      <c r="E49" s="421"/>
      <c r="F49" s="299">
        <v>274000</v>
      </c>
    </row>
    <row r="50" spans="1:6" ht="15" x14ac:dyDescent="0.3">
      <c r="A50" s="6">
        <v>45793</v>
      </c>
      <c r="B50" s="9" t="s">
        <v>2014</v>
      </c>
      <c r="C50" s="31" t="s">
        <v>1970</v>
      </c>
      <c r="D50" s="46" t="s">
        <v>2016</v>
      </c>
      <c r="E50" s="421"/>
      <c r="F50" s="299">
        <v>229976</v>
      </c>
    </row>
    <row r="51" spans="1:6" ht="15" x14ac:dyDescent="0.3">
      <c r="A51" s="6">
        <v>45793</v>
      </c>
      <c r="B51" s="9" t="s">
        <v>2014</v>
      </c>
      <c r="C51" s="31" t="s">
        <v>1970</v>
      </c>
      <c r="D51" s="46" t="s">
        <v>2017</v>
      </c>
      <c r="E51" s="421"/>
      <c r="F51" s="299">
        <v>50400</v>
      </c>
    </row>
    <row r="52" spans="1:6" ht="15" x14ac:dyDescent="0.3">
      <c r="A52" s="6">
        <v>45793</v>
      </c>
      <c r="B52" s="9" t="s">
        <v>2014</v>
      </c>
      <c r="C52" s="31" t="s">
        <v>1970</v>
      </c>
      <c r="D52" s="46" t="s">
        <v>2018</v>
      </c>
      <c r="E52" s="421"/>
      <c r="F52" s="299">
        <v>2900</v>
      </c>
    </row>
    <row r="53" spans="1:6" ht="15" x14ac:dyDescent="0.3">
      <c r="A53" s="6">
        <v>45793</v>
      </c>
      <c r="B53" s="9" t="s">
        <v>2014</v>
      </c>
      <c r="C53" s="31" t="s">
        <v>1970</v>
      </c>
      <c r="D53" s="46" t="s">
        <v>2019</v>
      </c>
      <c r="E53" s="421"/>
      <c r="F53" s="299">
        <v>2500</v>
      </c>
    </row>
    <row r="54" spans="1:6" ht="15" x14ac:dyDescent="0.3">
      <c r="A54" s="6">
        <v>45796</v>
      </c>
      <c r="B54" s="9" t="s">
        <v>2020</v>
      </c>
      <c r="C54" s="31" t="s">
        <v>1970</v>
      </c>
      <c r="D54" s="46" t="s">
        <v>2021</v>
      </c>
      <c r="E54" s="421">
        <v>2500</v>
      </c>
      <c r="F54" s="299"/>
    </row>
    <row r="55" spans="1:6" ht="15" x14ac:dyDescent="0.3">
      <c r="A55" s="6">
        <v>45798</v>
      </c>
      <c r="B55" s="9" t="s">
        <v>2022</v>
      </c>
      <c r="C55" s="31" t="s">
        <v>2023</v>
      </c>
      <c r="D55" s="48" t="s">
        <v>2024</v>
      </c>
      <c r="E55" s="433"/>
      <c r="F55" s="335">
        <v>15000000</v>
      </c>
    </row>
    <row r="56" spans="1:6" ht="15" x14ac:dyDescent="0.3">
      <c r="A56" s="6">
        <v>45807</v>
      </c>
      <c r="B56" s="9" t="s">
        <v>503</v>
      </c>
      <c r="C56" s="31" t="s">
        <v>1970</v>
      </c>
      <c r="D56" s="46" t="s">
        <v>2025</v>
      </c>
      <c r="E56" s="421"/>
      <c r="F56" s="299">
        <v>20000</v>
      </c>
    </row>
    <row r="57" spans="1:6" ht="15" x14ac:dyDescent="0.3">
      <c r="A57" s="6">
        <v>45812</v>
      </c>
      <c r="B57" s="9" t="s">
        <v>1909</v>
      </c>
      <c r="C57" s="31" t="s">
        <v>1970</v>
      </c>
      <c r="D57" s="46" t="s">
        <v>2026</v>
      </c>
      <c r="E57" s="433"/>
      <c r="F57" s="335">
        <v>4900000</v>
      </c>
    </row>
    <row r="58" spans="1:6" ht="15" x14ac:dyDescent="0.3">
      <c r="A58" s="6">
        <v>45812</v>
      </c>
      <c r="B58" s="9" t="s">
        <v>1909</v>
      </c>
      <c r="C58" s="31" t="s">
        <v>1970</v>
      </c>
      <c r="D58" s="46" t="s">
        <v>2027</v>
      </c>
      <c r="E58" s="433"/>
      <c r="F58" s="335">
        <v>539000</v>
      </c>
    </row>
    <row r="59" spans="1:6" ht="15" x14ac:dyDescent="0.3">
      <c r="A59" s="6">
        <v>45812</v>
      </c>
      <c r="B59" s="9" t="s">
        <v>1909</v>
      </c>
      <c r="C59" s="31" t="s">
        <v>1970</v>
      </c>
      <c r="D59" s="46" t="s">
        <v>2028</v>
      </c>
      <c r="E59" s="433"/>
      <c r="F59" s="335">
        <v>-98000</v>
      </c>
    </row>
    <row r="60" spans="1:6" ht="15" x14ac:dyDescent="0.3">
      <c r="A60" s="6">
        <v>45819</v>
      </c>
      <c r="B60" s="9" t="s">
        <v>2029</v>
      </c>
      <c r="C60" s="7" t="s">
        <v>1970</v>
      </c>
      <c r="D60" s="48" t="s">
        <v>447</v>
      </c>
      <c r="E60" s="433"/>
      <c r="F60" s="335">
        <v>381500</v>
      </c>
    </row>
    <row r="61" spans="1:6" ht="15" x14ac:dyDescent="0.3">
      <c r="A61" s="6">
        <v>45819</v>
      </c>
      <c r="B61" s="9" t="s">
        <v>2029</v>
      </c>
      <c r="C61" s="7" t="s">
        <v>1970</v>
      </c>
      <c r="D61" s="48" t="s">
        <v>446</v>
      </c>
      <c r="E61" s="433"/>
      <c r="F61" s="335">
        <v>544516</v>
      </c>
    </row>
    <row r="62" spans="1:6" ht="15" x14ac:dyDescent="0.3">
      <c r="A62" s="6">
        <v>45819</v>
      </c>
      <c r="B62" s="9" t="s">
        <v>2029</v>
      </c>
      <c r="C62" s="7" t="s">
        <v>1970</v>
      </c>
      <c r="D62" s="48" t="s">
        <v>2030</v>
      </c>
      <c r="E62" s="433"/>
      <c r="F62" s="335">
        <v>15000</v>
      </c>
    </row>
    <row r="63" spans="1:6" ht="15" x14ac:dyDescent="0.3">
      <c r="A63" s="6">
        <v>45819</v>
      </c>
      <c r="B63" s="9" t="s">
        <v>2029</v>
      </c>
      <c r="C63" s="7" t="s">
        <v>1970</v>
      </c>
      <c r="D63" s="48" t="s">
        <v>2031</v>
      </c>
      <c r="E63" s="433"/>
      <c r="F63" s="335">
        <v>86000</v>
      </c>
    </row>
    <row r="64" spans="1:6" ht="15" x14ac:dyDescent="0.3">
      <c r="A64" s="6">
        <v>45819</v>
      </c>
      <c r="B64" s="9" t="s">
        <v>2029</v>
      </c>
      <c r="C64" s="7" t="s">
        <v>1970</v>
      </c>
      <c r="D64" s="48" t="s">
        <v>2032</v>
      </c>
      <c r="E64" s="433"/>
      <c r="F64" s="335">
        <v>50000</v>
      </c>
    </row>
    <row r="65" spans="1:6" ht="15" x14ac:dyDescent="0.3">
      <c r="A65" s="6">
        <v>45825</v>
      </c>
      <c r="B65" s="9" t="s">
        <v>1786</v>
      </c>
      <c r="C65" s="31" t="s">
        <v>1970</v>
      </c>
      <c r="D65" s="46" t="s">
        <v>446</v>
      </c>
      <c r="E65" s="421"/>
      <c r="F65" s="299">
        <v>611658</v>
      </c>
    </row>
    <row r="66" spans="1:6" ht="15" x14ac:dyDescent="0.3">
      <c r="A66" s="6">
        <v>45825</v>
      </c>
      <c r="B66" s="9" t="s">
        <v>1786</v>
      </c>
      <c r="C66" s="31" t="s">
        <v>1970</v>
      </c>
      <c r="D66" s="46" t="s">
        <v>2030</v>
      </c>
      <c r="E66" s="421"/>
      <c r="F66" s="299">
        <v>6000</v>
      </c>
    </row>
    <row r="67" spans="1:6" ht="15" x14ac:dyDescent="0.3">
      <c r="A67" s="6">
        <v>45825</v>
      </c>
      <c r="B67" s="9" t="s">
        <v>2033</v>
      </c>
      <c r="C67" s="31" t="s">
        <v>1970</v>
      </c>
      <c r="D67" s="46" t="s">
        <v>2034</v>
      </c>
      <c r="E67" s="421"/>
      <c r="F67" s="299">
        <v>600000</v>
      </c>
    </row>
    <row r="68" spans="1:6" ht="15" x14ac:dyDescent="0.3">
      <c r="A68" s="6">
        <v>45825</v>
      </c>
      <c r="B68" s="9" t="s">
        <v>2033</v>
      </c>
      <c r="C68" s="31" t="s">
        <v>1970</v>
      </c>
      <c r="D68" s="46" t="s">
        <v>2035</v>
      </c>
      <c r="E68" s="421"/>
      <c r="F68" s="299">
        <v>79000</v>
      </c>
    </row>
    <row r="69" spans="1:6" ht="15" x14ac:dyDescent="0.3">
      <c r="A69" s="6">
        <v>45825</v>
      </c>
      <c r="B69" s="9" t="s">
        <v>2033</v>
      </c>
      <c r="C69" s="31" t="s">
        <v>1970</v>
      </c>
      <c r="D69" s="46" t="s">
        <v>2036</v>
      </c>
      <c r="E69" s="421"/>
      <c r="F69" s="299">
        <v>1413000</v>
      </c>
    </row>
    <row r="70" spans="1:6" ht="15" x14ac:dyDescent="0.3">
      <c r="A70" s="6">
        <v>45825</v>
      </c>
      <c r="B70" s="9" t="s">
        <v>523</v>
      </c>
      <c r="C70" s="31" t="s">
        <v>1970</v>
      </c>
      <c r="D70" s="46" t="s">
        <v>2037</v>
      </c>
      <c r="E70" s="421"/>
      <c r="F70" s="299">
        <v>90000</v>
      </c>
    </row>
    <row r="71" spans="1:6" ht="15" x14ac:dyDescent="0.3">
      <c r="A71" s="6">
        <v>45825</v>
      </c>
      <c r="B71" s="9" t="s">
        <v>523</v>
      </c>
      <c r="C71" s="31" t="s">
        <v>1970</v>
      </c>
      <c r="D71" s="46" t="s">
        <v>2038</v>
      </c>
      <c r="E71" s="421"/>
      <c r="F71" s="299">
        <v>17000</v>
      </c>
    </row>
    <row r="72" spans="1:6" ht="15" x14ac:dyDescent="0.3">
      <c r="A72" s="6">
        <v>45826</v>
      </c>
      <c r="B72" s="9" t="s">
        <v>2039</v>
      </c>
      <c r="C72" s="11" t="s">
        <v>1970</v>
      </c>
      <c r="D72" s="17" t="s">
        <v>2040</v>
      </c>
      <c r="E72" s="421"/>
      <c r="F72" s="299">
        <v>275000</v>
      </c>
    </row>
    <row r="73" spans="1:6" ht="15" x14ac:dyDescent="0.3">
      <c r="A73" s="6">
        <v>45826</v>
      </c>
      <c r="B73" s="9" t="s">
        <v>2039</v>
      </c>
      <c r="C73" s="11" t="s">
        <v>1970</v>
      </c>
      <c r="D73" s="17" t="s">
        <v>2041</v>
      </c>
      <c r="E73" s="421"/>
      <c r="F73" s="299">
        <v>2500</v>
      </c>
    </row>
    <row r="74" spans="1:6" ht="15" x14ac:dyDescent="0.3">
      <c r="A74" s="6">
        <v>45828</v>
      </c>
      <c r="B74" s="9" t="s">
        <v>2042</v>
      </c>
      <c r="C74" s="31" t="s">
        <v>1970</v>
      </c>
      <c r="D74" s="46" t="s">
        <v>447</v>
      </c>
      <c r="E74" s="421"/>
      <c r="F74" s="299">
        <v>36000</v>
      </c>
    </row>
    <row r="75" spans="1:6" ht="15" x14ac:dyDescent="0.3">
      <c r="A75" s="6">
        <v>45828</v>
      </c>
      <c r="B75" s="9" t="s">
        <v>2042</v>
      </c>
      <c r="C75" s="31" t="s">
        <v>1970</v>
      </c>
      <c r="D75" s="46" t="s">
        <v>2043</v>
      </c>
      <c r="E75" s="421"/>
      <c r="F75" s="299">
        <v>354700</v>
      </c>
    </row>
    <row r="76" spans="1:6" ht="15" x14ac:dyDescent="0.3">
      <c r="A76" s="6">
        <v>45828</v>
      </c>
      <c r="B76" s="9" t="s">
        <v>2042</v>
      </c>
      <c r="C76" s="31" t="s">
        <v>1970</v>
      </c>
      <c r="D76" s="46" t="s">
        <v>1788</v>
      </c>
      <c r="E76" s="421"/>
      <c r="F76" s="299">
        <v>2900</v>
      </c>
    </row>
    <row r="77" spans="1:6" ht="15" x14ac:dyDescent="0.3">
      <c r="A77" s="6">
        <v>45828</v>
      </c>
      <c r="B77" s="9" t="s">
        <v>532</v>
      </c>
      <c r="C77" s="31" t="s">
        <v>1970</v>
      </c>
      <c r="D77" s="46" t="s">
        <v>2044</v>
      </c>
      <c r="E77" s="421"/>
      <c r="F77" s="299">
        <v>201000</v>
      </c>
    </row>
    <row r="78" spans="1:6" ht="15" x14ac:dyDescent="0.3">
      <c r="A78" s="6">
        <v>45828</v>
      </c>
      <c r="B78" s="9" t="s">
        <v>532</v>
      </c>
      <c r="C78" s="31" t="s">
        <v>1970</v>
      </c>
      <c r="D78" s="46" t="s">
        <v>2045</v>
      </c>
      <c r="E78" s="421"/>
      <c r="F78" s="299">
        <v>24000</v>
      </c>
    </row>
    <row r="79" spans="1:6" ht="15" x14ac:dyDescent="0.3">
      <c r="A79" s="6">
        <v>45828</v>
      </c>
      <c r="B79" s="9" t="s">
        <v>2046</v>
      </c>
      <c r="C79" s="31" t="s">
        <v>1970</v>
      </c>
      <c r="D79" s="46" t="s">
        <v>2047</v>
      </c>
      <c r="E79" s="421"/>
      <c r="F79" s="299">
        <v>7875000</v>
      </c>
    </row>
    <row r="80" spans="1:6" ht="15" x14ac:dyDescent="0.3">
      <c r="A80" s="6">
        <v>45828</v>
      </c>
      <c r="B80" s="9" t="s">
        <v>2046</v>
      </c>
      <c r="C80" s="31" t="s">
        <v>1970</v>
      </c>
      <c r="D80" s="46" t="s">
        <v>2048</v>
      </c>
      <c r="E80" s="421"/>
      <c r="F80" s="299">
        <v>2900</v>
      </c>
    </row>
    <row r="81" spans="1:6" ht="15" x14ac:dyDescent="0.3">
      <c r="A81" s="6">
        <v>45828</v>
      </c>
      <c r="B81" s="9" t="s">
        <v>1357</v>
      </c>
      <c r="C81" s="31" t="s">
        <v>1970</v>
      </c>
      <c r="D81" s="46" t="s">
        <v>2049</v>
      </c>
      <c r="E81" s="421"/>
      <c r="F81" s="299">
        <v>450000</v>
      </c>
    </row>
    <row r="82" spans="1:6" ht="15" x14ac:dyDescent="0.3">
      <c r="A82" s="6">
        <v>45831</v>
      </c>
      <c r="B82" s="9" t="s">
        <v>2050</v>
      </c>
      <c r="C82" s="31" t="s">
        <v>1970</v>
      </c>
      <c r="D82" s="46" t="s">
        <v>2051</v>
      </c>
      <c r="E82" s="421"/>
      <c r="F82" s="299">
        <v>5000000</v>
      </c>
    </row>
    <row r="83" spans="1:6" ht="15" x14ac:dyDescent="0.3">
      <c r="A83" s="6">
        <v>45833</v>
      </c>
      <c r="B83" s="9" t="s">
        <v>2052</v>
      </c>
      <c r="C83" s="92" t="s">
        <v>1970</v>
      </c>
      <c r="D83" s="93" t="s">
        <v>2053</v>
      </c>
      <c r="E83" s="421"/>
      <c r="F83" s="299">
        <v>2015600</v>
      </c>
    </row>
    <row r="84" spans="1:6" ht="15" x14ac:dyDescent="0.3">
      <c r="A84" s="6">
        <v>45833</v>
      </c>
      <c r="B84" s="9" t="s">
        <v>2052</v>
      </c>
      <c r="C84" s="92" t="s">
        <v>1970</v>
      </c>
      <c r="D84" s="93" t="s">
        <v>2054</v>
      </c>
      <c r="E84" s="421"/>
      <c r="F84" s="299">
        <v>221716</v>
      </c>
    </row>
    <row r="85" spans="1:6" ht="15" x14ac:dyDescent="0.3">
      <c r="A85" s="6">
        <v>45833</v>
      </c>
      <c r="B85" s="9" t="s">
        <v>2052</v>
      </c>
      <c r="C85" s="92" t="s">
        <v>1970</v>
      </c>
      <c r="D85" s="93" t="s">
        <v>2055</v>
      </c>
      <c r="E85" s="421"/>
      <c r="F85" s="299">
        <v>-40313</v>
      </c>
    </row>
    <row r="86" spans="1:6" ht="15" x14ac:dyDescent="0.3">
      <c r="A86" s="6">
        <v>45833</v>
      </c>
      <c r="B86" s="9" t="s">
        <v>2052</v>
      </c>
      <c r="C86" s="92" t="s">
        <v>1970</v>
      </c>
      <c r="D86" s="93" t="s">
        <v>2056</v>
      </c>
      <c r="E86" s="421"/>
      <c r="F86" s="299">
        <v>6345616</v>
      </c>
    </row>
    <row r="87" spans="1:6" ht="15" x14ac:dyDescent="0.3">
      <c r="A87" s="6">
        <v>45833</v>
      </c>
      <c r="B87" s="9" t="s">
        <v>2052</v>
      </c>
      <c r="C87" s="92" t="s">
        <v>1970</v>
      </c>
      <c r="D87" s="93" t="s">
        <v>2057</v>
      </c>
      <c r="E87" s="421"/>
      <c r="F87" s="299">
        <v>698018</v>
      </c>
    </row>
    <row r="88" spans="1:6" ht="15" x14ac:dyDescent="0.3">
      <c r="A88" s="6">
        <v>45833</v>
      </c>
      <c r="B88" s="9" t="s">
        <v>2052</v>
      </c>
      <c r="C88" s="92" t="s">
        <v>1970</v>
      </c>
      <c r="D88" s="93" t="s">
        <v>2058</v>
      </c>
      <c r="E88" s="421"/>
      <c r="F88" s="299">
        <v>-126912</v>
      </c>
    </row>
    <row r="89" spans="1:6" ht="15" x14ac:dyDescent="0.3">
      <c r="A89" s="6">
        <v>45833</v>
      </c>
      <c r="B89" s="9" t="s">
        <v>2052</v>
      </c>
      <c r="C89" s="92" t="s">
        <v>1970</v>
      </c>
      <c r="D89" s="93" t="s">
        <v>2059</v>
      </c>
      <c r="E89" s="421"/>
      <c r="F89" s="299">
        <v>10000</v>
      </c>
    </row>
    <row r="90" spans="1:6" ht="15" x14ac:dyDescent="0.3">
      <c r="A90" s="6">
        <v>45833</v>
      </c>
      <c r="B90" s="9" t="s">
        <v>2052</v>
      </c>
      <c r="C90" s="92" t="s">
        <v>1970</v>
      </c>
      <c r="D90" s="93" t="s">
        <v>431</v>
      </c>
      <c r="E90" s="421"/>
      <c r="F90" s="299">
        <v>2900</v>
      </c>
    </row>
    <row r="91" spans="1:6" ht="15" x14ac:dyDescent="0.3">
      <c r="A91" s="6">
        <v>45833</v>
      </c>
      <c r="B91" s="9" t="s">
        <v>2060</v>
      </c>
      <c r="C91" s="31" t="s">
        <v>1970</v>
      </c>
      <c r="D91" s="93" t="s">
        <v>2061</v>
      </c>
      <c r="E91" s="421"/>
      <c r="F91" s="299">
        <v>22700000</v>
      </c>
    </row>
    <row r="92" spans="1:6" ht="15" x14ac:dyDescent="0.3">
      <c r="A92" s="6">
        <v>45839</v>
      </c>
      <c r="B92" s="9" t="s">
        <v>2062</v>
      </c>
      <c r="C92" s="31" t="s">
        <v>1970</v>
      </c>
      <c r="D92" s="46" t="s">
        <v>2063</v>
      </c>
      <c r="E92" s="421"/>
      <c r="F92" s="299">
        <v>1407000</v>
      </c>
    </row>
    <row r="93" spans="1:6" ht="15" x14ac:dyDescent="0.3">
      <c r="A93" s="6">
        <v>45839</v>
      </c>
      <c r="B93" s="9" t="s">
        <v>1792</v>
      </c>
      <c r="C93" s="31" t="s">
        <v>1970</v>
      </c>
      <c r="D93" s="46" t="s">
        <v>2064</v>
      </c>
      <c r="E93" s="421"/>
      <c r="F93" s="299">
        <v>20000</v>
      </c>
    </row>
    <row r="94" spans="1:6" ht="15" x14ac:dyDescent="0.3">
      <c r="A94" s="6">
        <v>45842</v>
      </c>
      <c r="B94" s="9" t="s">
        <v>2065</v>
      </c>
      <c r="C94" s="31" t="s">
        <v>1970</v>
      </c>
      <c r="D94" s="46" t="s">
        <v>2066</v>
      </c>
      <c r="E94" s="421"/>
      <c r="F94" s="299">
        <v>3100000</v>
      </c>
    </row>
    <row r="95" spans="1:6" ht="15" x14ac:dyDescent="0.3">
      <c r="A95" s="6">
        <v>45842</v>
      </c>
      <c r="B95" s="9" t="s">
        <v>2065</v>
      </c>
      <c r="C95" s="31" t="s">
        <v>1970</v>
      </c>
      <c r="D95" s="46" t="s">
        <v>2048</v>
      </c>
      <c r="E95" s="421"/>
      <c r="F95" s="299">
        <v>2900</v>
      </c>
    </row>
    <row r="96" spans="1:6" ht="15" x14ac:dyDescent="0.3">
      <c r="A96" s="32">
        <v>45842</v>
      </c>
      <c r="B96" s="9" t="s">
        <v>534</v>
      </c>
      <c r="C96" s="11" t="s">
        <v>1970</v>
      </c>
      <c r="D96" s="26" t="s">
        <v>2064</v>
      </c>
      <c r="E96" s="421"/>
      <c r="F96" s="299">
        <v>40000</v>
      </c>
    </row>
    <row r="97" spans="1:6" ht="15" x14ac:dyDescent="0.3">
      <c r="A97" s="33">
        <v>45859</v>
      </c>
      <c r="B97" s="11" t="s">
        <v>2280</v>
      </c>
      <c r="C97" s="31" t="s">
        <v>1970</v>
      </c>
      <c r="D97" s="157" t="s">
        <v>2281</v>
      </c>
      <c r="E97" s="370"/>
      <c r="F97" s="289">
        <v>26500</v>
      </c>
    </row>
    <row r="98" spans="1:6" ht="15" x14ac:dyDescent="0.3">
      <c r="A98" s="33">
        <v>45859</v>
      </c>
      <c r="B98" s="11" t="s">
        <v>2280</v>
      </c>
      <c r="C98" s="31" t="s">
        <v>1970</v>
      </c>
      <c r="D98" s="157" t="s">
        <v>2282</v>
      </c>
      <c r="E98" s="370"/>
      <c r="F98" s="289">
        <v>113000</v>
      </c>
    </row>
    <row r="99" spans="1:6" ht="15" x14ac:dyDescent="0.3">
      <c r="A99" s="33">
        <v>45861</v>
      </c>
      <c r="B99" s="11" t="s">
        <v>2283</v>
      </c>
      <c r="C99" s="21" t="s">
        <v>1970</v>
      </c>
      <c r="D99" s="51" t="s">
        <v>2284</v>
      </c>
      <c r="E99" s="370"/>
      <c r="F99" s="285">
        <v>50000</v>
      </c>
    </row>
    <row r="100" spans="1:6" ht="15" x14ac:dyDescent="0.3">
      <c r="A100" s="33">
        <v>45861</v>
      </c>
      <c r="B100" s="11" t="s">
        <v>2283</v>
      </c>
      <c r="C100" s="21" t="s">
        <v>1970</v>
      </c>
      <c r="D100" s="184" t="s">
        <v>447</v>
      </c>
      <c r="E100" s="370"/>
      <c r="F100" s="417">
        <v>61500</v>
      </c>
    </row>
    <row r="101" spans="1:6" ht="15" x14ac:dyDescent="0.3">
      <c r="A101" s="33">
        <v>45861</v>
      </c>
      <c r="B101" s="11" t="s">
        <v>2285</v>
      </c>
      <c r="C101" s="185" t="s">
        <v>1970</v>
      </c>
      <c r="D101" s="184" t="s">
        <v>2286</v>
      </c>
      <c r="E101" s="370"/>
      <c r="F101" s="417">
        <v>450000</v>
      </c>
    </row>
    <row r="102" spans="1:6" ht="15" x14ac:dyDescent="0.3">
      <c r="A102" s="33">
        <v>45861</v>
      </c>
      <c r="B102" s="11" t="s">
        <v>2287</v>
      </c>
      <c r="C102" s="21" t="s">
        <v>1970</v>
      </c>
      <c r="D102" s="184" t="s">
        <v>2288</v>
      </c>
      <c r="E102" s="370"/>
      <c r="F102" s="417">
        <v>255000</v>
      </c>
    </row>
    <row r="103" spans="1:6" ht="15" x14ac:dyDescent="0.3">
      <c r="A103" s="33">
        <v>45861</v>
      </c>
      <c r="B103" s="11" t="s">
        <v>2287</v>
      </c>
      <c r="C103" s="21" t="s">
        <v>1970</v>
      </c>
      <c r="D103" s="184" t="s">
        <v>2289</v>
      </c>
      <c r="E103" s="370"/>
      <c r="F103" s="417">
        <v>2500</v>
      </c>
    </row>
    <row r="104" spans="1:6" ht="15" x14ac:dyDescent="0.3">
      <c r="A104" s="33">
        <v>45863</v>
      </c>
      <c r="B104" s="11" t="s">
        <v>2290</v>
      </c>
      <c r="C104" s="31" t="s">
        <v>1970</v>
      </c>
      <c r="D104" s="186" t="s">
        <v>2291</v>
      </c>
      <c r="E104" s="370"/>
      <c r="F104" s="429">
        <v>166900</v>
      </c>
    </row>
    <row r="105" spans="1:6" ht="15" x14ac:dyDescent="0.3">
      <c r="A105" s="105">
        <v>45863</v>
      </c>
      <c r="B105" s="11" t="s">
        <v>2290</v>
      </c>
      <c r="C105" s="11" t="s">
        <v>1970</v>
      </c>
      <c r="D105" s="187" t="s">
        <v>2034</v>
      </c>
      <c r="E105" s="370"/>
      <c r="F105" s="283">
        <v>200000</v>
      </c>
    </row>
    <row r="106" spans="1:6" ht="15" x14ac:dyDescent="0.3">
      <c r="A106" s="96">
        <v>45863</v>
      </c>
      <c r="B106" s="38" t="s">
        <v>2230</v>
      </c>
      <c r="C106" s="21" t="s">
        <v>1970</v>
      </c>
      <c r="D106" s="184" t="s">
        <v>2255</v>
      </c>
      <c r="E106" s="483"/>
      <c r="F106" s="417">
        <v>159000</v>
      </c>
    </row>
    <row r="107" spans="1:6" ht="15" x14ac:dyDescent="0.3">
      <c r="A107" s="105">
        <v>45863</v>
      </c>
      <c r="B107" s="11" t="s">
        <v>2230</v>
      </c>
      <c r="C107" s="15" t="s">
        <v>1970</v>
      </c>
      <c r="D107" s="51" t="s">
        <v>1413</v>
      </c>
      <c r="E107" s="370"/>
      <c r="F107" s="285">
        <v>214934</v>
      </c>
    </row>
    <row r="108" spans="1:6" ht="15" x14ac:dyDescent="0.3">
      <c r="A108" s="105">
        <v>45898</v>
      </c>
      <c r="B108" s="11" t="s">
        <v>4083</v>
      </c>
      <c r="C108" s="11" t="s">
        <v>1970</v>
      </c>
      <c r="D108" s="51" t="s">
        <v>4104</v>
      </c>
      <c r="E108" s="447"/>
      <c r="F108" s="289">
        <v>130000</v>
      </c>
    </row>
    <row r="109" spans="1:6" ht="15" x14ac:dyDescent="0.3">
      <c r="A109" s="105">
        <v>45898</v>
      </c>
      <c r="B109" s="11" t="s">
        <v>4083</v>
      </c>
      <c r="C109" s="11" t="s">
        <v>1970</v>
      </c>
      <c r="D109" s="51" t="s">
        <v>4100</v>
      </c>
      <c r="E109" s="447"/>
      <c r="F109" s="289">
        <v>53000</v>
      </c>
    </row>
    <row r="110" spans="1:6" ht="30" x14ac:dyDescent="0.3">
      <c r="A110" s="456">
        <v>45967</v>
      </c>
      <c r="B110" s="457" t="s">
        <v>5790</v>
      </c>
      <c r="C110" s="457" t="s">
        <v>1970</v>
      </c>
      <c r="D110" s="458" t="s">
        <v>5791</v>
      </c>
      <c r="E110" s="484"/>
      <c r="F110" s="485">
        <v>39428931</v>
      </c>
    </row>
  </sheetData>
  <autoFilter ref="A2:F96" xr:uid="{5A4759BF-6F26-43B5-AADB-A56FC404066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EDF14-A66B-429E-A1E4-F8EADB16DC7C}">
  <dimension ref="A2:F47"/>
  <sheetViews>
    <sheetView workbookViewId="0">
      <pane xSplit="3" ySplit="2" topLeftCell="D38" activePane="bottomRight" state="frozen"/>
      <selection pane="topRight" activeCell="D1" sqref="D1"/>
      <selection pane="bottomLeft" activeCell="A3" sqref="A3"/>
      <selection pane="bottomRight" activeCell="D51" sqref="D51"/>
    </sheetView>
  </sheetViews>
  <sheetFormatPr defaultRowHeight="14.4" x14ac:dyDescent="0.3"/>
  <cols>
    <col min="1" max="3" width="13.88671875" style="83" customWidth="1"/>
    <col min="4" max="4" width="111" style="83" customWidth="1"/>
    <col min="5" max="6" width="18.88671875" style="468" customWidth="1"/>
    <col min="7" max="16384" width="8.88671875" style="83"/>
  </cols>
  <sheetData>
    <row r="2" spans="1:6" ht="15.6" x14ac:dyDescent="0.3">
      <c r="A2" s="1" t="s">
        <v>0</v>
      </c>
      <c r="B2" s="2" t="s">
        <v>1</v>
      </c>
      <c r="C2" s="2" t="s">
        <v>2</v>
      </c>
      <c r="D2" s="2" t="s">
        <v>3</v>
      </c>
      <c r="E2" s="412" t="s">
        <v>4</v>
      </c>
      <c r="F2" s="397" t="s">
        <v>5</v>
      </c>
    </row>
    <row r="3" spans="1:6" ht="15" x14ac:dyDescent="0.3">
      <c r="A3" s="3">
        <v>45736</v>
      </c>
      <c r="B3" s="4" t="s">
        <v>1969</v>
      </c>
      <c r="C3" s="4" t="s">
        <v>2067</v>
      </c>
      <c r="D3" s="73" t="s">
        <v>2068</v>
      </c>
      <c r="E3" s="425"/>
      <c r="F3" s="426">
        <v>3000000</v>
      </c>
    </row>
    <row r="4" spans="1:6" ht="15" x14ac:dyDescent="0.3">
      <c r="A4" s="6">
        <v>45791</v>
      </c>
      <c r="B4" s="19" t="s">
        <v>628</v>
      </c>
      <c r="C4" s="7" t="s">
        <v>1976</v>
      </c>
      <c r="D4" s="55" t="s">
        <v>476</v>
      </c>
      <c r="E4" s="415"/>
      <c r="F4" s="414">
        <v>2500</v>
      </c>
    </row>
    <row r="5" spans="1:6" ht="15" x14ac:dyDescent="0.3">
      <c r="A5" s="32">
        <v>45793</v>
      </c>
      <c r="B5" s="37" t="s">
        <v>631</v>
      </c>
      <c r="C5" s="9" t="s">
        <v>2067</v>
      </c>
      <c r="D5" s="56" t="s">
        <v>1974</v>
      </c>
      <c r="E5" s="415"/>
      <c r="F5" s="305">
        <v>178500</v>
      </c>
    </row>
    <row r="6" spans="1:6" ht="15" x14ac:dyDescent="0.3">
      <c r="A6" s="32">
        <v>45793</v>
      </c>
      <c r="B6" s="37" t="s">
        <v>631</v>
      </c>
      <c r="C6" s="9" t="s">
        <v>2067</v>
      </c>
      <c r="D6" s="56" t="s">
        <v>1975</v>
      </c>
      <c r="E6" s="415"/>
      <c r="F6" s="305">
        <v>16000</v>
      </c>
    </row>
    <row r="7" spans="1:6" ht="15" x14ac:dyDescent="0.3">
      <c r="A7" s="6">
        <v>45743</v>
      </c>
      <c r="B7" s="9" t="s">
        <v>1818</v>
      </c>
      <c r="C7" s="20" t="s">
        <v>1976</v>
      </c>
      <c r="D7" s="12" t="s">
        <v>1982</v>
      </c>
      <c r="E7" s="289"/>
      <c r="F7" s="416">
        <v>16046400</v>
      </c>
    </row>
    <row r="8" spans="1:6" ht="15" x14ac:dyDescent="0.3">
      <c r="A8" s="6">
        <v>45743</v>
      </c>
      <c r="B8" s="9" t="s">
        <v>1818</v>
      </c>
      <c r="C8" s="20" t="s">
        <v>1976</v>
      </c>
      <c r="D8" s="12" t="s">
        <v>1983</v>
      </c>
      <c r="E8" s="289"/>
      <c r="F8" s="416">
        <v>417875</v>
      </c>
    </row>
    <row r="9" spans="1:6" ht="15" x14ac:dyDescent="0.3">
      <c r="A9" s="6">
        <v>45757</v>
      </c>
      <c r="B9" s="9" t="s">
        <v>1984</v>
      </c>
      <c r="C9" s="11" t="s">
        <v>2067</v>
      </c>
      <c r="D9" s="12" t="s">
        <v>2069</v>
      </c>
      <c r="E9" s="289"/>
      <c r="F9" s="416">
        <v>422500</v>
      </c>
    </row>
    <row r="10" spans="1:6" ht="15" x14ac:dyDescent="0.3">
      <c r="A10" s="6">
        <v>45793</v>
      </c>
      <c r="B10" s="9" t="s">
        <v>1986</v>
      </c>
      <c r="C10" s="10" t="s">
        <v>2067</v>
      </c>
      <c r="D10" s="12" t="s">
        <v>2070</v>
      </c>
      <c r="E10" s="289"/>
      <c r="F10" s="416">
        <v>418125</v>
      </c>
    </row>
    <row r="11" spans="1:6" ht="15" x14ac:dyDescent="0.3">
      <c r="A11" s="33">
        <v>45779</v>
      </c>
      <c r="B11" s="11" t="s">
        <v>2071</v>
      </c>
      <c r="C11" s="11" t="s">
        <v>2067</v>
      </c>
      <c r="D11" s="23" t="s">
        <v>447</v>
      </c>
      <c r="E11" s="370"/>
      <c r="F11" s="289">
        <v>168000</v>
      </c>
    </row>
    <row r="12" spans="1:6" ht="15" x14ac:dyDescent="0.3">
      <c r="A12" s="33">
        <v>45779</v>
      </c>
      <c r="B12" s="11" t="s">
        <v>2071</v>
      </c>
      <c r="C12" s="11" t="s">
        <v>2067</v>
      </c>
      <c r="D12" s="23" t="s">
        <v>446</v>
      </c>
      <c r="E12" s="370"/>
      <c r="F12" s="289">
        <v>239496</v>
      </c>
    </row>
    <row r="13" spans="1:6" ht="15.6" x14ac:dyDescent="0.3">
      <c r="A13" s="33">
        <v>45779</v>
      </c>
      <c r="B13" s="11" t="s">
        <v>2071</v>
      </c>
      <c r="C13" s="11" t="s">
        <v>2067</v>
      </c>
      <c r="D13" s="17" t="s">
        <v>1787</v>
      </c>
      <c r="E13" s="370"/>
      <c r="F13" s="489">
        <v>56000</v>
      </c>
    </row>
    <row r="14" spans="1:6" ht="15.6" x14ac:dyDescent="0.3">
      <c r="A14" s="33">
        <v>45779</v>
      </c>
      <c r="B14" s="11" t="s">
        <v>2071</v>
      </c>
      <c r="C14" s="11" t="s">
        <v>2067</v>
      </c>
      <c r="D14" s="17" t="s">
        <v>1788</v>
      </c>
      <c r="E14" s="370"/>
      <c r="F14" s="489">
        <v>5800</v>
      </c>
    </row>
    <row r="15" spans="1:6" ht="15" x14ac:dyDescent="0.3">
      <c r="A15" s="33">
        <v>45779</v>
      </c>
      <c r="B15" s="11" t="s">
        <v>415</v>
      </c>
      <c r="C15" s="11" t="s">
        <v>2067</v>
      </c>
      <c r="D15" s="17" t="s">
        <v>2072</v>
      </c>
      <c r="E15" s="370"/>
      <c r="F15" s="289">
        <v>471485</v>
      </c>
    </row>
    <row r="16" spans="1:6" ht="15" x14ac:dyDescent="0.3">
      <c r="A16" s="33">
        <v>45784</v>
      </c>
      <c r="B16" s="11" t="s">
        <v>774</v>
      </c>
      <c r="C16" s="11" t="s">
        <v>1976</v>
      </c>
      <c r="D16" s="26" t="s">
        <v>2003</v>
      </c>
      <c r="E16" s="421"/>
      <c r="F16" s="299">
        <v>542500</v>
      </c>
    </row>
    <row r="17" spans="1:6" ht="15" x14ac:dyDescent="0.3">
      <c r="A17" s="33">
        <v>45784</v>
      </c>
      <c r="B17" s="11" t="s">
        <v>774</v>
      </c>
      <c r="C17" s="11" t="s">
        <v>1976</v>
      </c>
      <c r="D17" s="26" t="s">
        <v>2004</v>
      </c>
      <c r="E17" s="421"/>
      <c r="F17" s="299">
        <v>64000</v>
      </c>
    </row>
    <row r="18" spans="1:6" ht="15" x14ac:dyDescent="0.3">
      <c r="A18" s="6">
        <v>45790</v>
      </c>
      <c r="B18" s="9" t="s">
        <v>435</v>
      </c>
      <c r="C18" s="11" t="s">
        <v>2067</v>
      </c>
      <c r="D18" s="26" t="s">
        <v>2073</v>
      </c>
      <c r="E18" s="421"/>
      <c r="F18" s="299">
        <v>159800</v>
      </c>
    </row>
    <row r="19" spans="1:6" ht="15" x14ac:dyDescent="0.3">
      <c r="A19" s="6">
        <v>45791</v>
      </c>
      <c r="B19" s="9" t="s">
        <v>443</v>
      </c>
      <c r="C19" s="11" t="s">
        <v>2067</v>
      </c>
      <c r="D19" s="26" t="s">
        <v>447</v>
      </c>
      <c r="E19" s="421"/>
      <c r="F19" s="299">
        <v>69000</v>
      </c>
    </row>
    <row r="20" spans="1:6" ht="15" x14ac:dyDescent="0.3">
      <c r="A20" s="6">
        <v>45791</v>
      </c>
      <c r="B20" s="9" t="s">
        <v>443</v>
      </c>
      <c r="C20" s="11" t="s">
        <v>2067</v>
      </c>
      <c r="D20" s="26" t="s">
        <v>2074</v>
      </c>
      <c r="E20" s="421"/>
      <c r="F20" s="299">
        <v>112500</v>
      </c>
    </row>
    <row r="21" spans="1:6" ht="15" x14ac:dyDescent="0.3">
      <c r="A21" s="6">
        <v>45791</v>
      </c>
      <c r="B21" s="9" t="s">
        <v>1885</v>
      </c>
      <c r="C21" s="11" t="s">
        <v>1976</v>
      </c>
      <c r="D21" s="26" t="s">
        <v>2008</v>
      </c>
      <c r="E21" s="421"/>
      <c r="F21" s="299">
        <v>9751875</v>
      </c>
    </row>
    <row r="22" spans="1:6" ht="15" x14ac:dyDescent="0.3">
      <c r="A22" s="6">
        <v>45791</v>
      </c>
      <c r="B22" s="9" t="s">
        <v>2009</v>
      </c>
      <c r="C22" s="11" t="s">
        <v>1976</v>
      </c>
      <c r="D22" s="26" t="s">
        <v>2010</v>
      </c>
      <c r="E22" s="421"/>
      <c r="F22" s="299">
        <v>265000000</v>
      </c>
    </row>
    <row r="23" spans="1:6" ht="15" x14ac:dyDescent="0.3">
      <c r="A23" s="6">
        <v>45791</v>
      </c>
      <c r="B23" s="9" t="s">
        <v>2009</v>
      </c>
      <c r="C23" s="11" t="s">
        <v>1976</v>
      </c>
      <c r="D23" s="26" t="s">
        <v>2011</v>
      </c>
      <c r="E23" s="421"/>
      <c r="F23" s="299">
        <v>-5300000</v>
      </c>
    </row>
    <row r="24" spans="1:6" ht="15" x14ac:dyDescent="0.3">
      <c r="A24" s="6">
        <v>45791</v>
      </c>
      <c r="B24" s="9" t="s">
        <v>2009</v>
      </c>
      <c r="C24" s="11" t="s">
        <v>1976</v>
      </c>
      <c r="D24" s="26" t="s">
        <v>2012</v>
      </c>
      <c r="E24" s="421"/>
      <c r="F24" s="299">
        <v>-3180000</v>
      </c>
    </row>
    <row r="25" spans="1:6" ht="15" x14ac:dyDescent="0.3">
      <c r="A25" s="6">
        <v>45791</v>
      </c>
      <c r="B25" s="9" t="s">
        <v>2009</v>
      </c>
      <c r="C25" s="11" t="s">
        <v>1976</v>
      </c>
      <c r="D25" s="26" t="s">
        <v>2013</v>
      </c>
      <c r="E25" s="421"/>
      <c r="F25" s="299">
        <v>2900</v>
      </c>
    </row>
    <row r="26" spans="1:6" ht="15" x14ac:dyDescent="0.3">
      <c r="A26" s="6">
        <v>45798</v>
      </c>
      <c r="B26" s="9" t="s">
        <v>2022</v>
      </c>
      <c r="C26" s="31" t="s">
        <v>2023</v>
      </c>
      <c r="D26" s="48" t="s">
        <v>2024</v>
      </c>
      <c r="E26" s="433"/>
      <c r="F26" s="335">
        <v>15000000</v>
      </c>
    </row>
    <row r="27" spans="1:6" ht="15" x14ac:dyDescent="0.3">
      <c r="A27" s="6">
        <v>45812</v>
      </c>
      <c r="B27" s="9" t="s">
        <v>510</v>
      </c>
      <c r="C27" s="44" t="s">
        <v>2067</v>
      </c>
      <c r="D27" s="49" t="s">
        <v>2075</v>
      </c>
      <c r="E27" s="335"/>
      <c r="F27" s="335">
        <v>829000</v>
      </c>
    </row>
    <row r="28" spans="1:6" ht="15" x14ac:dyDescent="0.3">
      <c r="A28" s="6">
        <v>45812</v>
      </c>
      <c r="B28" s="9" t="s">
        <v>510</v>
      </c>
      <c r="C28" s="44" t="s">
        <v>2067</v>
      </c>
      <c r="D28" s="49" t="s">
        <v>1348</v>
      </c>
      <c r="E28" s="335"/>
      <c r="F28" s="335">
        <v>2500</v>
      </c>
    </row>
    <row r="29" spans="1:6" ht="15" x14ac:dyDescent="0.3">
      <c r="A29" s="6">
        <v>45819</v>
      </c>
      <c r="B29" s="9" t="s">
        <v>2029</v>
      </c>
      <c r="C29" s="7" t="s">
        <v>2067</v>
      </c>
      <c r="D29" s="48" t="s">
        <v>447</v>
      </c>
      <c r="E29" s="433"/>
      <c r="F29" s="335">
        <v>101000</v>
      </c>
    </row>
    <row r="30" spans="1:6" ht="15" x14ac:dyDescent="0.3">
      <c r="A30" s="6">
        <v>45819</v>
      </c>
      <c r="B30" s="9" t="s">
        <v>2029</v>
      </c>
      <c r="C30" s="7" t="s">
        <v>2067</v>
      </c>
      <c r="D30" s="48" t="s">
        <v>446</v>
      </c>
      <c r="E30" s="433"/>
      <c r="F30" s="335">
        <v>290251</v>
      </c>
    </row>
    <row r="31" spans="1:6" ht="15" x14ac:dyDescent="0.3">
      <c r="A31" s="6">
        <v>45819</v>
      </c>
      <c r="B31" s="9" t="s">
        <v>2029</v>
      </c>
      <c r="C31" s="7" t="s">
        <v>2067</v>
      </c>
      <c r="D31" s="48" t="s">
        <v>2030</v>
      </c>
      <c r="E31" s="433"/>
      <c r="F31" s="335">
        <v>20000</v>
      </c>
    </row>
    <row r="32" spans="1:6" ht="15" x14ac:dyDescent="0.3">
      <c r="A32" s="6">
        <v>45819</v>
      </c>
      <c r="B32" s="9" t="s">
        <v>2029</v>
      </c>
      <c r="C32" s="7" t="s">
        <v>2067</v>
      </c>
      <c r="D32" s="48" t="s">
        <v>2076</v>
      </c>
      <c r="E32" s="433"/>
      <c r="F32" s="335">
        <v>357808</v>
      </c>
    </row>
    <row r="33" spans="1:6" ht="15" x14ac:dyDescent="0.3">
      <c r="A33" s="6">
        <v>45825</v>
      </c>
      <c r="B33" s="9" t="s">
        <v>1786</v>
      </c>
      <c r="C33" s="31" t="s">
        <v>2067</v>
      </c>
      <c r="D33" s="46" t="s">
        <v>447</v>
      </c>
      <c r="E33" s="421"/>
      <c r="F33" s="299">
        <v>169500</v>
      </c>
    </row>
    <row r="34" spans="1:6" ht="15" x14ac:dyDescent="0.3">
      <c r="A34" s="6">
        <v>45825</v>
      </c>
      <c r="B34" s="9" t="s">
        <v>1786</v>
      </c>
      <c r="C34" s="31" t="s">
        <v>2067</v>
      </c>
      <c r="D34" s="46" t="s">
        <v>1787</v>
      </c>
      <c r="E34" s="421"/>
      <c r="F34" s="299">
        <v>88000</v>
      </c>
    </row>
    <row r="35" spans="1:6" ht="15" x14ac:dyDescent="0.3">
      <c r="A35" s="6">
        <v>45828</v>
      </c>
      <c r="B35" s="9" t="s">
        <v>1357</v>
      </c>
      <c r="C35" s="31" t="s">
        <v>2067</v>
      </c>
      <c r="D35" s="46" t="s">
        <v>2077</v>
      </c>
      <c r="E35" s="421"/>
      <c r="F35" s="299">
        <v>550000</v>
      </c>
    </row>
    <row r="36" spans="1:6" ht="15" x14ac:dyDescent="0.3">
      <c r="A36" s="6">
        <v>45833</v>
      </c>
      <c r="B36" s="9" t="s">
        <v>2052</v>
      </c>
      <c r="C36" s="92" t="s">
        <v>2067</v>
      </c>
      <c r="D36" s="93" t="s">
        <v>2078</v>
      </c>
      <c r="E36" s="421"/>
      <c r="F36" s="299">
        <v>86344000</v>
      </c>
    </row>
    <row r="37" spans="1:6" ht="15" x14ac:dyDescent="0.3">
      <c r="A37" s="6">
        <v>45833</v>
      </c>
      <c r="B37" s="9" t="s">
        <v>2052</v>
      </c>
      <c r="C37" s="92" t="s">
        <v>2067</v>
      </c>
      <c r="D37" s="93" t="s">
        <v>2079</v>
      </c>
      <c r="E37" s="421"/>
      <c r="F37" s="299">
        <v>949784</v>
      </c>
    </row>
    <row r="38" spans="1:6" ht="15" x14ac:dyDescent="0.3">
      <c r="A38" s="6">
        <v>45833</v>
      </c>
      <c r="B38" s="9" t="s">
        <v>2052</v>
      </c>
      <c r="C38" s="92" t="s">
        <v>2067</v>
      </c>
      <c r="D38" s="93" t="s">
        <v>2080</v>
      </c>
      <c r="E38" s="421"/>
      <c r="F38" s="299">
        <v>-1726880</v>
      </c>
    </row>
    <row r="39" spans="1:6" ht="15" x14ac:dyDescent="0.3">
      <c r="A39" s="6">
        <v>45833</v>
      </c>
      <c r="B39" s="9" t="s">
        <v>2060</v>
      </c>
      <c r="C39" s="31" t="s">
        <v>2067</v>
      </c>
      <c r="D39" s="93" t="s">
        <v>2081</v>
      </c>
      <c r="E39" s="421"/>
      <c r="F39" s="299">
        <v>2497000</v>
      </c>
    </row>
    <row r="40" spans="1:6" ht="15" x14ac:dyDescent="0.3">
      <c r="A40" s="6">
        <v>45833</v>
      </c>
      <c r="B40" s="9" t="s">
        <v>2060</v>
      </c>
      <c r="C40" s="31" t="s">
        <v>2067</v>
      </c>
      <c r="D40" s="93" t="s">
        <v>2082</v>
      </c>
      <c r="E40" s="421"/>
      <c r="F40" s="299">
        <v>2900</v>
      </c>
    </row>
    <row r="41" spans="1:6" ht="15" x14ac:dyDescent="0.3">
      <c r="A41" s="6">
        <v>45839</v>
      </c>
      <c r="B41" s="9" t="s">
        <v>2062</v>
      </c>
      <c r="C41" s="31" t="s">
        <v>2067</v>
      </c>
      <c r="D41" s="46" t="s">
        <v>2034</v>
      </c>
      <c r="E41" s="421"/>
      <c r="F41" s="299">
        <v>400000</v>
      </c>
    </row>
    <row r="42" spans="1:6" ht="15" x14ac:dyDescent="0.3">
      <c r="A42" s="6">
        <v>45839</v>
      </c>
      <c r="B42" s="9" t="s">
        <v>2062</v>
      </c>
      <c r="C42" s="31" t="s">
        <v>2067</v>
      </c>
      <c r="D42" s="46" t="s">
        <v>2083</v>
      </c>
      <c r="E42" s="421"/>
      <c r="F42" s="299">
        <v>63000</v>
      </c>
    </row>
    <row r="43" spans="1:6" ht="15" x14ac:dyDescent="0.3">
      <c r="A43" s="6">
        <v>45839</v>
      </c>
      <c r="B43" s="9" t="s">
        <v>2062</v>
      </c>
      <c r="C43" s="31" t="s">
        <v>2067</v>
      </c>
      <c r="D43" s="46" t="s">
        <v>2084</v>
      </c>
      <c r="E43" s="421"/>
      <c r="F43" s="299">
        <v>90038</v>
      </c>
    </row>
    <row r="44" spans="1:6" ht="15" x14ac:dyDescent="0.3">
      <c r="A44" s="32">
        <v>45842</v>
      </c>
      <c r="B44" s="9" t="s">
        <v>818</v>
      </c>
      <c r="C44" s="11" t="s">
        <v>2067</v>
      </c>
      <c r="D44" s="17" t="s">
        <v>2085</v>
      </c>
      <c r="E44" s="421"/>
      <c r="F44" s="299">
        <v>500000</v>
      </c>
    </row>
    <row r="45" spans="1:6" ht="15" x14ac:dyDescent="0.3">
      <c r="A45" s="96">
        <v>45849</v>
      </c>
      <c r="B45" s="38" t="s">
        <v>2292</v>
      </c>
      <c r="C45" s="97" t="s">
        <v>2067</v>
      </c>
      <c r="D45" s="188" t="s">
        <v>2293</v>
      </c>
      <c r="E45" s="483"/>
      <c r="F45" s="366">
        <v>1300000</v>
      </c>
    </row>
    <row r="46" spans="1:6" ht="15" x14ac:dyDescent="0.3">
      <c r="A46" s="105">
        <v>45849</v>
      </c>
      <c r="B46" s="11" t="s">
        <v>2292</v>
      </c>
      <c r="C46" s="11" t="s">
        <v>2067</v>
      </c>
      <c r="D46" s="256" t="s">
        <v>2294</v>
      </c>
      <c r="E46" s="370"/>
      <c r="F46" s="289">
        <v>2500</v>
      </c>
    </row>
    <row r="47" spans="1:6" ht="15" x14ac:dyDescent="0.3">
      <c r="A47" s="486">
        <v>45967</v>
      </c>
      <c r="B47" s="487" t="s">
        <v>5790</v>
      </c>
      <c r="C47" s="487" t="s">
        <v>2067</v>
      </c>
      <c r="D47" s="488" t="s">
        <v>5792</v>
      </c>
      <c r="E47" s="479"/>
      <c r="F47" s="480">
        <v>14390121</v>
      </c>
    </row>
  </sheetData>
  <autoFilter ref="A2:F2" xr:uid="{1C6EDF14-A66B-429E-A1E4-F8EADB16DC7C}"/>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41BF3-8760-434A-A409-BE72D1C4F685}">
  <dimension ref="A2:F40"/>
  <sheetViews>
    <sheetView workbookViewId="0">
      <pane xSplit="3" ySplit="2" topLeftCell="D24" activePane="bottomRight" state="frozen"/>
      <selection pane="topRight" activeCell="D1" sqref="D1"/>
      <selection pane="bottomLeft" activeCell="A3" sqref="A3"/>
      <selection pane="bottomRight" activeCell="D43" sqref="D43"/>
    </sheetView>
  </sheetViews>
  <sheetFormatPr defaultRowHeight="14.4" x14ac:dyDescent="0.3"/>
  <cols>
    <col min="1" max="3" width="13.88671875" style="83" customWidth="1"/>
    <col min="4" max="4" width="111" style="83" customWidth="1"/>
    <col min="5" max="6" width="18.88671875" style="468" customWidth="1"/>
    <col min="7" max="16384" width="8.88671875" style="83"/>
  </cols>
  <sheetData>
    <row r="2" spans="1:6" ht="15.6" x14ac:dyDescent="0.3">
      <c r="A2" s="1" t="s">
        <v>0</v>
      </c>
      <c r="B2" s="2" t="s">
        <v>1</v>
      </c>
      <c r="C2" s="2" t="s">
        <v>2</v>
      </c>
      <c r="D2" s="2" t="s">
        <v>3</v>
      </c>
      <c r="E2" s="412" t="s">
        <v>4</v>
      </c>
      <c r="F2" s="397" t="s">
        <v>5</v>
      </c>
    </row>
    <row r="3" spans="1:6" ht="15" x14ac:dyDescent="0.3">
      <c r="A3" s="52">
        <v>45842</v>
      </c>
      <c r="B3" s="59" t="s">
        <v>984</v>
      </c>
      <c r="C3" s="59" t="s">
        <v>2086</v>
      </c>
      <c r="D3" s="60" t="s">
        <v>985</v>
      </c>
      <c r="E3" s="482"/>
      <c r="F3" s="490">
        <v>106750000</v>
      </c>
    </row>
    <row r="4" spans="1:6" ht="15" x14ac:dyDescent="0.3">
      <c r="A4" s="6">
        <v>45743</v>
      </c>
      <c r="B4" s="9" t="s">
        <v>2087</v>
      </c>
      <c r="C4" s="11" t="s">
        <v>2086</v>
      </c>
      <c r="D4" s="17" t="s">
        <v>2088</v>
      </c>
      <c r="E4" s="289"/>
      <c r="F4" s="416">
        <v>21729500</v>
      </c>
    </row>
    <row r="5" spans="1:6" ht="15" x14ac:dyDescent="0.3">
      <c r="A5" s="6">
        <v>45743</v>
      </c>
      <c r="B5" s="9" t="s">
        <v>2087</v>
      </c>
      <c r="C5" s="11" t="s">
        <v>2086</v>
      </c>
      <c r="D5" s="17" t="s">
        <v>2089</v>
      </c>
      <c r="E5" s="289"/>
      <c r="F5" s="416">
        <v>417875</v>
      </c>
    </row>
    <row r="6" spans="1:6" ht="15" x14ac:dyDescent="0.3">
      <c r="A6" s="33">
        <v>45700</v>
      </c>
      <c r="B6" s="11" t="s">
        <v>1074</v>
      </c>
      <c r="C6" s="11" t="s">
        <v>2086</v>
      </c>
      <c r="D6" s="16" t="s">
        <v>2090</v>
      </c>
      <c r="E6" s="289"/>
      <c r="F6" s="416">
        <v>10000000</v>
      </c>
    </row>
    <row r="7" spans="1:6" ht="15" x14ac:dyDescent="0.3">
      <c r="A7" s="33">
        <v>45702</v>
      </c>
      <c r="B7" s="11" t="s">
        <v>2091</v>
      </c>
      <c r="C7" s="11" t="s">
        <v>2086</v>
      </c>
      <c r="D7" s="17" t="s">
        <v>2034</v>
      </c>
      <c r="E7" s="289"/>
      <c r="F7" s="416">
        <v>150000</v>
      </c>
    </row>
    <row r="8" spans="1:6" ht="15" x14ac:dyDescent="0.3">
      <c r="A8" s="33">
        <v>45702</v>
      </c>
      <c r="B8" s="11" t="s">
        <v>2091</v>
      </c>
      <c r="C8" s="11" t="s">
        <v>2086</v>
      </c>
      <c r="D8" s="12" t="s">
        <v>2092</v>
      </c>
      <c r="E8" s="289"/>
      <c r="F8" s="416">
        <v>54000</v>
      </c>
    </row>
    <row r="9" spans="1:6" ht="15" x14ac:dyDescent="0.3">
      <c r="A9" s="33">
        <v>45709</v>
      </c>
      <c r="B9" s="31" t="s">
        <v>1105</v>
      </c>
      <c r="C9" s="10" t="s">
        <v>2086</v>
      </c>
      <c r="D9" s="12" t="s">
        <v>1107</v>
      </c>
      <c r="E9" s="431"/>
      <c r="F9" s="285">
        <v>350000</v>
      </c>
    </row>
    <row r="10" spans="1:6" ht="15" x14ac:dyDescent="0.3">
      <c r="A10" s="33">
        <v>45709</v>
      </c>
      <c r="B10" s="31" t="s">
        <v>1105</v>
      </c>
      <c r="C10" s="10" t="s">
        <v>2086</v>
      </c>
      <c r="D10" s="12" t="s">
        <v>1106</v>
      </c>
      <c r="E10" s="431"/>
      <c r="F10" s="285">
        <v>203000</v>
      </c>
    </row>
    <row r="11" spans="1:6" ht="15" x14ac:dyDescent="0.3">
      <c r="A11" s="33">
        <v>45709</v>
      </c>
      <c r="B11" s="31" t="s">
        <v>1105</v>
      </c>
      <c r="C11" s="10" t="s">
        <v>2086</v>
      </c>
      <c r="D11" s="12" t="s">
        <v>2093</v>
      </c>
      <c r="E11" s="431"/>
      <c r="F11" s="285">
        <v>235500</v>
      </c>
    </row>
    <row r="12" spans="1:6" ht="15" x14ac:dyDescent="0.3">
      <c r="A12" s="33">
        <v>45709</v>
      </c>
      <c r="B12" s="31" t="s">
        <v>262</v>
      </c>
      <c r="C12" s="15" t="s">
        <v>2086</v>
      </c>
      <c r="D12" s="29" t="s">
        <v>2094</v>
      </c>
      <c r="E12" s="431"/>
      <c r="F12" s="285">
        <v>40000</v>
      </c>
    </row>
    <row r="13" spans="1:6" ht="15" x14ac:dyDescent="0.3">
      <c r="A13" s="33">
        <v>45716</v>
      </c>
      <c r="B13" s="31" t="s">
        <v>1835</v>
      </c>
      <c r="C13" s="35" t="s">
        <v>1836</v>
      </c>
      <c r="D13" s="40" t="s">
        <v>1837</v>
      </c>
      <c r="E13" s="431"/>
      <c r="F13" s="285">
        <v>5000000</v>
      </c>
    </row>
    <row r="14" spans="1:6" ht="15" x14ac:dyDescent="0.3">
      <c r="A14" s="33">
        <v>45728</v>
      </c>
      <c r="B14" s="31" t="s">
        <v>2095</v>
      </c>
      <c r="C14" s="10" t="s">
        <v>2086</v>
      </c>
      <c r="D14" s="12" t="s">
        <v>2096</v>
      </c>
      <c r="E14" s="431"/>
      <c r="F14" s="285">
        <v>144722900</v>
      </c>
    </row>
    <row r="15" spans="1:6" ht="15" x14ac:dyDescent="0.3">
      <c r="A15" s="33">
        <v>45728</v>
      </c>
      <c r="B15" s="31" t="s">
        <v>2095</v>
      </c>
      <c r="C15" s="10" t="s">
        <v>2086</v>
      </c>
      <c r="D15" s="12" t="s">
        <v>2097</v>
      </c>
      <c r="E15" s="431"/>
      <c r="F15" s="285">
        <v>15919519</v>
      </c>
    </row>
    <row r="16" spans="1:6" ht="15" x14ac:dyDescent="0.3">
      <c r="A16" s="33">
        <v>45728</v>
      </c>
      <c r="B16" s="31" t="s">
        <v>2095</v>
      </c>
      <c r="C16" s="10" t="s">
        <v>2086</v>
      </c>
      <c r="D16" s="12" t="s">
        <v>2098</v>
      </c>
      <c r="E16" s="431"/>
      <c r="F16" s="285">
        <v>2900</v>
      </c>
    </row>
    <row r="17" spans="1:6" ht="15" x14ac:dyDescent="0.3">
      <c r="A17" s="33">
        <v>45779</v>
      </c>
      <c r="B17" s="11" t="s">
        <v>415</v>
      </c>
      <c r="C17" s="11" t="s">
        <v>2086</v>
      </c>
      <c r="D17" s="17" t="s">
        <v>2099</v>
      </c>
      <c r="E17" s="370"/>
      <c r="F17" s="289">
        <v>1924000</v>
      </c>
    </row>
    <row r="18" spans="1:6" ht="15" x14ac:dyDescent="0.3">
      <c r="A18" s="33">
        <v>45779</v>
      </c>
      <c r="B18" s="11" t="s">
        <v>415</v>
      </c>
      <c r="C18" s="11" t="s">
        <v>2086</v>
      </c>
      <c r="D18" s="17" t="s">
        <v>2100</v>
      </c>
      <c r="E18" s="370"/>
      <c r="F18" s="289">
        <v>4442379</v>
      </c>
    </row>
    <row r="19" spans="1:6" ht="15" x14ac:dyDescent="0.3">
      <c r="A19" s="33">
        <v>45779</v>
      </c>
      <c r="B19" s="11" t="s">
        <v>415</v>
      </c>
      <c r="C19" s="11" t="s">
        <v>2086</v>
      </c>
      <c r="D19" s="17" t="s">
        <v>2101</v>
      </c>
      <c r="E19" s="370"/>
      <c r="F19" s="289">
        <v>1009625</v>
      </c>
    </row>
    <row r="20" spans="1:6" ht="15" x14ac:dyDescent="0.3">
      <c r="A20" s="6">
        <v>45826</v>
      </c>
      <c r="B20" s="9" t="s">
        <v>2102</v>
      </c>
      <c r="C20" s="44" t="s">
        <v>2086</v>
      </c>
      <c r="D20" s="26" t="s">
        <v>2103</v>
      </c>
      <c r="E20" s="421"/>
      <c r="F20" s="335">
        <v>4000000</v>
      </c>
    </row>
    <row r="21" spans="1:6" ht="15" x14ac:dyDescent="0.3">
      <c r="A21" s="6">
        <v>45826</v>
      </c>
      <c r="B21" s="9" t="s">
        <v>2102</v>
      </c>
      <c r="C21" s="44" t="s">
        <v>2086</v>
      </c>
      <c r="D21" s="26" t="s">
        <v>2104</v>
      </c>
      <c r="E21" s="421"/>
      <c r="F21" s="335">
        <v>440000</v>
      </c>
    </row>
    <row r="22" spans="1:6" ht="15" x14ac:dyDescent="0.3">
      <c r="A22" s="6">
        <v>45826</v>
      </c>
      <c r="B22" s="9" t="s">
        <v>2102</v>
      </c>
      <c r="C22" s="44" t="s">
        <v>2086</v>
      </c>
      <c r="D22" s="26" t="s">
        <v>2105</v>
      </c>
      <c r="E22" s="421"/>
      <c r="F22" s="335">
        <v>-80000</v>
      </c>
    </row>
    <row r="23" spans="1:6" ht="15" x14ac:dyDescent="0.3">
      <c r="A23" s="6">
        <v>45826</v>
      </c>
      <c r="B23" s="9" t="s">
        <v>2102</v>
      </c>
      <c r="C23" s="44" t="s">
        <v>2086</v>
      </c>
      <c r="D23" s="26" t="s">
        <v>2106</v>
      </c>
      <c r="E23" s="421"/>
      <c r="F23" s="335">
        <v>17500000</v>
      </c>
    </row>
    <row r="24" spans="1:6" ht="15" x14ac:dyDescent="0.3">
      <c r="A24" s="6">
        <v>45826</v>
      </c>
      <c r="B24" s="9" t="s">
        <v>2102</v>
      </c>
      <c r="C24" s="44" t="s">
        <v>2086</v>
      </c>
      <c r="D24" s="26" t="s">
        <v>2107</v>
      </c>
      <c r="E24" s="421"/>
      <c r="F24" s="335">
        <v>192500</v>
      </c>
    </row>
    <row r="25" spans="1:6" ht="15" x14ac:dyDescent="0.3">
      <c r="A25" s="6">
        <v>45826</v>
      </c>
      <c r="B25" s="9" t="s">
        <v>2102</v>
      </c>
      <c r="C25" s="44" t="s">
        <v>2086</v>
      </c>
      <c r="D25" s="26" t="s">
        <v>2108</v>
      </c>
      <c r="E25" s="421"/>
      <c r="F25" s="335">
        <v>-350000</v>
      </c>
    </row>
    <row r="26" spans="1:6" ht="15" x14ac:dyDescent="0.3">
      <c r="A26" s="6">
        <v>45826</v>
      </c>
      <c r="B26" s="9" t="s">
        <v>2102</v>
      </c>
      <c r="C26" s="44" t="s">
        <v>2086</v>
      </c>
      <c r="D26" s="26" t="s">
        <v>2109</v>
      </c>
      <c r="E26" s="421"/>
      <c r="F26" s="335">
        <v>215000</v>
      </c>
    </row>
    <row r="27" spans="1:6" ht="15" x14ac:dyDescent="0.3">
      <c r="A27" s="6">
        <v>45826</v>
      </c>
      <c r="B27" s="9" t="s">
        <v>2102</v>
      </c>
      <c r="C27" s="44" t="s">
        <v>2086</v>
      </c>
      <c r="D27" s="26" t="s">
        <v>2110</v>
      </c>
      <c r="E27" s="421"/>
      <c r="F27" s="335">
        <v>23650</v>
      </c>
    </row>
    <row r="28" spans="1:6" ht="15" x14ac:dyDescent="0.3">
      <c r="A28" s="6">
        <v>45826</v>
      </c>
      <c r="B28" s="9" t="s">
        <v>2102</v>
      </c>
      <c r="C28" s="44" t="s">
        <v>2086</v>
      </c>
      <c r="D28" s="26" t="s">
        <v>2111</v>
      </c>
      <c r="E28" s="421"/>
      <c r="F28" s="335">
        <v>-4300</v>
      </c>
    </row>
    <row r="29" spans="1:6" ht="15" x14ac:dyDescent="0.3">
      <c r="A29" s="6">
        <v>45826</v>
      </c>
      <c r="B29" s="9" t="s">
        <v>2102</v>
      </c>
      <c r="C29" s="44" t="s">
        <v>2086</v>
      </c>
      <c r="D29" s="26" t="s">
        <v>431</v>
      </c>
      <c r="E29" s="421"/>
      <c r="F29" s="335">
        <v>2900</v>
      </c>
    </row>
    <row r="30" spans="1:6" ht="15" x14ac:dyDescent="0.3">
      <c r="A30" s="6">
        <v>45842</v>
      </c>
      <c r="B30" s="9" t="s">
        <v>2112</v>
      </c>
      <c r="C30" s="31" t="s">
        <v>2086</v>
      </c>
      <c r="D30" s="46" t="s">
        <v>2113</v>
      </c>
      <c r="E30" s="421"/>
      <c r="F30" s="299">
        <v>103373500</v>
      </c>
    </row>
    <row r="31" spans="1:6" ht="15" x14ac:dyDescent="0.3">
      <c r="A31" s="6">
        <v>45842</v>
      </c>
      <c r="B31" s="9" t="s">
        <v>2112</v>
      </c>
      <c r="C31" s="31" t="s">
        <v>2086</v>
      </c>
      <c r="D31" s="46" t="s">
        <v>2114</v>
      </c>
      <c r="E31" s="421"/>
      <c r="F31" s="299">
        <v>11371085</v>
      </c>
    </row>
    <row r="32" spans="1:6" ht="15" x14ac:dyDescent="0.3">
      <c r="A32" s="32">
        <v>45842</v>
      </c>
      <c r="B32" s="9" t="s">
        <v>2112</v>
      </c>
      <c r="C32" s="11" t="s">
        <v>2086</v>
      </c>
      <c r="D32" s="26" t="s">
        <v>2115</v>
      </c>
      <c r="E32" s="421"/>
      <c r="F32" s="299">
        <v>2900</v>
      </c>
    </row>
    <row r="33" spans="1:6" ht="15" x14ac:dyDescent="0.3">
      <c r="A33" s="33">
        <v>45868</v>
      </c>
      <c r="B33" s="11" t="s">
        <v>4105</v>
      </c>
      <c r="C33" s="31" t="s">
        <v>2086</v>
      </c>
      <c r="D33" s="157" t="s">
        <v>4106</v>
      </c>
      <c r="E33" s="370"/>
      <c r="F33" s="289">
        <v>810000</v>
      </c>
    </row>
    <row r="34" spans="1:6" ht="15" x14ac:dyDescent="0.3">
      <c r="A34" s="105">
        <v>45868</v>
      </c>
      <c r="B34" s="11" t="s">
        <v>4105</v>
      </c>
      <c r="C34" s="11" t="s">
        <v>2086</v>
      </c>
      <c r="D34" s="197" t="s">
        <v>4107</v>
      </c>
      <c r="E34" s="370"/>
      <c r="F34" s="289">
        <v>2900</v>
      </c>
    </row>
    <row r="35" spans="1:6" ht="15" x14ac:dyDescent="0.3">
      <c r="A35" s="198">
        <v>45917</v>
      </c>
      <c r="B35" s="38" t="s">
        <v>4568</v>
      </c>
      <c r="C35" s="38" t="s">
        <v>2086</v>
      </c>
      <c r="D35" s="209" t="s">
        <v>4569</v>
      </c>
      <c r="E35" s="435"/>
      <c r="F35" s="366">
        <v>29510000</v>
      </c>
    </row>
    <row r="36" spans="1:6" ht="15" x14ac:dyDescent="0.3">
      <c r="A36" s="105">
        <v>45917</v>
      </c>
      <c r="B36" s="11" t="s">
        <v>4568</v>
      </c>
      <c r="C36" s="11" t="s">
        <v>2086</v>
      </c>
      <c r="D36" s="210" t="s">
        <v>4570</v>
      </c>
      <c r="E36" s="290"/>
      <c r="F36" s="289">
        <v>-737750</v>
      </c>
    </row>
    <row r="37" spans="1:6" ht="15" x14ac:dyDescent="0.3">
      <c r="A37" s="105">
        <v>45917</v>
      </c>
      <c r="B37" s="11" t="s">
        <v>4568</v>
      </c>
      <c r="C37" s="11" t="s">
        <v>2086</v>
      </c>
      <c r="D37" s="210" t="s">
        <v>4571</v>
      </c>
      <c r="E37" s="290"/>
      <c r="F37" s="289">
        <v>2900</v>
      </c>
    </row>
    <row r="38" spans="1:6" ht="15" x14ac:dyDescent="0.3">
      <c r="A38" s="238">
        <v>45958</v>
      </c>
      <c r="B38" s="239" t="s">
        <v>5091</v>
      </c>
      <c r="C38" s="239" t="s">
        <v>2086</v>
      </c>
      <c r="D38" s="240" t="s">
        <v>985</v>
      </c>
      <c r="E38" s="296"/>
      <c r="F38" s="287">
        <v>38125000</v>
      </c>
    </row>
    <row r="39" spans="1:6" ht="15" x14ac:dyDescent="0.3">
      <c r="A39" s="105">
        <v>45961</v>
      </c>
      <c r="B39" s="11" t="s">
        <v>5461</v>
      </c>
      <c r="C39" s="54" t="s">
        <v>2086</v>
      </c>
      <c r="D39" s="213" t="s">
        <v>5548</v>
      </c>
      <c r="E39" s="290"/>
      <c r="F39" s="289">
        <v>193000</v>
      </c>
    </row>
    <row r="40" spans="1:6" ht="15" x14ac:dyDescent="0.3">
      <c r="A40" s="177">
        <v>45961</v>
      </c>
      <c r="B40" s="50" t="s">
        <v>5461</v>
      </c>
      <c r="C40" s="257" t="s">
        <v>2086</v>
      </c>
      <c r="D40" s="255" t="s">
        <v>5549</v>
      </c>
      <c r="E40" s="376"/>
      <c r="F40" s="491">
        <v>42000</v>
      </c>
    </row>
  </sheetData>
  <autoFilter ref="A2:F32" xr:uid="{24A41BF3-8760-434A-A409-BE72D1C4F685}"/>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A045C-F519-41AF-9D3B-9AE0336E8E0F}">
  <dimension ref="A2:F109"/>
  <sheetViews>
    <sheetView workbookViewId="0">
      <pane xSplit="3" ySplit="2" topLeftCell="D96" activePane="bottomRight" state="frozen"/>
      <selection pane="topRight" activeCell="D1" sqref="D1"/>
      <selection pane="bottomLeft" activeCell="A3" sqref="A3"/>
      <selection pane="bottomRight" activeCell="D106" sqref="D106"/>
    </sheetView>
  </sheetViews>
  <sheetFormatPr defaultRowHeight="14.4" x14ac:dyDescent="0.3"/>
  <cols>
    <col min="1" max="3" width="13.88671875" style="83" customWidth="1"/>
    <col min="4" max="4" width="111" style="83" customWidth="1"/>
    <col min="5" max="6" width="18.88671875" style="468" customWidth="1"/>
    <col min="7" max="16384" width="8.88671875" style="83"/>
  </cols>
  <sheetData>
    <row r="2" spans="1:6" ht="15.6" x14ac:dyDescent="0.3">
      <c r="A2" s="1" t="s">
        <v>0</v>
      </c>
      <c r="B2" s="2" t="s">
        <v>1</v>
      </c>
      <c r="C2" s="2" t="s">
        <v>2</v>
      </c>
      <c r="D2" s="2" t="s">
        <v>3</v>
      </c>
      <c r="E2" s="412" t="s">
        <v>4</v>
      </c>
      <c r="F2" s="397" t="s">
        <v>5</v>
      </c>
    </row>
    <row r="3" spans="1:6" ht="15" x14ac:dyDescent="0.3">
      <c r="A3" s="3">
        <v>45736</v>
      </c>
      <c r="B3" s="4" t="s">
        <v>1508</v>
      </c>
      <c r="C3" s="4" t="s">
        <v>2116</v>
      </c>
      <c r="D3" s="73" t="s">
        <v>2117</v>
      </c>
      <c r="E3" s="425"/>
      <c r="F3" s="427">
        <v>16875000</v>
      </c>
    </row>
    <row r="4" spans="1:6" ht="15" x14ac:dyDescent="0.3">
      <c r="A4" s="3">
        <v>45736</v>
      </c>
      <c r="B4" s="4" t="s">
        <v>1508</v>
      </c>
      <c r="C4" s="4" t="s">
        <v>2116</v>
      </c>
      <c r="D4" s="73" t="s">
        <v>2118</v>
      </c>
      <c r="E4" s="425"/>
      <c r="F4" s="427">
        <v>16875000</v>
      </c>
    </row>
    <row r="5" spans="1:6" ht="15" x14ac:dyDescent="0.3">
      <c r="A5" s="6">
        <v>45804</v>
      </c>
      <c r="B5" s="31" t="s">
        <v>212</v>
      </c>
      <c r="C5" s="7" t="s">
        <v>2116</v>
      </c>
      <c r="D5" s="8" t="s">
        <v>2119</v>
      </c>
      <c r="E5" s="415"/>
      <c r="F5" s="414">
        <v>150000</v>
      </c>
    </row>
    <row r="6" spans="1:6" ht="15" x14ac:dyDescent="0.3">
      <c r="A6" s="6">
        <v>45813</v>
      </c>
      <c r="B6" s="7" t="s">
        <v>2120</v>
      </c>
      <c r="C6" s="47" t="s">
        <v>2121</v>
      </c>
      <c r="D6" s="94" t="s">
        <v>2122</v>
      </c>
      <c r="E6" s="448"/>
      <c r="F6" s="285">
        <v>11033894</v>
      </c>
    </row>
    <row r="7" spans="1:6" ht="15" x14ac:dyDescent="0.3">
      <c r="A7" s="6">
        <v>45813</v>
      </c>
      <c r="B7" s="7" t="s">
        <v>2120</v>
      </c>
      <c r="C7" s="47" t="s">
        <v>2121</v>
      </c>
      <c r="D7" s="94" t="s">
        <v>2123</v>
      </c>
      <c r="E7" s="448"/>
      <c r="F7" s="285">
        <v>2507625</v>
      </c>
    </row>
    <row r="8" spans="1:6" ht="15" x14ac:dyDescent="0.3">
      <c r="A8" s="6">
        <v>45828</v>
      </c>
      <c r="B8" s="7" t="s">
        <v>982</v>
      </c>
      <c r="C8" s="44" t="s">
        <v>2116</v>
      </c>
      <c r="D8" s="26" t="s">
        <v>2124</v>
      </c>
      <c r="E8" s="415"/>
      <c r="F8" s="289">
        <v>1100000</v>
      </c>
    </row>
    <row r="9" spans="1:6" ht="15" x14ac:dyDescent="0.3">
      <c r="A9" s="6">
        <v>45828</v>
      </c>
      <c r="B9" s="7" t="s">
        <v>982</v>
      </c>
      <c r="C9" s="44" t="s">
        <v>2116</v>
      </c>
      <c r="D9" s="26" t="s">
        <v>2125</v>
      </c>
      <c r="E9" s="415"/>
      <c r="F9" s="289">
        <v>2500</v>
      </c>
    </row>
    <row r="10" spans="1:6" ht="15" x14ac:dyDescent="0.3">
      <c r="A10" s="6">
        <v>45828</v>
      </c>
      <c r="B10" s="7" t="s">
        <v>2126</v>
      </c>
      <c r="C10" s="7" t="s">
        <v>2116</v>
      </c>
      <c r="D10" s="8" t="s">
        <v>2127</v>
      </c>
      <c r="E10" s="413"/>
      <c r="F10" s="414">
        <v>32000000</v>
      </c>
    </row>
    <row r="11" spans="1:6" ht="15" x14ac:dyDescent="0.3">
      <c r="A11" s="6">
        <v>45828</v>
      </c>
      <c r="B11" s="7" t="s">
        <v>2126</v>
      </c>
      <c r="C11" s="7" t="s">
        <v>2116</v>
      </c>
      <c r="D11" s="8" t="s">
        <v>2128</v>
      </c>
      <c r="E11" s="413"/>
      <c r="F11" s="414">
        <v>2500</v>
      </c>
    </row>
    <row r="12" spans="1:6" ht="15" x14ac:dyDescent="0.3">
      <c r="A12" s="6">
        <v>45839</v>
      </c>
      <c r="B12" s="7" t="s">
        <v>2129</v>
      </c>
      <c r="C12" s="7" t="s">
        <v>2116</v>
      </c>
      <c r="D12" s="12" t="s">
        <v>2123</v>
      </c>
      <c r="E12" s="415"/>
      <c r="F12" s="414">
        <v>4625750</v>
      </c>
    </row>
    <row r="13" spans="1:6" ht="15" x14ac:dyDescent="0.3">
      <c r="A13" s="52">
        <v>45842</v>
      </c>
      <c r="B13" s="59" t="s">
        <v>984</v>
      </c>
      <c r="C13" s="59" t="s">
        <v>2116</v>
      </c>
      <c r="D13" s="60" t="s">
        <v>985</v>
      </c>
      <c r="E13" s="482"/>
      <c r="F13" s="490">
        <v>22500000</v>
      </c>
    </row>
    <row r="14" spans="1:6" ht="15" x14ac:dyDescent="0.3">
      <c r="A14" s="6">
        <v>45764</v>
      </c>
      <c r="B14" s="9" t="s">
        <v>23</v>
      </c>
      <c r="C14" s="11" t="s">
        <v>2116</v>
      </c>
      <c r="D14" s="51" t="s">
        <v>24</v>
      </c>
      <c r="E14" s="416"/>
      <c r="F14" s="416">
        <v>88000</v>
      </c>
    </row>
    <row r="15" spans="1:6" ht="15" x14ac:dyDescent="0.3">
      <c r="A15" s="33">
        <v>45735</v>
      </c>
      <c r="B15" s="31" t="s">
        <v>1845</v>
      </c>
      <c r="C15" s="20" t="s">
        <v>1846</v>
      </c>
      <c r="D15" s="12" t="s">
        <v>1847</v>
      </c>
      <c r="E15" s="431"/>
      <c r="F15" s="416">
        <v>300000000</v>
      </c>
    </row>
    <row r="16" spans="1:6" ht="15" x14ac:dyDescent="0.3">
      <c r="A16" s="33">
        <v>45735</v>
      </c>
      <c r="B16" s="31" t="s">
        <v>1845</v>
      </c>
      <c r="C16" s="20" t="s">
        <v>1846</v>
      </c>
      <c r="D16" s="12" t="s">
        <v>1848</v>
      </c>
      <c r="E16" s="431"/>
      <c r="F16" s="416">
        <v>2900</v>
      </c>
    </row>
    <row r="17" spans="1:6" ht="15" x14ac:dyDescent="0.3">
      <c r="A17" s="33">
        <v>45742</v>
      </c>
      <c r="B17" s="31" t="s">
        <v>1853</v>
      </c>
      <c r="C17" s="10" t="s">
        <v>1846</v>
      </c>
      <c r="D17" s="12" t="s">
        <v>1854</v>
      </c>
      <c r="E17" s="444"/>
      <c r="F17" s="285">
        <v>193500000</v>
      </c>
    </row>
    <row r="18" spans="1:6" ht="15" x14ac:dyDescent="0.3">
      <c r="A18" s="33">
        <v>45742</v>
      </c>
      <c r="B18" s="31" t="s">
        <v>1853</v>
      </c>
      <c r="C18" s="10" t="s">
        <v>1846</v>
      </c>
      <c r="D18" s="12" t="s">
        <v>1855</v>
      </c>
      <c r="E18" s="444"/>
      <c r="F18" s="285">
        <v>54285000</v>
      </c>
    </row>
    <row r="19" spans="1:6" ht="15" x14ac:dyDescent="0.3">
      <c r="A19" s="33">
        <v>45742</v>
      </c>
      <c r="B19" s="31" t="s">
        <v>1853</v>
      </c>
      <c r="C19" s="10" t="s">
        <v>1846</v>
      </c>
      <c r="D19" s="25" t="s">
        <v>1856</v>
      </c>
      <c r="E19" s="444"/>
      <c r="F19" s="285">
        <v>-13077750</v>
      </c>
    </row>
    <row r="20" spans="1:6" ht="15" x14ac:dyDescent="0.3">
      <c r="A20" s="33">
        <v>45742</v>
      </c>
      <c r="B20" s="31" t="s">
        <v>1853</v>
      </c>
      <c r="C20" s="10" t="s">
        <v>1846</v>
      </c>
      <c r="D20" s="12" t="s">
        <v>724</v>
      </c>
      <c r="E20" s="444"/>
      <c r="F20" s="285">
        <v>2900</v>
      </c>
    </row>
    <row r="21" spans="1:6" ht="15" x14ac:dyDescent="0.3">
      <c r="A21" s="6">
        <v>45756</v>
      </c>
      <c r="B21" s="7" t="s">
        <v>2130</v>
      </c>
      <c r="C21" s="19" t="s">
        <v>2116</v>
      </c>
      <c r="D21" s="42" t="s">
        <v>2131</v>
      </c>
      <c r="E21" s="494"/>
      <c r="F21" s="408">
        <v>2954000</v>
      </c>
    </row>
    <row r="22" spans="1:6" ht="15" x14ac:dyDescent="0.3">
      <c r="A22" s="6">
        <v>45756</v>
      </c>
      <c r="B22" s="7" t="s">
        <v>2130</v>
      </c>
      <c r="C22" s="19" t="s">
        <v>2116</v>
      </c>
      <c r="D22" s="42" t="s">
        <v>2132</v>
      </c>
      <c r="E22" s="495"/>
      <c r="F22" s="408">
        <v>1550825</v>
      </c>
    </row>
    <row r="23" spans="1:6" ht="15" x14ac:dyDescent="0.3">
      <c r="A23" s="6">
        <v>45757</v>
      </c>
      <c r="B23" s="9" t="s">
        <v>2133</v>
      </c>
      <c r="C23" s="19" t="s">
        <v>2116</v>
      </c>
      <c r="D23" s="42" t="s">
        <v>2134</v>
      </c>
      <c r="E23" s="445"/>
      <c r="F23" s="408">
        <v>33150000</v>
      </c>
    </row>
    <row r="24" spans="1:6" ht="15" x14ac:dyDescent="0.3">
      <c r="A24" s="6">
        <v>45763</v>
      </c>
      <c r="B24" s="9" t="s">
        <v>1858</v>
      </c>
      <c r="C24" s="9" t="s">
        <v>2135</v>
      </c>
      <c r="D24" s="95" t="s">
        <v>2136</v>
      </c>
      <c r="E24" s="335"/>
      <c r="F24" s="433">
        <v>2900</v>
      </c>
    </row>
    <row r="25" spans="1:6" ht="15" x14ac:dyDescent="0.3">
      <c r="A25" s="6">
        <v>45763</v>
      </c>
      <c r="B25" s="9" t="s">
        <v>312</v>
      </c>
      <c r="C25" s="9" t="s">
        <v>2116</v>
      </c>
      <c r="D25" s="30" t="s">
        <v>2137</v>
      </c>
      <c r="E25" s="433"/>
      <c r="F25" s="335">
        <v>714000</v>
      </c>
    </row>
    <row r="26" spans="1:6" ht="15" x14ac:dyDescent="0.3">
      <c r="A26" s="6">
        <v>45763</v>
      </c>
      <c r="B26" s="9" t="s">
        <v>312</v>
      </c>
      <c r="C26" s="9" t="s">
        <v>2116</v>
      </c>
      <c r="D26" s="30" t="s">
        <v>295</v>
      </c>
      <c r="E26" s="433"/>
      <c r="F26" s="335">
        <v>2500</v>
      </c>
    </row>
    <row r="27" spans="1:6" ht="15" x14ac:dyDescent="0.3">
      <c r="A27" s="6">
        <v>45764</v>
      </c>
      <c r="B27" s="9" t="s">
        <v>319</v>
      </c>
      <c r="C27" s="19" t="s">
        <v>2116</v>
      </c>
      <c r="D27" s="42" t="s">
        <v>2138</v>
      </c>
      <c r="E27" s="496"/>
      <c r="F27" s="335">
        <v>20000</v>
      </c>
    </row>
    <row r="28" spans="1:6" ht="15" x14ac:dyDescent="0.3">
      <c r="A28" s="6">
        <v>45764</v>
      </c>
      <c r="B28" s="9" t="s">
        <v>319</v>
      </c>
      <c r="C28" s="19" t="s">
        <v>2116</v>
      </c>
      <c r="D28" s="42" t="s">
        <v>2139</v>
      </c>
      <c r="E28" s="496"/>
      <c r="F28" s="335">
        <v>40000</v>
      </c>
    </row>
    <row r="29" spans="1:6" ht="15" x14ac:dyDescent="0.3">
      <c r="A29" s="6">
        <v>45775</v>
      </c>
      <c r="B29" s="9" t="s">
        <v>388</v>
      </c>
      <c r="C29" s="9" t="s">
        <v>2116</v>
      </c>
      <c r="D29" s="30" t="s">
        <v>2140</v>
      </c>
      <c r="E29" s="433"/>
      <c r="F29" s="335">
        <v>168500</v>
      </c>
    </row>
    <row r="30" spans="1:6" ht="15" x14ac:dyDescent="0.3">
      <c r="A30" s="6">
        <v>45790</v>
      </c>
      <c r="B30" s="9" t="s">
        <v>1269</v>
      </c>
      <c r="C30" s="11" t="s">
        <v>2116</v>
      </c>
      <c r="D30" s="26" t="s">
        <v>1270</v>
      </c>
      <c r="E30" s="421"/>
      <c r="F30" s="299">
        <v>49942</v>
      </c>
    </row>
    <row r="31" spans="1:6" ht="15" x14ac:dyDescent="0.3">
      <c r="A31" s="6">
        <v>45790</v>
      </c>
      <c r="B31" s="9" t="s">
        <v>1269</v>
      </c>
      <c r="C31" s="11" t="s">
        <v>2116</v>
      </c>
      <c r="D31" s="26" t="s">
        <v>1271</v>
      </c>
      <c r="E31" s="421"/>
      <c r="F31" s="299">
        <v>80500</v>
      </c>
    </row>
    <row r="32" spans="1:6" ht="15" x14ac:dyDescent="0.3">
      <c r="A32" s="6">
        <v>45793</v>
      </c>
      <c r="B32" s="9" t="s">
        <v>1887</v>
      </c>
      <c r="C32" s="31" t="s">
        <v>2116</v>
      </c>
      <c r="D32" s="46" t="s">
        <v>2141</v>
      </c>
      <c r="E32" s="421"/>
      <c r="F32" s="299">
        <v>3500000</v>
      </c>
    </row>
    <row r="33" spans="1:6" ht="15" x14ac:dyDescent="0.3">
      <c r="A33" s="6">
        <v>45805</v>
      </c>
      <c r="B33" s="9" t="s">
        <v>2142</v>
      </c>
      <c r="C33" s="31" t="s">
        <v>2143</v>
      </c>
      <c r="D33" s="48" t="s">
        <v>2144</v>
      </c>
      <c r="E33" s="433"/>
      <c r="F33" s="335">
        <v>77350000</v>
      </c>
    </row>
    <row r="34" spans="1:6" ht="15" x14ac:dyDescent="0.3">
      <c r="A34" s="6">
        <v>45805</v>
      </c>
      <c r="B34" s="9" t="s">
        <v>2142</v>
      </c>
      <c r="C34" s="31" t="s">
        <v>2143</v>
      </c>
      <c r="D34" s="48" t="s">
        <v>2145</v>
      </c>
      <c r="E34" s="433"/>
      <c r="F34" s="335">
        <v>8508500</v>
      </c>
    </row>
    <row r="35" spans="1:6" ht="15" x14ac:dyDescent="0.3">
      <c r="A35" s="6">
        <v>45805</v>
      </c>
      <c r="B35" s="9" t="s">
        <v>2142</v>
      </c>
      <c r="C35" s="31" t="s">
        <v>2143</v>
      </c>
      <c r="D35" s="48" t="s">
        <v>2146</v>
      </c>
      <c r="E35" s="433"/>
      <c r="F35" s="335">
        <v>2900</v>
      </c>
    </row>
    <row r="36" spans="1:6" ht="15" x14ac:dyDescent="0.3">
      <c r="A36" s="6">
        <v>45812</v>
      </c>
      <c r="B36" s="9" t="s">
        <v>1909</v>
      </c>
      <c r="C36" s="31" t="s">
        <v>2116</v>
      </c>
      <c r="D36" s="46" t="s">
        <v>2147</v>
      </c>
      <c r="E36" s="433"/>
      <c r="F36" s="335">
        <v>4000000</v>
      </c>
    </row>
    <row r="37" spans="1:6" ht="15" x14ac:dyDescent="0.3">
      <c r="A37" s="6">
        <v>45812</v>
      </c>
      <c r="B37" s="9" t="s">
        <v>1909</v>
      </c>
      <c r="C37" s="31" t="s">
        <v>2116</v>
      </c>
      <c r="D37" s="46" t="s">
        <v>2148</v>
      </c>
      <c r="E37" s="433"/>
      <c r="F37" s="335">
        <v>440000</v>
      </c>
    </row>
    <row r="38" spans="1:6" ht="15" x14ac:dyDescent="0.3">
      <c r="A38" s="6">
        <v>45812</v>
      </c>
      <c r="B38" s="9" t="s">
        <v>1909</v>
      </c>
      <c r="C38" s="31" t="s">
        <v>2116</v>
      </c>
      <c r="D38" s="46" t="s">
        <v>2149</v>
      </c>
      <c r="E38" s="433"/>
      <c r="F38" s="335">
        <v>-80000</v>
      </c>
    </row>
    <row r="39" spans="1:6" ht="15.6" x14ac:dyDescent="0.3">
      <c r="A39" s="6">
        <v>45812</v>
      </c>
      <c r="B39" s="9" t="s">
        <v>510</v>
      </c>
      <c r="C39" s="44" t="s">
        <v>2116</v>
      </c>
      <c r="D39" s="49" t="s">
        <v>2150</v>
      </c>
      <c r="E39" s="335"/>
      <c r="F39" s="335">
        <v>540000</v>
      </c>
    </row>
    <row r="40" spans="1:6" ht="15" x14ac:dyDescent="0.3">
      <c r="A40" s="6">
        <v>45812</v>
      </c>
      <c r="B40" s="9" t="s">
        <v>510</v>
      </c>
      <c r="C40" s="44" t="s">
        <v>2116</v>
      </c>
      <c r="D40" s="49" t="s">
        <v>1348</v>
      </c>
      <c r="E40" s="335"/>
      <c r="F40" s="335">
        <v>2500</v>
      </c>
    </row>
    <row r="41" spans="1:6" ht="15" x14ac:dyDescent="0.3">
      <c r="A41" s="6">
        <v>45812</v>
      </c>
      <c r="B41" s="9" t="s">
        <v>804</v>
      </c>
      <c r="C41" s="44" t="s">
        <v>2116</v>
      </c>
      <c r="D41" s="49" t="s">
        <v>2151</v>
      </c>
      <c r="E41" s="335"/>
      <c r="F41" s="335">
        <v>3838800</v>
      </c>
    </row>
    <row r="42" spans="1:6" ht="15" x14ac:dyDescent="0.3">
      <c r="A42" s="6">
        <v>45812</v>
      </c>
      <c r="B42" s="9" t="s">
        <v>804</v>
      </c>
      <c r="C42" s="44" t="s">
        <v>2116</v>
      </c>
      <c r="D42" s="49" t="s">
        <v>2152</v>
      </c>
      <c r="E42" s="335"/>
      <c r="F42" s="335">
        <v>2000000</v>
      </c>
    </row>
    <row r="43" spans="1:6" ht="15" x14ac:dyDescent="0.3">
      <c r="A43" s="6">
        <v>45812</v>
      </c>
      <c r="B43" s="9" t="s">
        <v>804</v>
      </c>
      <c r="C43" s="44" t="s">
        <v>2116</v>
      </c>
      <c r="D43" s="49" t="s">
        <v>1348</v>
      </c>
      <c r="E43" s="335"/>
      <c r="F43" s="335">
        <v>2500</v>
      </c>
    </row>
    <row r="44" spans="1:6" ht="15" x14ac:dyDescent="0.3">
      <c r="A44" s="6">
        <v>45821</v>
      </c>
      <c r="B44" s="9" t="s">
        <v>2153</v>
      </c>
      <c r="C44" s="7" t="s">
        <v>2116</v>
      </c>
      <c r="D44" s="48" t="s">
        <v>2154</v>
      </c>
      <c r="E44" s="433"/>
      <c r="F44" s="335">
        <v>7267500</v>
      </c>
    </row>
    <row r="45" spans="1:6" ht="15" x14ac:dyDescent="0.3">
      <c r="A45" s="6">
        <v>45825</v>
      </c>
      <c r="B45" s="9" t="s">
        <v>1349</v>
      </c>
      <c r="C45" s="31" t="s">
        <v>2116</v>
      </c>
      <c r="D45" s="46" t="s">
        <v>481</v>
      </c>
      <c r="E45" s="421"/>
      <c r="F45" s="299">
        <v>50000</v>
      </c>
    </row>
    <row r="46" spans="1:6" ht="15" x14ac:dyDescent="0.3">
      <c r="A46" s="6">
        <v>45825</v>
      </c>
      <c r="B46" s="9" t="s">
        <v>1349</v>
      </c>
      <c r="C46" s="31" t="s">
        <v>2116</v>
      </c>
      <c r="D46" s="46" t="s">
        <v>953</v>
      </c>
      <c r="E46" s="421"/>
      <c r="F46" s="299">
        <v>53000</v>
      </c>
    </row>
    <row r="47" spans="1:6" ht="15" x14ac:dyDescent="0.3">
      <c r="A47" s="6">
        <v>45825</v>
      </c>
      <c r="B47" s="9" t="s">
        <v>1349</v>
      </c>
      <c r="C47" s="31" t="s">
        <v>2116</v>
      </c>
      <c r="D47" s="46" t="s">
        <v>2155</v>
      </c>
      <c r="E47" s="421"/>
      <c r="F47" s="299">
        <v>10000</v>
      </c>
    </row>
    <row r="48" spans="1:6" ht="15" x14ac:dyDescent="0.3">
      <c r="A48" s="6">
        <v>45825</v>
      </c>
      <c r="B48" s="9" t="s">
        <v>2156</v>
      </c>
      <c r="C48" s="31" t="s">
        <v>2116</v>
      </c>
      <c r="D48" s="46" t="s">
        <v>2157</v>
      </c>
      <c r="E48" s="421"/>
      <c r="F48" s="299">
        <v>270000</v>
      </c>
    </row>
    <row r="49" spans="1:6" ht="15" x14ac:dyDescent="0.3">
      <c r="A49" s="6">
        <v>45825</v>
      </c>
      <c r="B49" s="9" t="s">
        <v>2156</v>
      </c>
      <c r="C49" s="31" t="s">
        <v>2116</v>
      </c>
      <c r="D49" s="46" t="s">
        <v>2158</v>
      </c>
      <c r="E49" s="421"/>
      <c r="F49" s="299">
        <v>2900</v>
      </c>
    </row>
    <row r="50" spans="1:6" ht="15" x14ac:dyDescent="0.3">
      <c r="A50" s="6">
        <v>45826</v>
      </c>
      <c r="B50" s="9" t="s">
        <v>1924</v>
      </c>
      <c r="C50" s="31" t="s">
        <v>2116</v>
      </c>
      <c r="D50" s="26" t="s">
        <v>2159</v>
      </c>
      <c r="E50" s="421"/>
      <c r="F50" s="299">
        <v>-18682500</v>
      </c>
    </row>
    <row r="51" spans="1:6" ht="15" x14ac:dyDescent="0.3">
      <c r="A51" s="6">
        <v>45826</v>
      </c>
      <c r="B51" s="9" t="s">
        <v>2160</v>
      </c>
      <c r="C51" s="44" t="s">
        <v>2116</v>
      </c>
      <c r="D51" s="26" t="s">
        <v>2161</v>
      </c>
      <c r="E51" s="421"/>
      <c r="F51" s="299">
        <v>110520000</v>
      </c>
    </row>
    <row r="52" spans="1:6" ht="15" x14ac:dyDescent="0.3">
      <c r="A52" s="6">
        <v>45833</v>
      </c>
      <c r="B52" s="9" t="s">
        <v>1927</v>
      </c>
      <c r="C52" s="31" t="s">
        <v>1846</v>
      </c>
      <c r="D52" s="46" t="s">
        <v>1925</v>
      </c>
      <c r="E52" s="421"/>
      <c r="F52" s="299">
        <v>250000000</v>
      </c>
    </row>
    <row r="53" spans="1:6" ht="15" x14ac:dyDescent="0.3">
      <c r="A53" s="6">
        <v>45833</v>
      </c>
      <c r="B53" s="9" t="s">
        <v>1927</v>
      </c>
      <c r="C53" s="31" t="s">
        <v>1846</v>
      </c>
      <c r="D53" s="46" t="s">
        <v>1278</v>
      </c>
      <c r="E53" s="421"/>
      <c r="F53" s="299">
        <v>2900</v>
      </c>
    </row>
    <row r="54" spans="1:6" ht="15" x14ac:dyDescent="0.3">
      <c r="A54" s="6">
        <v>45833</v>
      </c>
      <c r="B54" s="9" t="s">
        <v>1364</v>
      </c>
      <c r="C54" s="31" t="s">
        <v>2135</v>
      </c>
      <c r="D54" s="46" t="s">
        <v>2162</v>
      </c>
      <c r="E54" s="421"/>
      <c r="F54" s="299">
        <v>600000</v>
      </c>
    </row>
    <row r="55" spans="1:6" ht="15" x14ac:dyDescent="0.3">
      <c r="A55" s="6">
        <v>45839</v>
      </c>
      <c r="B55" s="9" t="s">
        <v>2163</v>
      </c>
      <c r="C55" s="31" t="s">
        <v>2116</v>
      </c>
      <c r="D55" s="46" t="s">
        <v>858</v>
      </c>
      <c r="E55" s="421"/>
      <c r="F55" s="299">
        <v>198000</v>
      </c>
    </row>
    <row r="56" spans="1:6" ht="15" x14ac:dyDescent="0.3">
      <c r="A56" s="6">
        <v>45840</v>
      </c>
      <c r="B56" s="9" t="s">
        <v>2164</v>
      </c>
      <c r="C56" s="31" t="s">
        <v>2116</v>
      </c>
      <c r="D56" s="46" t="s">
        <v>2165</v>
      </c>
      <c r="E56" s="300"/>
      <c r="F56" s="299">
        <v>13000000</v>
      </c>
    </row>
    <row r="57" spans="1:6" ht="15" x14ac:dyDescent="0.3">
      <c r="A57" s="6">
        <v>45840</v>
      </c>
      <c r="B57" s="9" t="s">
        <v>2164</v>
      </c>
      <c r="C57" s="31" t="s">
        <v>2116</v>
      </c>
      <c r="D57" s="46" t="s">
        <v>2166</v>
      </c>
      <c r="E57" s="300"/>
      <c r="F57" s="299">
        <v>1430000</v>
      </c>
    </row>
    <row r="58" spans="1:6" ht="15" x14ac:dyDescent="0.3">
      <c r="A58" s="6">
        <v>45840</v>
      </c>
      <c r="B58" s="9" t="s">
        <v>2164</v>
      </c>
      <c r="C58" s="31" t="s">
        <v>2116</v>
      </c>
      <c r="D58" s="46" t="s">
        <v>2167</v>
      </c>
      <c r="E58" s="300"/>
      <c r="F58" s="299">
        <v>2900</v>
      </c>
    </row>
    <row r="59" spans="1:6" ht="15" x14ac:dyDescent="0.3">
      <c r="A59" s="6">
        <v>45840</v>
      </c>
      <c r="B59" s="9" t="s">
        <v>1929</v>
      </c>
      <c r="C59" s="31" t="s">
        <v>1846</v>
      </c>
      <c r="D59" s="46" t="s">
        <v>1930</v>
      </c>
      <c r="E59" s="300"/>
      <c r="F59" s="299">
        <v>250000000</v>
      </c>
    </row>
    <row r="60" spans="1:6" ht="15" x14ac:dyDescent="0.3">
      <c r="A60" s="6">
        <v>45840</v>
      </c>
      <c r="B60" s="9" t="s">
        <v>1929</v>
      </c>
      <c r="C60" s="31" t="s">
        <v>1846</v>
      </c>
      <c r="D60" s="46" t="s">
        <v>1848</v>
      </c>
      <c r="E60" s="300"/>
      <c r="F60" s="299">
        <v>2900</v>
      </c>
    </row>
    <row r="61" spans="1:6" ht="15" x14ac:dyDescent="0.3">
      <c r="A61" s="6">
        <v>45840</v>
      </c>
      <c r="B61" s="9" t="s">
        <v>1931</v>
      </c>
      <c r="C61" s="31" t="s">
        <v>2116</v>
      </c>
      <c r="D61" s="46" t="s">
        <v>2168</v>
      </c>
      <c r="E61" s="300"/>
      <c r="F61" s="299">
        <v>537868.24</v>
      </c>
    </row>
    <row r="62" spans="1:6" ht="15" x14ac:dyDescent="0.3">
      <c r="A62" s="6">
        <v>45840</v>
      </c>
      <c r="B62" s="9" t="s">
        <v>1931</v>
      </c>
      <c r="C62" s="31" t="s">
        <v>1846</v>
      </c>
      <c r="D62" s="46" t="s">
        <v>1933</v>
      </c>
      <c r="E62" s="300"/>
      <c r="F62" s="299">
        <v>831710</v>
      </c>
    </row>
    <row r="63" spans="1:6" ht="15" x14ac:dyDescent="0.3">
      <c r="A63" s="32">
        <v>45840</v>
      </c>
      <c r="B63" s="9" t="s">
        <v>1931</v>
      </c>
      <c r="C63" s="11" t="s">
        <v>1846</v>
      </c>
      <c r="D63" s="26" t="s">
        <v>1934</v>
      </c>
      <c r="E63" s="300"/>
      <c r="F63" s="299">
        <v>-454880</v>
      </c>
    </row>
    <row r="64" spans="1:6" ht="15" x14ac:dyDescent="0.3">
      <c r="A64" s="33">
        <v>45849</v>
      </c>
      <c r="B64" s="11" t="s">
        <v>2295</v>
      </c>
      <c r="C64" s="229" t="s">
        <v>2296</v>
      </c>
      <c r="D64" s="244" t="s">
        <v>446</v>
      </c>
      <c r="E64" s="467"/>
      <c r="F64" s="289">
        <v>214934</v>
      </c>
    </row>
    <row r="65" spans="1:6" ht="15" x14ac:dyDescent="0.3">
      <c r="A65" s="33">
        <v>45849</v>
      </c>
      <c r="B65" s="11" t="s">
        <v>2295</v>
      </c>
      <c r="C65" s="229" t="s">
        <v>2296</v>
      </c>
      <c r="D65" s="244" t="s">
        <v>2297</v>
      </c>
      <c r="E65" s="467"/>
      <c r="F65" s="289">
        <v>103500</v>
      </c>
    </row>
    <row r="66" spans="1:6" ht="15" x14ac:dyDescent="0.3">
      <c r="A66" s="33">
        <v>45849</v>
      </c>
      <c r="B66" s="11" t="s">
        <v>2295</v>
      </c>
      <c r="C66" s="229" t="s">
        <v>2296</v>
      </c>
      <c r="D66" s="245" t="s">
        <v>2018</v>
      </c>
      <c r="E66" s="467"/>
      <c r="F66" s="289">
        <v>2900</v>
      </c>
    </row>
    <row r="67" spans="1:6" ht="15" x14ac:dyDescent="0.3">
      <c r="A67" s="105">
        <v>45861</v>
      </c>
      <c r="B67" s="11" t="s">
        <v>2298</v>
      </c>
      <c r="C67" s="130" t="s">
        <v>2116</v>
      </c>
      <c r="D67" s="246" t="s">
        <v>2299</v>
      </c>
      <c r="E67" s="467"/>
      <c r="F67" s="283">
        <v>3000000</v>
      </c>
    </row>
    <row r="68" spans="1:6" ht="15" x14ac:dyDescent="0.3">
      <c r="A68" s="105">
        <v>45884</v>
      </c>
      <c r="B68" s="11" t="s">
        <v>4095</v>
      </c>
      <c r="C68" s="130" t="s">
        <v>2116</v>
      </c>
      <c r="D68" s="247" t="s">
        <v>4108</v>
      </c>
      <c r="E68" s="467"/>
      <c r="F68" s="289">
        <v>465521</v>
      </c>
    </row>
    <row r="69" spans="1:6" ht="15" x14ac:dyDescent="0.3">
      <c r="A69" s="198">
        <v>45898</v>
      </c>
      <c r="B69" s="38" t="s">
        <v>4083</v>
      </c>
      <c r="C69" s="243" t="s">
        <v>2116</v>
      </c>
      <c r="D69" s="248" t="s">
        <v>4084</v>
      </c>
      <c r="E69" s="497">
        <v>2000000</v>
      </c>
      <c r="F69" s="366"/>
    </row>
    <row r="70" spans="1:6" ht="15" x14ac:dyDescent="0.3">
      <c r="A70" s="105">
        <v>45898</v>
      </c>
      <c r="B70" s="11" t="s">
        <v>4083</v>
      </c>
      <c r="C70" s="130" t="s">
        <v>2116</v>
      </c>
      <c r="D70" s="248" t="s">
        <v>4101</v>
      </c>
      <c r="E70" s="466"/>
      <c r="F70" s="289">
        <v>700000</v>
      </c>
    </row>
    <row r="71" spans="1:6" ht="15" x14ac:dyDescent="0.3">
      <c r="A71" s="105">
        <v>45898</v>
      </c>
      <c r="B71" s="11" t="s">
        <v>4083</v>
      </c>
      <c r="C71" s="130" t="s">
        <v>2116</v>
      </c>
      <c r="D71" s="248" t="s">
        <v>4100</v>
      </c>
      <c r="E71" s="466"/>
      <c r="F71" s="289">
        <v>252000</v>
      </c>
    </row>
    <row r="72" spans="1:6" ht="15" x14ac:dyDescent="0.3">
      <c r="A72" s="105">
        <v>45898</v>
      </c>
      <c r="B72" s="130" t="s">
        <v>4083</v>
      </c>
      <c r="C72" s="130" t="s">
        <v>2116</v>
      </c>
      <c r="D72" s="248" t="s">
        <v>4109</v>
      </c>
      <c r="E72" s="466"/>
      <c r="F72" s="289">
        <v>2000000</v>
      </c>
    </row>
    <row r="73" spans="1:6" ht="15" x14ac:dyDescent="0.3">
      <c r="A73" s="105">
        <v>45898</v>
      </c>
      <c r="B73" s="130" t="s">
        <v>4083</v>
      </c>
      <c r="C73" s="130" t="s">
        <v>2116</v>
      </c>
      <c r="D73" s="248" t="s">
        <v>4110</v>
      </c>
      <c r="E73" s="466"/>
      <c r="F73" s="289">
        <v>2000000</v>
      </c>
    </row>
    <row r="74" spans="1:6" ht="15" x14ac:dyDescent="0.3">
      <c r="A74" s="230">
        <v>45909</v>
      </c>
      <c r="B74" s="130" t="s">
        <v>4572</v>
      </c>
      <c r="C74" s="130" t="s">
        <v>2116</v>
      </c>
      <c r="D74" s="249" t="s">
        <v>4573</v>
      </c>
      <c r="E74" s="450"/>
      <c r="F74" s="289">
        <v>141000</v>
      </c>
    </row>
    <row r="75" spans="1:6" ht="15" x14ac:dyDescent="0.3">
      <c r="A75" s="230">
        <v>45909</v>
      </c>
      <c r="B75" s="130" t="s">
        <v>4572</v>
      </c>
      <c r="C75" s="130" t="s">
        <v>2116</v>
      </c>
      <c r="D75" s="249" t="s">
        <v>2231</v>
      </c>
      <c r="E75" s="450"/>
      <c r="F75" s="289">
        <v>4000</v>
      </c>
    </row>
    <row r="76" spans="1:6" ht="15" x14ac:dyDescent="0.3">
      <c r="A76" s="230">
        <v>45909</v>
      </c>
      <c r="B76" s="130" t="s">
        <v>4572</v>
      </c>
      <c r="C76" s="130" t="s">
        <v>2116</v>
      </c>
      <c r="D76" s="249" t="s">
        <v>1413</v>
      </c>
      <c r="E76" s="450"/>
      <c r="F76" s="289">
        <v>205720</v>
      </c>
    </row>
    <row r="77" spans="1:6" ht="15" x14ac:dyDescent="0.3">
      <c r="A77" s="230">
        <v>45909</v>
      </c>
      <c r="B77" s="130" t="s">
        <v>4572</v>
      </c>
      <c r="C77" s="130" t="s">
        <v>2116</v>
      </c>
      <c r="D77" s="249" t="s">
        <v>4574</v>
      </c>
      <c r="E77" s="450"/>
      <c r="F77" s="289">
        <v>90000</v>
      </c>
    </row>
    <row r="78" spans="1:6" ht="15" x14ac:dyDescent="0.3">
      <c r="A78" s="230">
        <v>45909</v>
      </c>
      <c r="B78" s="130" t="s">
        <v>4572</v>
      </c>
      <c r="C78" s="130" t="s">
        <v>2116</v>
      </c>
      <c r="D78" s="249" t="s">
        <v>4575</v>
      </c>
      <c r="E78" s="450"/>
      <c r="F78" s="289">
        <v>40000</v>
      </c>
    </row>
    <row r="79" spans="1:6" ht="15" x14ac:dyDescent="0.3">
      <c r="A79" s="241">
        <v>45958</v>
      </c>
      <c r="B79" s="242" t="s">
        <v>5091</v>
      </c>
      <c r="C79" s="242" t="s">
        <v>5092</v>
      </c>
      <c r="D79" s="250" t="s">
        <v>985</v>
      </c>
      <c r="E79" s="498"/>
      <c r="F79" s="449">
        <v>37500000</v>
      </c>
    </row>
    <row r="80" spans="1:6" ht="15" x14ac:dyDescent="0.3">
      <c r="A80" s="241">
        <v>45958</v>
      </c>
      <c r="B80" s="242" t="s">
        <v>5091</v>
      </c>
      <c r="C80" s="242" t="s">
        <v>2116</v>
      </c>
      <c r="D80" s="250" t="s">
        <v>985</v>
      </c>
      <c r="E80" s="498"/>
      <c r="F80" s="449">
        <v>15000000</v>
      </c>
    </row>
    <row r="81" spans="1:6" ht="15" x14ac:dyDescent="0.3">
      <c r="A81" s="230">
        <v>45966</v>
      </c>
      <c r="B81" s="130" t="s">
        <v>5550</v>
      </c>
      <c r="C81" s="130" t="s">
        <v>2116</v>
      </c>
      <c r="D81" s="234" t="s">
        <v>5551</v>
      </c>
      <c r="E81" s="450"/>
      <c r="F81" s="290">
        <v>18669289</v>
      </c>
    </row>
    <row r="82" spans="1:6" ht="15" x14ac:dyDescent="0.3">
      <c r="A82" s="230">
        <v>45966</v>
      </c>
      <c r="B82" s="130" t="s">
        <v>5550</v>
      </c>
      <c r="C82" s="130" t="s">
        <v>2135</v>
      </c>
      <c r="D82" s="234" t="s">
        <v>5552</v>
      </c>
      <c r="E82" s="450"/>
      <c r="F82" s="290">
        <v>4086500</v>
      </c>
    </row>
    <row r="83" spans="1:6" ht="15" x14ac:dyDescent="0.3">
      <c r="A83" s="230">
        <v>45966</v>
      </c>
      <c r="B83" s="130" t="s">
        <v>5550</v>
      </c>
      <c r="C83" s="130" t="s">
        <v>2135</v>
      </c>
      <c r="D83" s="234" t="s">
        <v>5553</v>
      </c>
      <c r="E83" s="450"/>
      <c r="F83" s="290">
        <v>-743000</v>
      </c>
    </row>
    <row r="84" spans="1:6" ht="15" x14ac:dyDescent="0.3">
      <c r="A84" s="230">
        <v>45966</v>
      </c>
      <c r="B84" s="130" t="s">
        <v>5550</v>
      </c>
      <c r="C84" s="130" t="s">
        <v>2116</v>
      </c>
      <c r="D84" s="234" t="s">
        <v>5554</v>
      </c>
      <c r="E84" s="450"/>
      <c r="F84" s="290">
        <v>6784264</v>
      </c>
    </row>
    <row r="85" spans="1:6" ht="15" x14ac:dyDescent="0.3">
      <c r="A85" s="230">
        <v>45966</v>
      </c>
      <c r="B85" s="130" t="s">
        <v>5550</v>
      </c>
      <c r="C85" s="130" t="s">
        <v>2135</v>
      </c>
      <c r="D85" s="234" t="s">
        <v>5555</v>
      </c>
      <c r="E85" s="450"/>
      <c r="F85" s="290">
        <v>148500</v>
      </c>
    </row>
    <row r="86" spans="1:6" ht="15" x14ac:dyDescent="0.3">
      <c r="A86" s="230">
        <v>45966</v>
      </c>
      <c r="B86" s="130" t="s">
        <v>5550</v>
      </c>
      <c r="C86" s="130" t="s">
        <v>2135</v>
      </c>
      <c r="D86" s="234" t="s">
        <v>5556</v>
      </c>
      <c r="E86" s="450"/>
      <c r="F86" s="290">
        <v>-270000</v>
      </c>
    </row>
    <row r="87" spans="1:6" ht="15" x14ac:dyDescent="0.3">
      <c r="A87" s="230">
        <v>45966</v>
      </c>
      <c r="B87" s="130" t="s">
        <v>5550</v>
      </c>
      <c r="C87" s="130" t="s">
        <v>2116</v>
      </c>
      <c r="D87" s="234" t="s">
        <v>5557</v>
      </c>
      <c r="E87" s="450"/>
      <c r="F87" s="290">
        <v>864868</v>
      </c>
    </row>
    <row r="88" spans="1:6" ht="15" x14ac:dyDescent="0.3">
      <c r="A88" s="230">
        <v>45966</v>
      </c>
      <c r="B88" s="130" t="s">
        <v>5550</v>
      </c>
      <c r="C88" s="130" t="s">
        <v>2135</v>
      </c>
      <c r="D88" s="234" t="s">
        <v>5558</v>
      </c>
      <c r="E88" s="450"/>
      <c r="F88" s="290">
        <v>-34420</v>
      </c>
    </row>
    <row r="89" spans="1:6" ht="15" x14ac:dyDescent="0.3">
      <c r="A89" s="230">
        <v>45966</v>
      </c>
      <c r="B89" s="130" t="s">
        <v>5550</v>
      </c>
      <c r="C89" s="130" t="s">
        <v>2116</v>
      </c>
      <c r="D89" s="234" t="s">
        <v>5559</v>
      </c>
      <c r="E89" s="450"/>
      <c r="F89" s="290">
        <v>62817</v>
      </c>
    </row>
    <row r="90" spans="1:6" ht="15" x14ac:dyDescent="0.3">
      <c r="A90" s="230">
        <v>45966</v>
      </c>
      <c r="B90" s="130" t="s">
        <v>5550</v>
      </c>
      <c r="C90" s="130" t="s">
        <v>2135</v>
      </c>
      <c r="D90" s="234" t="s">
        <v>5560</v>
      </c>
      <c r="E90" s="450"/>
      <c r="F90" s="290">
        <v>-2500</v>
      </c>
    </row>
    <row r="91" spans="1:6" ht="15" x14ac:dyDescent="0.3">
      <c r="A91" s="230">
        <v>45966</v>
      </c>
      <c r="B91" s="130" t="s">
        <v>5550</v>
      </c>
      <c r="C91" s="130" t="s">
        <v>2116</v>
      </c>
      <c r="D91" s="234" t="s">
        <v>5561</v>
      </c>
      <c r="E91" s="450"/>
      <c r="F91" s="290">
        <v>168350</v>
      </c>
    </row>
    <row r="92" spans="1:6" ht="15" x14ac:dyDescent="0.3">
      <c r="A92" s="230">
        <v>45966</v>
      </c>
      <c r="B92" s="130" t="s">
        <v>5550</v>
      </c>
      <c r="C92" s="130" t="s">
        <v>2135</v>
      </c>
      <c r="D92" s="234" t="s">
        <v>5562</v>
      </c>
      <c r="E92" s="450"/>
      <c r="F92" s="290">
        <v>36850</v>
      </c>
    </row>
    <row r="93" spans="1:6" ht="15" x14ac:dyDescent="0.3">
      <c r="A93" s="230">
        <v>45966</v>
      </c>
      <c r="B93" s="130" t="s">
        <v>5550</v>
      </c>
      <c r="C93" s="130" t="s">
        <v>2135</v>
      </c>
      <c r="D93" s="234" t="s">
        <v>5563</v>
      </c>
      <c r="E93" s="450"/>
      <c r="F93" s="290">
        <v>-6700</v>
      </c>
    </row>
    <row r="94" spans="1:6" ht="15" x14ac:dyDescent="0.3">
      <c r="A94" s="230">
        <v>45966</v>
      </c>
      <c r="B94" s="130" t="s">
        <v>5550</v>
      </c>
      <c r="C94" s="130" t="s">
        <v>2116</v>
      </c>
      <c r="D94" s="234" t="s">
        <v>5561</v>
      </c>
      <c r="E94" s="450"/>
      <c r="F94" s="290">
        <v>354289</v>
      </c>
    </row>
    <row r="95" spans="1:6" ht="15" x14ac:dyDescent="0.3">
      <c r="A95" s="230">
        <v>45966</v>
      </c>
      <c r="B95" s="130" t="s">
        <v>5550</v>
      </c>
      <c r="C95" s="130" t="s">
        <v>2135</v>
      </c>
      <c r="D95" s="234" t="s">
        <v>5564</v>
      </c>
      <c r="E95" s="450"/>
      <c r="F95" s="290">
        <v>77550</v>
      </c>
    </row>
    <row r="96" spans="1:6" ht="15" x14ac:dyDescent="0.3">
      <c r="A96" s="230">
        <v>45966</v>
      </c>
      <c r="B96" s="130" t="s">
        <v>5550</v>
      </c>
      <c r="C96" s="130" t="s">
        <v>2135</v>
      </c>
      <c r="D96" s="234" t="s">
        <v>5563</v>
      </c>
      <c r="E96" s="450"/>
      <c r="F96" s="290">
        <v>-14100</v>
      </c>
    </row>
    <row r="97" spans="1:6" ht="15" x14ac:dyDescent="0.3">
      <c r="A97" s="230">
        <v>45966</v>
      </c>
      <c r="B97" s="130" t="s">
        <v>5550</v>
      </c>
      <c r="C97" s="130" t="s">
        <v>2116</v>
      </c>
      <c r="D97" s="234" t="s">
        <v>5565</v>
      </c>
      <c r="E97" s="450"/>
      <c r="F97" s="290">
        <v>154794</v>
      </c>
    </row>
    <row r="98" spans="1:6" ht="15" x14ac:dyDescent="0.3">
      <c r="A98" s="230">
        <v>45966</v>
      </c>
      <c r="B98" s="130" t="s">
        <v>5550</v>
      </c>
      <c r="C98" s="130" t="s">
        <v>2135</v>
      </c>
      <c r="D98" s="234" t="s">
        <v>431</v>
      </c>
      <c r="E98" s="290"/>
      <c r="F98" s="290">
        <v>2900</v>
      </c>
    </row>
    <row r="99" spans="1:6" ht="15.6" x14ac:dyDescent="0.3">
      <c r="A99" s="230">
        <v>45966</v>
      </c>
      <c r="B99" s="130" t="s">
        <v>5539</v>
      </c>
      <c r="C99" s="233" t="s">
        <v>5540</v>
      </c>
      <c r="D99" s="258" t="s">
        <v>5541</v>
      </c>
      <c r="E99" s="311"/>
      <c r="F99" s="311">
        <v>211500000</v>
      </c>
    </row>
    <row r="100" spans="1:6" ht="15.6" x14ac:dyDescent="0.3">
      <c r="A100" s="230">
        <v>45966</v>
      </c>
      <c r="B100" s="130" t="s">
        <v>5539</v>
      </c>
      <c r="C100" s="233" t="s">
        <v>5540</v>
      </c>
      <c r="D100" s="258" t="s">
        <v>5542</v>
      </c>
      <c r="E100" s="311"/>
      <c r="F100" s="311">
        <v>23265000</v>
      </c>
    </row>
    <row r="101" spans="1:6" ht="15" x14ac:dyDescent="0.3">
      <c r="A101" s="230">
        <v>45966</v>
      </c>
      <c r="B101" s="130" t="s">
        <v>5539</v>
      </c>
      <c r="C101" s="130" t="s">
        <v>5540</v>
      </c>
      <c r="D101" s="28" t="s">
        <v>5543</v>
      </c>
      <c r="E101" s="290"/>
      <c r="F101" s="290">
        <v>-5604750</v>
      </c>
    </row>
    <row r="102" spans="1:6" ht="15.6" x14ac:dyDescent="0.3">
      <c r="A102" s="198">
        <v>46003</v>
      </c>
      <c r="B102" s="243" t="s">
        <v>5793</v>
      </c>
      <c r="C102" s="253" t="s">
        <v>2116</v>
      </c>
      <c r="D102" s="492" t="s">
        <v>5794</v>
      </c>
      <c r="E102" s="499"/>
      <c r="F102" s="500">
        <v>141525</v>
      </c>
    </row>
    <row r="103" spans="1:6" ht="15.6" x14ac:dyDescent="0.3">
      <c r="A103" s="105">
        <v>46003</v>
      </c>
      <c r="B103" s="112" t="s">
        <v>5793</v>
      </c>
      <c r="C103" s="253" t="s">
        <v>2116</v>
      </c>
      <c r="D103" s="258" t="s">
        <v>5795</v>
      </c>
      <c r="E103" s="501"/>
      <c r="F103" s="311">
        <v>97500</v>
      </c>
    </row>
    <row r="104" spans="1:6" ht="15.6" x14ac:dyDescent="0.3">
      <c r="A104" s="33">
        <v>46003</v>
      </c>
      <c r="B104" s="351" t="s">
        <v>5793</v>
      </c>
      <c r="C104" s="352" t="s">
        <v>2116</v>
      </c>
      <c r="D104" s="349" t="s">
        <v>5796</v>
      </c>
      <c r="E104" s="502"/>
      <c r="F104" s="350">
        <v>46000</v>
      </c>
    </row>
    <row r="105" spans="1:6" ht="15.6" x14ac:dyDescent="0.3">
      <c r="A105" s="105">
        <v>46008</v>
      </c>
      <c r="B105" s="112" t="s">
        <v>5749</v>
      </c>
      <c r="C105" s="11" t="s">
        <v>2116</v>
      </c>
      <c r="D105" s="28" t="s">
        <v>5797</v>
      </c>
      <c r="E105" s="503"/>
      <c r="F105" s="290">
        <v>1300000</v>
      </c>
    </row>
    <row r="106" spans="1:6" ht="15.6" x14ac:dyDescent="0.3">
      <c r="A106" s="105">
        <v>46008</v>
      </c>
      <c r="B106" s="112" t="s">
        <v>5749</v>
      </c>
      <c r="C106" s="11" t="s">
        <v>2116</v>
      </c>
      <c r="D106" s="28" t="s">
        <v>5798</v>
      </c>
      <c r="E106" s="503"/>
      <c r="F106" s="290">
        <v>-26000</v>
      </c>
    </row>
    <row r="107" spans="1:6" ht="15.6" x14ac:dyDescent="0.3">
      <c r="A107" s="588">
        <v>46022</v>
      </c>
      <c r="B107" s="589" t="s">
        <v>6183</v>
      </c>
      <c r="C107" s="577" t="s">
        <v>2116</v>
      </c>
      <c r="D107" s="580" t="s">
        <v>6184</v>
      </c>
      <c r="E107" s="632"/>
      <c r="F107" s="582">
        <v>20000</v>
      </c>
    </row>
    <row r="108" spans="1:6" ht="15.6" x14ac:dyDescent="0.3">
      <c r="A108" s="588">
        <v>46022</v>
      </c>
      <c r="B108" s="589" t="s">
        <v>6183</v>
      </c>
      <c r="C108" s="577" t="s">
        <v>2116</v>
      </c>
      <c r="D108" s="580" t="s">
        <v>6185</v>
      </c>
      <c r="E108" s="632"/>
      <c r="F108" s="582">
        <v>60500</v>
      </c>
    </row>
    <row r="109" spans="1:6" ht="15.6" x14ac:dyDescent="0.3">
      <c r="A109" s="596">
        <v>46022</v>
      </c>
      <c r="B109" s="598" t="s">
        <v>6183</v>
      </c>
      <c r="C109" s="599" t="s">
        <v>2116</v>
      </c>
      <c r="D109" s="584" t="s">
        <v>6186</v>
      </c>
      <c r="E109" s="633"/>
      <c r="F109" s="587">
        <v>48000</v>
      </c>
    </row>
  </sheetData>
  <autoFilter ref="A2:F63" xr:uid="{151A045C-F519-41AF-9D3B-9AE0336E8E0F}"/>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AEE9E-74C7-4772-89E5-0BB19469BE43}">
  <dimension ref="A2:F95"/>
  <sheetViews>
    <sheetView workbookViewId="0">
      <pane xSplit="3" ySplit="2" topLeftCell="D79" activePane="bottomRight" state="frozen"/>
      <selection pane="topRight" activeCell="D1" sqref="D1"/>
      <selection pane="bottomLeft" activeCell="A3" sqref="A3"/>
      <selection pane="bottomRight" activeCell="D97" sqref="D97"/>
    </sheetView>
  </sheetViews>
  <sheetFormatPr defaultRowHeight="14.4" x14ac:dyDescent="0.3"/>
  <cols>
    <col min="1" max="3" width="13.88671875" style="83" customWidth="1"/>
    <col min="4" max="4" width="111" style="83" customWidth="1"/>
    <col min="5" max="6" width="18.88671875" style="468" customWidth="1"/>
    <col min="7" max="16384" width="8.88671875" style="83"/>
  </cols>
  <sheetData>
    <row r="2" spans="1:6" ht="15.6" x14ac:dyDescent="0.3">
      <c r="A2" s="1" t="s">
        <v>0</v>
      </c>
      <c r="B2" s="2" t="s">
        <v>1</v>
      </c>
      <c r="C2" s="2" t="s">
        <v>2</v>
      </c>
      <c r="D2" s="2" t="s">
        <v>3</v>
      </c>
      <c r="E2" s="412" t="s">
        <v>4</v>
      </c>
      <c r="F2" s="397" t="s">
        <v>5</v>
      </c>
    </row>
    <row r="3" spans="1:6" ht="15" x14ac:dyDescent="0.3">
      <c r="A3" s="3">
        <v>45736</v>
      </c>
      <c r="B3" s="4" t="s">
        <v>1508</v>
      </c>
      <c r="C3" s="4" t="s">
        <v>2169</v>
      </c>
      <c r="D3" s="73" t="s">
        <v>2170</v>
      </c>
      <c r="E3" s="425"/>
      <c r="F3" s="427">
        <v>33750000</v>
      </c>
    </row>
    <row r="4" spans="1:6" ht="15" x14ac:dyDescent="0.3">
      <c r="A4" s="6">
        <v>45813</v>
      </c>
      <c r="B4" s="7" t="s">
        <v>2120</v>
      </c>
      <c r="C4" s="47" t="s">
        <v>2121</v>
      </c>
      <c r="D4" s="94" t="s">
        <v>2122</v>
      </c>
      <c r="E4" s="448"/>
      <c r="F4" s="285">
        <v>11033894</v>
      </c>
    </row>
    <row r="5" spans="1:6" ht="15" x14ac:dyDescent="0.3">
      <c r="A5" s="6">
        <v>45813</v>
      </c>
      <c r="B5" s="7" t="s">
        <v>2120</v>
      </c>
      <c r="C5" s="47" t="s">
        <v>2121</v>
      </c>
      <c r="D5" s="94" t="s">
        <v>2123</v>
      </c>
      <c r="E5" s="448"/>
      <c r="F5" s="285">
        <v>2507625</v>
      </c>
    </row>
    <row r="6" spans="1:6" ht="15" x14ac:dyDescent="0.3">
      <c r="A6" s="99">
        <v>45842</v>
      </c>
      <c r="B6" s="53" t="s">
        <v>984</v>
      </c>
      <c r="C6" s="53" t="s">
        <v>2169</v>
      </c>
      <c r="D6" s="100" t="s">
        <v>985</v>
      </c>
      <c r="E6" s="505"/>
      <c r="F6" s="407">
        <v>22500000</v>
      </c>
    </row>
    <row r="7" spans="1:6" ht="15" x14ac:dyDescent="0.3">
      <c r="A7" s="96">
        <v>45716</v>
      </c>
      <c r="B7" s="97" t="s">
        <v>1138</v>
      </c>
      <c r="C7" s="98" t="s">
        <v>2169</v>
      </c>
      <c r="D7" s="40" t="s">
        <v>2171</v>
      </c>
      <c r="E7" s="506"/>
      <c r="F7" s="417">
        <v>58000</v>
      </c>
    </row>
    <row r="8" spans="1:6" ht="15" x14ac:dyDescent="0.3">
      <c r="A8" s="33">
        <v>45735</v>
      </c>
      <c r="B8" s="31" t="s">
        <v>1845</v>
      </c>
      <c r="C8" s="20" t="s">
        <v>1846</v>
      </c>
      <c r="D8" s="12" t="s">
        <v>1847</v>
      </c>
      <c r="E8" s="431"/>
      <c r="F8" s="416">
        <v>300000000</v>
      </c>
    </row>
    <row r="9" spans="1:6" ht="15" x14ac:dyDescent="0.3">
      <c r="A9" s="33">
        <v>45735</v>
      </c>
      <c r="B9" s="31" t="s">
        <v>1845</v>
      </c>
      <c r="C9" s="20" t="s">
        <v>1846</v>
      </c>
      <c r="D9" s="12" t="s">
        <v>1848</v>
      </c>
      <c r="E9" s="431"/>
      <c r="F9" s="416">
        <v>2900</v>
      </c>
    </row>
    <row r="10" spans="1:6" ht="15" x14ac:dyDescent="0.3">
      <c r="A10" s="33">
        <v>45742</v>
      </c>
      <c r="B10" s="31" t="s">
        <v>1853</v>
      </c>
      <c r="C10" s="10" t="s">
        <v>1846</v>
      </c>
      <c r="D10" s="12" t="s">
        <v>1854</v>
      </c>
      <c r="E10" s="444"/>
      <c r="F10" s="285">
        <v>193500000</v>
      </c>
    </row>
    <row r="11" spans="1:6" ht="15" x14ac:dyDescent="0.3">
      <c r="A11" s="33">
        <v>45742</v>
      </c>
      <c r="B11" s="31" t="s">
        <v>1853</v>
      </c>
      <c r="C11" s="10" t="s">
        <v>1846</v>
      </c>
      <c r="D11" s="12" t="s">
        <v>1855</v>
      </c>
      <c r="E11" s="444"/>
      <c r="F11" s="285">
        <v>54285000</v>
      </c>
    </row>
    <row r="12" spans="1:6" ht="15" x14ac:dyDescent="0.3">
      <c r="A12" s="33">
        <v>45742</v>
      </c>
      <c r="B12" s="31" t="s">
        <v>1853</v>
      </c>
      <c r="C12" s="10" t="s">
        <v>1846</v>
      </c>
      <c r="D12" s="25" t="s">
        <v>1856</v>
      </c>
      <c r="E12" s="444"/>
      <c r="F12" s="285">
        <v>-13077750</v>
      </c>
    </row>
    <row r="13" spans="1:6" ht="15" x14ac:dyDescent="0.3">
      <c r="A13" s="33">
        <v>45742</v>
      </c>
      <c r="B13" s="31" t="s">
        <v>1853</v>
      </c>
      <c r="C13" s="10" t="s">
        <v>1846</v>
      </c>
      <c r="D13" s="12" t="s">
        <v>724</v>
      </c>
      <c r="E13" s="444"/>
      <c r="F13" s="285">
        <v>2900</v>
      </c>
    </row>
    <row r="14" spans="1:6" ht="15" x14ac:dyDescent="0.3">
      <c r="A14" s="6">
        <v>45756</v>
      </c>
      <c r="B14" s="7" t="s">
        <v>2130</v>
      </c>
      <c r="C14" s="19" t="s">
        <v>2169</v>
      </c>
      <c r="D14" s="42" t="s">
        <v>2172</v>
      </c>
      <c r="E14" s="494"/>
      <c r="F14" s="408">
        <v>6823706</v>
      </c>
    </row>
    <row r="15" spans="1:6" ht="15" x14ac:dyDescent="0.3">
      <c r="A15" s="6">
        <v>45757</v>
      </c>
      <c r="B15" s="9" t="s">
        <v>2133</v>
      </c>
      <c r="C15" s="19" t="s">
        <v>2169</v>
      </c>
      <c r="D15" s="42" t="s">
        <v>2173</v>
      </c>
      <c r="E15" s="445"/>
      <c r="F15" s="408">
        <v>3646500</v>
      </c>
    </row>
    <row r="16" spans="1:6" ht="15" x14ac:dyDescent="0.3">
      <c r="A16" s="6">
        <v>45757</v>
      </c>
      <c r="B16" s="9" t="s">
        <v>2133</v>
      </c>
      <c r="C16" s="19" t="s">
        <v>2169</v>
      </c>
      <c r="D16" s="42" t="s">
        <v>2174</v>
      </c>
      <c r="E16" s="445"/>
      <c r="F16" s="408">
        <v>-30000</v>
      </c>
    </row>
    <row r="17" spans="1:6" ht="15" x14ac:dyDescent="0.3">
      <c r="A17" s="6">
        <v>45757</v>
      </c>
      <c r="B17" s="9" t="s">
        <v>2133</v>
      </c>
      <c r="C17" s="19" t="s">
        <v>2169</v>
      </c>
      <c r="D17" s="42" t="s">
        <v>2146</v>
      </c>
      <c r="E17" s="445"/>
      <c r="F17" s="408">
        <v>2900</v>
      </c>
    </row>
    <row r="18" spans="1:6" ht="15" x14ac:dyDescent="0.3">
      <c r="A18" s="6">
        <v>45763</v>
      </c>
      <c r="B18" s="9" t="s">
        <v>1858</v>
      </c>
      <c r="C18" s="9" t="s">
        <v>2135</v>
      </c>
      <c r="D18" s="95" t="s">
        <v>2136</v>
      </c>
      <c r="E18" s="335"/>
      <c r="F18" s="433">
        <v>2900</v>
      </c>
    </row>
    <row r="19" spans="1:6" ht="15" x14ac:dyDescent="0.3">
      <c r="A19" s="6">
        <v>45793</v>
      </c>
      <c r="B19" s="9" t="s">
        <v>1887</v>
      </c>
      <c r="C19" s="31" t="s">
        <v>2169</v>
      </c>
      <c r="D19" s="46" t="s">
        <v>2141</v>
      </c>
      <c r="E19" s="421"/>
      <c r="F19" s="299">
        <v>3500000</v>
      </c>
    </row>
    <row r="20" spans="1:6" ht="15" x14ac:dyDescent="0.3">
      <c r="A20" s="6">
        <v>45805</v>
      </c>
      <c r="B20" s="9" t="s">
        <v>2142</v>
      </c>
      <c r="C20" s="31" t="s">
        <v>2143</v>
      </c>
      <c r="D20" s="48" t="s">
        <v>2144</v>
      </c>
      <c r="E20" s="433"/>
      <c r="F20" s="335">
        <v>77350000</v>
      </c>
    </row>
    <row r="21" spans="1:6" ht="15" x14ac:dyDescent="0.3">
      <c r="A21" s="6">
        <v>45805</v>
      </c>
      <c r="B21" s="9" t="s">
        <v>2142</v>
      </c>
      <c r="C21" s="31" t="s">
        <v>2143</v>
      </c>
      <c r="D21" s="48" t="s">
        <v>2145</v>
      </c>
      <c r="E21" s="433"/>
      <c r="F21" s="335">
        <v>8508500</v>
      </c>
    </row>
    <row r="22" spans="1:6" ht="15" x14ac:dyDescent="0.3">
      <c r="A22" s="6">
        <v>45805</v>
      </c>
      <c r="B22" s="9" t="s">
        <v>2142</v>
      </c>
      <c r="C22" s="31" t="s">
        <v>2143</v>
      </c>
      <c r="D22" s="48" t="s">
        <v>2146</v>
      </c>
      <c r="E22" s="433"/>
      <c r="F22" s="335">
        <v>2900</v>
      </c>
    </row>
    <row r="23" spans="1:6" ht="15" x14ac:dyDescent="0.3">
      <c r="A23" s="6">
        <v>45812</v>
      </c>
      <c r="B23" s="9" t="s">
        <v>1909</v>
      </c>
      <c r="C23" s="31" t="s">
        <v>2169</v>
      </c>
      <c r="D23" s="46" t="s">
        <v>2175</v>
      </c>
      <c r="E23" s="433"/>
      <c r="F23" s="335">
        <v>17500000</v>
      </c>
    </row>
    <row r="24" spans="1:6" ht="15" x14ac:dyDescent="0.3">
      <c r="A24" s="6">
        <v>45812</v>
      </c>
      <c r="B24" s="9" t="s">
        <v>1909</v>
      </c>
      <c r="C24" s="31" t="s">
        <v>2169</v>
      </c>
      <c r="D24" s="46" t="s">
        <v>2176</v>
      </c>
      <c r="E24" s="433"/>
      <c r="F24" s="335">
        <v>192500</v>
      </c>
    </row>
    <row r="25" spans="1:6" ht="15" x14ac:dyDescent="0.3">
      <c r="A25" s="6">
        <v>45812</v>
      </c>
      <c r="B25" s="9" t="s">
        <v>1909</v>
      </c>
      <c r="C25" s="31" t="s">
        <v>2169</v>
      </c>
      <c r="D25" s="46" t="s">
        <v>2177</v>
      </c>
      <c r="E25" s="433"/>
      <c r="F25" s="335">
        <v>-350000</v>
      </c>
    </row>
    <row r="26" spans="1:6" ht="15" x14ac:dyDescent="0.3">
      <c r="A26" s="6">
        <v>45812</v>
      </c>
      <c r="B26" s="9" t="s">
        <v>1909</v>
      </c>
      <c r="C26" s="31" t="s">
        <v>2169</v>
      </c>
      <c r="D26" s="46" t="s">
        <v>2178</v>
      </c>
      <c r="E26" s="433"/>
      <c r="F26" s="335">
        <v>215000</v>
      </c>
    </row>
    <row r="27" spans="1:6" ht="15" x14ac:dyDescent="0.3">
      <c r="A27" s="6">
        <v>45812</v>
      </c>
      <c r="B27" s="9" t="s">
        <v>1909</v>
      </c>
      <c r="C27" s="31" t="s">
        <v>2169</v>
      </c>
      <c r="D27" s="46" t="s">
        <v>2179</v>
      </c>
      <c r="E27" s="433"/>
      <c r="F27" s="335">
        <v>23650</v>
      </c>
    </row>
    <row r="28" spans="1:6" ht="15" x14ac:dyDescent="0.3">
      <c r="A28" s="6">
        <v>45812</v>
      </c>
      <c r="B28" s="9" t="s">
        <v>1909</v>
      </c>
      <c r="C28" s="31" t="s">
        <v>2169</v>
      </c>
      <c r="D28" s="46" t="s">
        <v>2180</v>
      </c>
      <c r="E28" s="433"/>
      <c r="F28" s="335">
        <v>-4300</v>
      </c>
    </row>
    <row r="29" spans="1:6" ht="15" x14ac:dyDescent="0.3">
      <c r="A29" s="6">
        <v>45821</v>
      </c>
      <c r="B29" s="9" t="s">
        <v>2153</v>
      </c>
      <c r="C29" s="7" t="s">
        <v>2169</v>
      </c>
      <c r="D29" s="48" t="s">
        <v>2154</v>
      </c>
      <c r="E29" s="433"/>
      <c r="F29" s="335">
        <v>7267500</v>
      </c>
    </row>
    <row r="30" spans="1:6" ht="15" x14ac:dyDescent="0.3">
      <c r="A30" s="6">
        <v>45821</v>
      </c>
      <c r="B30" s="9" t="s">
        <v>2153</v>
      </c>
      <c r="C30" s="7" t="s">
        <v>2169</v>
      </c>
      <c r="D30" s="48" t="s">
        <v>2181</v>
      </c>
      <c r="E30" s="433"/>
      <c r="F30" s="335">
        <v>2900</v>
      </c>
    </row>
    <row r="31" spans="1:6" ht="15" x14ac:dyDescent="0.3">
      <c r="A31" s="6">
        <v>45825</v>
      </c>
      <c r="B31" s="9" t="s">
        <v>1349</v>
      </c>
      <c r="C31" s="31" t="s">
        <v>2169</v>
      </c>
      <c r="D31" s="46" t="s">
        <v>2182</v>
      </c>
      <c r="E31" s="421"/>
      <c r="F31" s="299">
        <v>14000</v>
      </c>
    </row>
    <row r="32" spans="1:6" ht="15" x14ac:dyDescent="0.3">
      <c r="A32" s="6">
        <v>45825</v>
      </c>
      <c r="B32" s="9" t="s">
        <v>1349</v>
      </c>
      <c r="C32" s="31" t="s">
        <v>2169</v>
      </c>
      <c r="D32" s="46" t="s">
        <v>2183</v>
      </c>
      <c r="E32" s="421"/>
      <c r="F32" s="299">
        <v>102300</v>
      </c>
    </row>
    <row r="33" spans="1:6" ht="15" x14ac:dyDescent="0.3">
      <c r="A33" s="6">
        <v>45826</v>
      </c>
      <c r="B33" s="9" t="s">
        <v>1924</v>
      </c>
      <c r="C33" s="31" t="s">
        <v>2169</v>
      </c>
      <c r="D33" s="26" t="s">
        <v>1278</v>
      </c>
      <c r="E33" s="421"/>
      <c r="F33" s="299">
        <v>2900</v>
      </c>
    </row>
    <row r="34" spans="1:6" ht="15" x14ac:dyDescent="0.3">
      <c r="A34" s="6">
        <v>45826</v>
      </c>
      <c r="B34" s="9" t="s">
        <v>2160</v>
      </c>
      <c r="C34" s="44" t="s">
        <v>2169</v>
      </c>
      <c r="D34" s="26" t="s">
        <v>2184</v>
      </c>
      <c r="E34" s="421"/>
      <c r="F34" s="299">
        <v>12157200</v>
      </c>
    </row>
    <row r="35" spans="1:6" ht="15" x14ac:dyDescent="0.3">
      <c r="A35" s="6">
        <v>45826</v>
      </c>
      <c r="B35" s="9" t="s">
        <v>2160</v>
      </c>
      <c r="C35" s="44" t="s">
        <v>2169</v>
      </c>
      <c r="D35" s="26" t="s">
        <v>2082</v>
      </c>
      <c r="E35" s="421"/>
      <c r="F35" s="299">
        <v>2900</v>
      </c>
    </row>
    <row r="36" spans="1:6" ht="15" x14ac:dyDescent="0.3">
      <c r="A36" s="6">
        <v>45826</v>
      </c>
      <c r="B36" s="9" t="s">
        <v>2039</v>
      </c>
      <c r="C36" s="11" t="s">
        <v>2169</v>
      </c>
      <c r="D36" s="17" t="s">
        <v>2185</v>
      </c>
      <c r="E36" s="421"/>
      <c r="F36" s="299">
        <v>230500</v>
      </c>
    </row>
    <row r="37" spans="1:6" ht="15" x14ac:dyDescent="0.3">
      <c r="A37" s="6">
        <v>45826</v>
      </c>
      <c r="B37" s="9" t="s">
        <v>2039</v>
      </c>
      <c r="C37" s="11" t="s">
        <v>2169</v>
      </c>
      <c r="D37" s="28" t="s">
        <v>2041</v>
      </c>
      <c r="E37" s="421"/>
      <c r="F37" s="299">
        <v>2500</v>
      </c>
    </row>
    <row r="38" spans="1:6" ht="15" x14ac:dyDescent="0.3">
      <c r="A38" s="6">
        <v>45833</v>
      </c>
      <c r="B38" s="9" t="s">
        <v>1927</v>
      </c>
      <c r="C38" s="31" t="s">
        <v>1846</v>
      </c>
      <c r="D38" s="46" t="s">
        <v>1925</v>
      </c>
      <c r="E38" s="421"/>
      <c r="F38" s="299">
        <v>250000000</v>
      </c>
    </row>
    <row r="39" spans="1:6" ht="15" x14ac:dyDescent="0.3">
      <c r="A39" s="6">
        <v>45833</v>
      </c>
      <c r="B39" s="9" t="s">
        <v>1927</v>
      </c>
      <c r="C39" s="31" t="s">
        <v>1846</v>
      </c>
      <c r="D39" s="46" t="s">
        <v>1278</v>
      </c>
      <c r="E39" s="421"/>
      <c r="F39" s="299">
        <v>2900</v>
      </c>
    </row>
    <row r="40" spans="1:6" ht="15" x14ac:dyDescent="0.3">
      <c r="A40" s="6">
        <v>45833</v>
      </c>
      <c r="B40" s="9" t="s">
        <v>1364</v>
      </c>
      <c r="C40" s="31" t="s">
        <v>2135</v>
      </c>
      <c r="D40" s="46" t="s">
        <v>2162</v>
      </c>
      <c r="E40" s="421"/>
      <c r="F40" s="299">
        <v>600000</v>
      </c>
    </row>
    <row r="41" spans="1:6" ht="15" x14ac:dyDescent="0.3">
      <c r="A41" s="6">
        <v>45839</v>
      </c>
      <c r="B41" s="9" t="s">
        <v>1370</v>
      </c>
      <c r="C41" s="31" t="s">
        <v>2169</v>
      </c>
      <c r="D41" s="46" t="s">
        <v>481</v>
      </c>
      <c r="E41" s="421"/>
      <c r="F41" s="299">
        <v>300000</v>
      </c>
    </row>
    <row r="42" spans="1:6" ht="15" x14ac:dyDescent="0.3">
      <c r="A42" s="6">
        <v>45839</v>
      </c>
      <c r="B42" s="9" t="s">
        <v>1370</v>
      </c>
      <c r="C42" s="31" t="s">
        <v>2169</v>
      </c>
      <c r="D42" s="46" t="s">
        <v>953</v>
      </c>
      <c r="E42" s="421"/>
      <c r="F42" s="299">
        <v>176000</v>
      </c>
    </row>
    <row r="43" spans="1:6" ht="15" x14ac:dyDescent="0.3">
      <c r="A43" s="6">
        <v>45839</v>
      </c>
      <c r="B43" s="9" t="s">
        <v>1370</v>
      </c>
      <c r="C43" s="31" t="s">
        <v>2169</v>
      </c>
      <c r="D43" s="46" t="s">
        <v>2186</v>
      </c>
      <c r="E43" s="421"/>
      <c r="F43" s="299">
        <v>121000</v>
      </c>
    </row>
    <row r="44" spans="1:6" ht="15" x14ac:dyDescent="0.3">
      <c r="A44" s="6">
        <v>45839</v>
      </c>
      <c r="B44" s="9" t="s">
        <v>2187</v>
      </c>
      <c r="C44" s="44" t="s">
        <v>2169</v>
      </c>
      <c r="D44" s="26" t="s">
        <v>2188</v>
      </c>
      <c r="E44" s="421"/>
      <c r="F44" s="335">
        <v>282005</v>
      </c>
    </row>
    <row r="45" spans="1:6" ht="15" x14ac:dyDescent="0.3">
      <c r="A45" s="6">
        <v>45839</v>
      </c>
      <c r="B45" s="9" t="s">
        <v>2189</v>
      </c>
      <c r="C45" s="44" t="s">
        <v>2169</v>
      </c>
      <c r="D45" s="26" t="s">
        <v>2190</v>
      </c>
      <c r="E45" s="421"/>
      <c r="F45" s="335">
        <v>58561</v>
      </c>
    </row>
    <row r="46" spans="1:6" ht="15" x14ac:dyDescent="0.3">
      <c r="A46" s="6">
        <v>45839</v>
      </c>
      <c r="B46" s="9" t="s">
        <v>2189</v>
      </c>
      <c r="C46" s="44" t="s">
        <v>2169</v>
      </c>
      <c r="D46" s="26" t="s">
        <v>2191</v>
      </c>
      <c r="E46" s="421"/>
      <c r="F46" s="335">
        <v>300000</v>
      </c>
    </row>
    <row r="47" spans="1:6" ht="15" x14ac:dyDescent="0.3">
      <c r="A47" s="6">
        <v>45839</v>
      </c>
      <c r="B47" s="9" t="s">
        <v>2189</v>
      </c>
      <c r="C47" s="44" t="s">
        <v>2169</v>
      </c>
      <c r="D47" s="26" t="s">
        <v>2125</v>
      </c>
      <c r="E47" s="421"/>
      <c r="F47" s="335">
        <v>2500</v>
      </c>
    </row>
    <row r="48" spans="1:6" ht="15" x14ac:dyDescent="0.3">
      <c r="A48" s="6">
        <v>45840</v>
      </c>
      <c r="B48" s="9" t="s">
        <v>1929</v>
      </c>
      <c r="C48" s="31" t="s">
        <v>1846</v>
      </c>
      <c r="D48" s="46" t="s">
        <v>1930</v>
      </c>
      <c r="E48" s="421"/>
      <c r="F48" s="299">
        <v>250000000</v>
      </c>
    </row>
    <row r="49" spans="1:6" ht="15" x14ac:dyDescent="0.3">
      <c r="A49" s="6">
        <v>45840</v>
      </c>
      <c r="B49" s="9" t="s">
        <v>1929</v>
      </c>
      <c r="C49" s="31" t="s">
        <v>1846</v>
      </c>
      <c r="D49" s="46" t="s">
        <v>1848</v>
      </c>
      <c r="E49" s="421"/>
      <c r="F49" s="299">
        <v>2900</v>
      </c>
    </row>
    <row r="50" spans="1:6" ht="15" x14ac:dyDescent="0.3">
      <c r="A50" s="6">
        <v>45840</v>
      </c>
      <c r="B50" s="9" t="s">
        <v>1931</v>
      </c>
      <c r="C50" s="31" t="s">
        <v>2169</v>
      </c>
      <c r="D50" s="46" t="s">
        <v>2168</v>
      </c>
      <c r="E50" s="421"/>
      <c r="F50" s="299">
        <v>496493.76</v>
      </c>
    </row>
    <row r="51" spans="1:6" ht="15" x14ac:dyDescent="0.3">
      <c r="A51" s="6">
        <v>45840</v>
      </c>
      <c r="B51" s="9" t="s">
        <v>1931</v>
      </c>
      <c r="C51" s="31" t="s">
        <v>1846</v>
      </c>
      <c r="D51" s="46" t="s">
        <v>1933</v>
      </c>
      <c r="E51" s="421"/>
      <c r="F51" s="299">
        <v>831710</v>
      </c>
    </row>
    <row r="52" spans="1:6" ht="15" x14ac:dyDescent="0.3">
      <c r="A52" s="6">
        <v>45840</v>
      </c>
      <c r="B52" s="9" t="s">
        <v>1931</v>
      </c>
      <c r="C52" s="31" t="s">
        <v>1846</v>
      </c>
      <c r="D52" s="46" t="s">
        <v>1934</v>
      </c>
      <c r="E52" s="421"/>
      <c r="F52" s="299">
        <v>-454880</v>
      </c>
    </row>
    <row r="53" spans="1:6" ht="15" x14ac:dyDescent="0.3">
      <c r="A53" s="6">
        <v>45840</v>
      </c>
      <c r="B53" s="9" t="s">
        <v>1931</v>
      </c>
      <c r="C53" s="31" t="s">
        <v>2169</v>
      </c>
      <c r="D53" s="46" t="s">
        <v>2192</v>
      </c>
      <c r="E53" s="421"/>
      <c r="F53" s="299">
        <v>2900</v>
      </c>
    </row>
    <row r="54" spans="1:6" ht="15" x14ac:dyDescent="0.3">
      <c r="A54" s="6">
        <v>45842</v>
      </c>
      <c r="B54" s="9" t="s">
        <v>1371</v>
      </c>
      <c r="C54" s="31" t="s">
        <v>2169</v>
      </c>
      <c r="D54" s="46" t="s">
        <v>2193</v>
      </c>
      <c r="E54" s="421"/>
      <c r="F54" s="299">
        <v>280000</v>
      </c>
    </row>
    <row r="55" spans="1:6" ht="15" x14ac:dyDescent="0.3">
      <c r="A55" s="6">
        <v>45842</v>
      </c>
      <c r="B55" s="9" t="s">
        <v>1371</v>
      </c>
      <c r="C55" s="31" t="s">
        <v>2169</v>
      </c>
      <c r="D55" s="46" t="s">
        <v>953</v>
      </c>
      <c r="E55" s="421"/>
      <c r="F55" s="299">
        <v>212000</v>
      </c>
    </row>
    <row r="56" spans="1:6" ht="15" x14ac:dyDescent="0.3">
      <c r="A56" s="6">
        <v>45842</v>
      </c>
      <c r="B56" s="9" t="s">
        <v>1371</v>
      </c>
      <c r="C56" s="31" t="s">
        <v>2169</v>
      </c>
      <c r="D56" s="46" t="s">
        <v>2194</v>
      </c>
      <c r="E56" s="421"/>
      <c r="F56" s="299">
        <v>45000</v>
      </c>
    </row>
    <row r="57" spans="1:6" ht="15" x14ac:dyDescent="0.3">
      <c r="A57" s="32">
        <v>45842</v>
      </c>
      <c r="B57" s="9" t="s">
        <v>1371</v>
      </c>
      <c r="C57" s="11" t="s">
        <v>2169</v>
      </c>
      <c r="D57" s="26" t="s">
        <v>2195</v>
      </c>
      <c r="E57" s="421"/>
      <c r="F57" s="299">
        <v>35000</v>
      </c>
    </row>
    <row r="58" spans="1:6" ht="15" x14ac:dyDescent="0.3">
      <c r="A58" s="96">
        <v>45849</v>
      </c>
      <c r="B58" s="38" t="s">
        <v>2300</v>
      </c>
      <c r="C58" s="97" t="s">
        <v>2169</v>
      </c>
      <c r="D58" s="189" t="s">
        <v>2301</v>
      </c>
      <c r="E58" s="483"/>
      <c r="F58" s="507">
        <v>217500</v>
      </c>
    </row>
    <row r="59" spans="1:6" ht="15" x14ac:dyDescent="0.3">
      <c r="A59" s="105">
        <v>45859</v>
      </c>
      <c r="B59" s="11" t="s">
        <v>2232</v>
      </c>
      <c r="C59" s="190" t="s">
        <v>2169</v>
      </c>
      <c r="D59" s="187" t="s">
        <v>2302</v>
      </c>
      <c r="E59" s="370"/>
      <c r="F59" s="283">
        <v>2000000</v>
      </c>
    </row>
    <row r="60" spans="1:6" ht="15" x14ac:dyDescent="0.3">
      <c r="A60" s="96">
        <v>45861</v>
      </c>
      <c r="B60" s="38" t="s">
        <v>2303</v>
      </c>
      <c r="C60" s="21" t="s">
        <v>2169</v>
      </c>
      <c r="D60" s="184" t="s">
        <v>2304</v>
      </c>
      <c r="E60" s="483"/>
      <c r="F60" s="417">
        <v>356400</v>
      </c>
    </row>
    <row r="61" spans="1:6" ht="15" x14ac:dyDescent="0.3">
      <c r="A61" s="33">
        <v>45861</v>
      </c>
      <c r="B61" s="11" t="s">
        <v>2303</v>
      </c>
      <c r="C61" s="21" t="s">
        <v>2169</v>
      </c>
      <c r="D61" s="184" t="s">
        <v>2305</v>
      </c>
      <c r="E61" s="370"/>
      <c r="F61" s="417">
        <v>2500</v>
      </c>
    </row>
    <row r="62" spans="1:6" ht="15" x14ac:dyDescent="0.3">
      <c r="A62" s="33">
        <v>45861</v>
      </c>
      <c r="B62" s="11" t="s">
        <v>2298</v>
      </c>
      <c r="C62" s="31" t="s">
        <v>2169</v>
      </c>
      <c r="D62" s="184" t="s">
        <v>2299</v>
      </c>
      <c r="E62" s="370"/>
      <c r="F62" s="429">
        <v>3000000</v>
      </c>
    </row>
    <row r="63" spans="1:6" ht="15" x14ac:dyDescent="0.3">
      <c r="A63" s="105">
        <v>45861</v>
      </c>
      <c r="B63" s="11" t="s">
        <v>2298</v>
      </c>
      <c r="C63" s="11" t="s">
        <v>2306</v>
      </c>
      <c r="D63" s="51" t="s">
        <v>2307</v>
      </c>
      <c r="E63" s="370"/>
      <c r="F63" s="283">
        <v>990000</v>
      </c>
    </row>
    <row r="64" spans="1:6" ht="15" x14ac:dyDescent="0.3">
      <c r="A64" s="33">
        <v>45884</v>
      </c>
      <c r="B64" s="11" t="s">
        <v>4111</v>
      </c>
      <c r="C64" s="31" t="s">
        <v>2169</v>
      </c>
      <c r="D64" s="192" t="s">
        <v>4112</v>
      </c>
      <c r="E64" s="370"/>
      <c r="F64" s="289">
        <v>1000000</v>
      </c>
    </row>
    <row r="65" spans="1:6" ht="15" x14ac:dyDescent="0.3">
      <c r="A65" s="33">
        <v>45884</v>
      </c>
      <c r="B65" s="11" t="s">
        <v>4111</v>
      </c>
      <c r="C65" s="31" t="s">
        <v>2169</v>
      </c>
      <c r="D65" s="192" t="s">
        <v>210</v>
      </c>
      <c r="E65" s="370"/>
      <c r="F65" s="289">
        <v>2500</v>
      </c>
    </row>
    <row r="66" spans="1:6" ht="15" x14ac:dyDescent="0.3">
      <c r="A66" s="105">
        <v>45884</v>
      </c>
      <c r="B66" s="11" t="s">
        <v>4111</v>
      </c>
      <c r="C66" s="11" t="s">
        <v>2169</v>
      </c>
      <c r="D66" s="194" t="s">
        <v>4113</v>
      </c>
      <c r="E66" s="370"/>
      <c r="F66" s="289">
        <v>2000000</v>
      </c>
    </row>
    <row r="67" spans="1:6" ht="15" x14ac:dyDescent="0.3">
      <c r="A67" s="198">
        <v>45894</v>
      </c>
      <c r="B67" s="38" t="s">
        <v>4114</v>
      </c>
      <c r="C67" s="38" t="s">
        <v>2169</v>
      </c>
      <c r="D67" s="45" t="s">
        <v>4115</v>
      </c>
      <c r="E67" s="508">
        <v>294000000</v>
      </c>
      <c r="F67" s="289"/>
    </row>
    <row r="68" spans="1:6" ht="15" x14ac:dyDescent="0.3">
      <c r="A68" s="105">
        <v>45894</v>
      </c>
      <c r="B68" s="54" t="s">
        <v>4114</v>
      </c>
      <c r="C68" s="11" t="s">
        <v>2169</v>
      </c>
      <c r="D68" s="17" t="s">
        <v>4116</v>
      </c>
      <c r="E68" s="509">
        <v>32340000</v>
      </c>
      <c r="F68" s="289"/>
    </row>
    <row r="69" spans="1:6" ht="15" x14ac:dyDescent="0.3">
      <c r="A69" s="105">
        <v>45903</v>
      </c>
      <c r="B69" s="112" t="s">
        <v>4410</v>
      </c>
      <c r="C69" s="11" t="s">
        <v>2169</v>
      </c>
      <c r="D69" s="211" t="s">
        <v>4576</v>
      </c>
      <c r="E69" s="293"/>
      <c r="F69" s="289">
        <v>388000</v>
      </c>
    </row>
    <row r="70" spans="1:6" ht="15" x14ac:dyDescent="0.3">
      <c r="A70" s="105">
        <v>45903</v>
      </c>
      <c r="B70" s="112" t="s">
        <v>4410</v>
      </c>
      <c r="C70" s="11" t="s">
        <v>2169</v>
      </c>
      <c r="D70" s="211" t="s">
        <v>50</v>
      </c>
      <c r="E70" s="293"/>
      <c r="F70" s="289">
        <v>2500</v>
      </c>
    </row>
    <row r="71" spans="1:6" ht="15" x14ac:dyDescent="0.3">
      <c r="A71" s="61">
        <v>45958</v>
      </c>
      <c r="B71" s="251" t="s">
        <v>5091</v>
      </c>
      <c r="C71" s="62" t="s">
        <v>5092</v>
      </c>
      <c r="D71" s="160" t="s">
        <v>985</v>
      </c>
      <c r="E71" s="510"/>
      <c r="F71" s="449">
        <v>37500000</v>
      </c>
    </row>
    <row r="72" spans="1:6" ht="15" x14ac:dyDescent="0.3">
      <c r="A72" s="107">
        <v>45958</v>
      </c>
      <c r="B72" s="111" t="s">
        <v>5091</v>
      </c>
      <c r="C72" s="106" t="s">
        <v>2169</v>
      </c>
      <c r="D72" s="65" t="s">
        <v>985</v>
      </c>
      <c r="E72" s="286"/>
      <c r="F72" s="287">
        <v>15000000</v>
      </c>
    </row>
    <row r="73" spans="1:6" ht="15" x14ac:dyDescent="0.3">
      <c r="A73" s="105">
        <v>45966</v>
      </c>
      <c r="B73" s="112" t="s">
        <v>5550</v>
      </c>
      <c r="C73" s="11" t="s">
        <v>2169</v>
      </c>
      <c r="D73" s="28" t="s">
        <v>5551</v>
      </c>
      <c r="E73" s="293"/>
      <c r="F73" s="290">
        <v>18480711</v>
      </c>
    </row>
    <row r="74" spans="1:6" ht="15" x14ac:dyDescent="0.3">
      <c r="A74" s="105">
        <v>45966</v>
      </c>
      <c r="B74" s="112" t="s">
        <v>5550</v>
      </c>
      <c r="C74" s="11" t="s">
        <v>2135</v>
      </c>
      <c r="D74" s="28" t="s">
        <v>5552</v>
      </c>
      <c r="E74" s="293"/>
      <c r="F74" s="290">
        <v>4086500</v>
      </c>
    </row>
    <row r="75" spans="1:6" ht="15" x14ac:dyDescent="0.3">
      <c r="A75" s="105">
        <v>45966</v>
      </c>
      <c r="B75" s="112" t="s">
        <v>5550</v>
      </c>
      <c r="C75" s="11" t="s">
        <v>2135</v>
      </c>
      <c r="D75" s="28" t="s">
        <v>5553</v>
      </c>
      <c r="E75" s="293"/>
      <c r="F75" s="290">
        <v>-743000</v>
      </c>
    </row>
    <row r="76" spans="1:6" ht="15" x14ac:dyDescent="0.3">
      <c r="A76" s="105">
        <v>45966</v>
      </c>
      <c r="B76" s="112" t="s">
        <v>5550</v>
      </c>
      <c r="C76" s="11" t="s">
        <v>2169</v>
      </c>
      <c r="D76" s="28" t="s">
        <v>5554</v>
      </c>
      <c r="E76" s="293"/>
      <c r="F76" s="290">
        <v>6715736</v>
      </c>
    </row>
    <row r="77" spans="1:6" ht="15" x14ac:dyDescent="0.3">
      <c r="A77" s="105">
        <v>45966</v>
      </c>
      <c r="B77" s="112" t="s">
        <v>5550</v>
      </c>
      <c r="C77" s="11" t="s">
        <v>2135</v>
      </c>
      <c r="D77" s="28" t="s">
        <v>5555</v>
      </c>
      <c r="E77" s="293"/>
      <c r="F77" s="290">
        <v>148500</v>
      </c>
    </row>
    <row r="78" spans="1:6" ht="15" x14ac:dyDescent="0.3">
      <c r="A78" s="105">
        <v>45966</v>
      </c>
      <c r="B78" s="112" t="s">
        <v>5550</v>
      </c>
      <c r="C78" s="11" t="s">
        <v>2135</v>
      </c>
      <c r="D78" s="28" t="s">
        <v>5556</v>
      </c>
      <c r="E78" s="293"/>
      <c r="F78" s="290">
        <v>-270000</v>
      </c>
    </row>
    <row r="79" spans="1:6" ht="15" x14ac:dyDescent="0.3">
      <c r="A79" s="105">
        <v>45966</v>
      </c>
      <c r="B79" s="112" t="s">
        <v>5550</v>
      </c>
      <c r="C79" s="11" t="s">
        <v>2169</v>
      </c>
      <c r="D79" s="28" t="s">
        <v>5557</v>
      </c>
      <c r="E79" s="293"/>
      <c r="F79" s="290">
        <v>856132</v>
      </c>
    </row>
    <row r="80" spans="1:6" ht="15" x14ac:dyDescent="0.3">
      <c r="A80" s="105">
        <v>45966</v>
      </c>
      <c r="B80" s="112" t="s">
        <v>5550</v>
      </c>
      <c r="C80" s="11" t="s">
        <v>2135</v>
      </c>
      <c r="D80" s="28" t="s">
        <v>5558</v>
      </c>
      <c r="E80" s="293"/>
      <c r="F80" s="290">
        <v>-34420</v>
      </c>
    </row>
    <row r="81" spans="1:6" ht="15" x14ac:dyDescent="0.3">
      <c r="A81" s="105">
        <v>45966</v>
      </c>
      <c r="B81" s="112" t="s">
        <v>5550</v>
      </c>
      <c r="C81" s="11" t="s">
        <v>2169</v>
      </c>
      <c r="D81" s="28" t="s">
        <v>5559</v>
      </c>
      <c r="E81" s="293"/>
      <c r="F81" s="290">
        <v>62183</v>
      </c>
    </row>
    <row r="82" spans="1:6" ht="15" x14ac:dyDescent="0.3">
      <c r="A82" s="105">
        <v>45966</v>
      </c>
      <c r="B82" s="112" t="s">
        <v>5550</v>
      </c>
      <c r="C82" s="11" t="s">
        <v>2135</v>
      </c>
      <c r="D82" s="28" t="s">
        <v>5560</v>
      </c>
      <c r="E82" s="293"/>
      <c r="F82" s="290">
        <v>-2500</v>
      </c>
    </row>
    <row r="83" spans="1:6" ht="15" x14ac:dyDescent="0.3">
      <c r="A83" s="105">
        <v>45966</v>
      </c>
      <c r="B83" s="112" t="s">
        <v>5550</v>
      </c>
      <c r="C83" s="11" t="s">
        <v>2169</v>
      </c>
      <c r="D83" s="28" t="s">
        <v>5561</v>
      </c>
      <c r="E83" s="293"/>
      <c r="F83" s="290">
        <v>166650</v>
      </c>
    </row>
    <row r="84" spans="1:6" ht="15" x14ac:dyDescent="0.3">
      <c r="A84" s="105">
        <v>45966</v>
      </c>
      <c r="B84" s="112" t="s">
        <v>5550</v>
      </c>
      <c r="C84" s="11" t="s">
        <v>2135</v>
      </c>
      <c r="D84" s="28" t="s">
        <v>5562</v>
      </c>
      <c r="E84" s="293"/>
      <c r="F84" s="290">
        <v>36850</v>
      </c>
    </row>
    <row r="85" spans="1:6" ht="15" x14ac:dyDescent="0.3">
      <c r="A85" s="105">
        <v>45966</v>
      </c>
      <c r="B85" s="112" t="s">
        <v>5550</v>
      </c>
      <c r="C85" s="11" t="s">
        <v>2135</v>
      </c>
      <c r="D85" s="28" t="s">
        <v>5563</v>
      </c>
      <c r="E85" s="293"/>
      <c r="F85" s="290">
        <v>-6700</v>
      </c>
    </row>
    <row r="86" spans="1:6" ht="15" x14ac:dyDescent="0.3">
      <c r="A86" s="105">
        <v>45966</v>
      </c>
      <c r="B86" s="112" t="s">
        <v>5550</v>
      </c>
      <c r="C86" s="11" t="s">
        <v>2169</v>
      </c>
      <c r="D86" s="28" t="s">
        <v>5561</v>
      </c>
      <c r="E86" s="293"/>
      <c r="F86" s="290">
        <v>350711</v>
      </c>
    </row>
    <row r="87" spans="1:6" ht="15" x14ac:dyDescent="0.3">
      <c r="A87" s="105">
        <v>45966</v>
      </c>
      <c r="B87" s="112" t="s">
        <v>5550</v>
      </c>
      <c r="C87" s="11" t="s">
        <v>2135</v>
      </c>
      <c r="D87" s="28" t="s">
        <v>5564</v>
      </c>
      <c r="E87" s="293"/>
      <c r="F87" s="290">
        <v>77550</v>
      </c>
    </row>
    <row r="88" spans="1:6" ht="15" x14ac:dyDescent="0.3">
      <c r="A88" s="105">
        <v>45966</v>
      </c>
      <c r="B88" s="112" t="s">
        <v>5550</v>
      </c>
      <c r="C88" s="11" t="s">
        <v>2135</v>
      </c>
      <c r="D88" s="28" t="s">
        <v>5563</v>
      </c>
      <c r="E88" s="293"/>
      <c r="F88" s="290">
        <v>-14100</v>
      </c>
    </row>
    <row r="89" spans="1:6" ht="15" x14ac:dyDescent="0.3">
      <c r="A89" s="105">
        <v>45966</v>
      </c>
      <c r="B89" s="112" t="s">
        <v>5550</v>
      </c>
      <c r="C89" s="11" t="s">
        <v>2169</v>
      </c>
      <c r="D89" s="28" t="s">
        <v>5565</v>
      </c>
      <c r="E89" s="293"/>
      <c r="F89" s="290">
        <v>153231</v>
      </c>
    </row>
    <row r="90" spans="1:6" ht="15" x14ac:dyDescent="0.3">
      <c r="A90" s="105">
        <v>45966</v>
      </c>
      <c r="B90" s="112" t="s">
        <v>5550</v>
      </c>
      <c r="C90" s="11" t="s">
        <v>2135</v>
      </c>
      <c r="D90" s="28" t="s">
        <v>431</v>
      </c>
      <c r="E90" s="293"/>
      <c r="F90" s="290">
        <v>2900</v>
      </c>
    </row>
    <row r="91" spans="1:6" ht="15.6" x14ac:dyDescent="0.3">
      <c r="A91" s="105">
        <v>45966</v>
      </c>
      <c r="B91" s="112" t="s">
        <v>5539</v>
      </c>
      <c r="C91" s="253" t="s">
        <v>5540</v>
      </c>
      <c r="D91" s="258" t="s">
        <v>5541</v>
      </c>
      <c r="E91" s="310"/>
      <c r="F91" s="311">
        <v>211500000</v>
      </c>
    </row>
    <row r="92" spans="1:6" ht="15.6" x14ac:dyDescent="0.3">
      <c r="A92" s="105">
        <v>45966</v>
      </c>
      <c r="B92" s="112" t="s">
        <v>5539</v>
      </c>
      <c r="C92" s="253" t="s">
        <v>5540</v>
      </c>
      <c r="D92" s="258" t="s">
        <v>5542</v>
      </c>
      <c r="E92" s="310"/>
      <c r="F92" s="311">
        <v>23265000</v>
      </c>
    </row>
    <row r="93" spans="1:6" ht="15" x14ac:dyDescent="0.3">
      <c r="A93" s="105">
        <v>45966</v>
      </c>
      <c r="B93" s="112" t="s">
        <v>5539</v>
      </c>
      <c r="C93" s="11" t="s">
        <v>5540</v>
      </c>
      <c r="D93" s="28" t="s">
        <v>5543</v>
      </c>
      <c r="E93" s="293"/>
      <c r="F93" s="290">
        <v>-5604750</v>
      </c>
    </row>
    <row r="94" spans="1:6" ht="15" x14ac:dyDescent="0.3">
      <c r="A94" s="105">
        <v>45992</v>
      </c>
      <c r="B94" s="11" t="s">
        <v>5799</v>
      </c>
      <c r="C94" s="11" t="s">
        <v>2169</v>
      </c>
      <c r="D94" s="17" t="s">
        <v>2015</v>
      </c>
      <c r="E94" s="290"/>
      <c r="F94" s="290">
        <v>63000</v>
      </c>
    </row>
    <row r="95" spans="1:6" ht="15.6" x14ac:dyDescent="0.3">
      <c r="A95" s="177">
        <v>46001</v>
      </c>
      <c r="B95" s="50" t="s">
        <v>5800</v>
      </c>
      <c r="C95" s="269" t="s">
        <v>2169</v>
      </c>
      <c r="D95" s="504" t="s">
        <v>5801</v>
      </c>
      <c r="E95" s="511"/>
      <c r="F95" s="337">
        <v>-2855250</v>
      </c>
    </row>
  </sheetData>
  <autoFilter ref="A2:F57" xr:uid="{AEFAEE9E-74C7-4772-89E5-0BB19469BE43}"/>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95D78-F964-46B4-81CC-43DE3DDD9DF8}">
  <dimension ref="A2:F290"/>
  <sheetViews>
    <sheetView workbookViewId="0">
      <pane xSplit="3" ySplit="2" topLeftCell="D277" activePane="bottomRight" state="frozen"/>
      <selection pane="topRight" activeCell="D1" sqref="D1"/>
      <selection pane="bottomLeft" activeCell="A3" sqref="A3"/>
      <selection pane="bottomRight" activeCell="D293" sqref="D293"/>
    </sheetView>
  </sheetViews>
  <sheetFormatPr defaultRowHeight="14.4" x14ac:dyDescent="0.3"/>
  <cols>
    <col min="1" max="3" width="13.88671875" style="83" customWidth="1"/>
    <col min="4" max="4" width="111" style="83" customWidth="1"/>
    <col min="5" max="6" width="18.88671875" style="468" customWidth="1"/>
    <col min="7" max="16384" width="8.88671875" style="83"/>
  </cols>
  <sheetData>
    <row r="2" spans="1:6" ht="15.6" x14ac:dyDescent="0.3">
      <c r="A2" s="1" t="s">
        <v>0</v>
      </c>
      <c r="B2" s="2" t="s">
        <v>1</v>
      </c>
      <c r="C2" s="2" t="s">
        <v>2</v>
      </c>
      <c r="D2" s="2" t="s">
        <v>3</v>
      </c>
      <c r="E2" s="412" t="s">
        <v>4</v>
      </c>
      <c r="F2" s="397" t="s">
        <v>5</v>
      </c>
    </row>
    <row r="3" spans="1:6" ht="15" x14ac:dyDescent="0.3">
      <c r="A3" s="6">
        <v>45862</v>
      </c>
      <c r="B3" s="7" t="s">
        <v>2246</v>
      </c>
      <c r="C3" s="7" t="s">
        <v>2308</v>
      </c>
      <c r="D3" s="134" t="s">
        <v>2309</v>
      </c>
      <c r="E3" s="415"/>
      <c r="F3" s="414">
        <f>949000+2500</f>
        <v>951500</v>
      </c>
    </row>
    <row r="4" spans="1:6" ht="15" x14ac:dyDescent="0.3">
      <c r="A4" s="6">
        <v>45813</v>
      </c>
      <c r="B4" s="9" t="s">
        <v>2310</v>
      </c>
      <c r="C4" s="31" t="s">
        <v>2308</v>
      </c>
      <c r="D4" s="46" t="s">
        <v>2311</v>
      </c>
      <c r="E4" s="433"/>
      <c r="F4" s="289">
        <v>33250000</v>
      </c>
    </row>
    <row r="5" spans="1:6" ht="15" x14ac:dyDescent="0.3">
      <c r="A5" s="6">
        <v>45813</v>
      </c>
      <c r="B5" s="9" t="s">
        <v>2310</v>
      </c>
      <c r="C5" s="31" t="s">
        <v>2308</v>
      </c>
      <c r="D5" s="46" t="s">
        <v>2312</v>
      </c>
      <c r="E5" s="433"/>
      <c r="F5" s="289">
        <v>2900</v>
      </c>
    </row>
    <row r="6" spans="1:6" ht="15" x14ac:dyDescent="0.3">
      <c r="A6" s="6">
        <v>45819</v>
      </c>
      <c r="B6" s="9" t="s">
        <v>2313</v>
      </c>
      <c r="C6" s="7" t="s">
        <v>2308</v>
      </c>
      <c r="D6" s="43" t="s">
        <v>2314</v>
      </c>
      <c r="E6" s="433"/>
      <c r="F6" s="289">
        <v>7531000</v>
      </c>
    </row>
    <row r="7" spans="1:6" ht="15" x14ac:dyDescent="0.3">
      <c r="A7" s="6">
        <v>45819</v>
      </c>
      <c r="B7" s="9" t="s">
        <v>2313</v>
      </c>
      <c r="C7" s="7" t="s">
        <v>2308</v>
      </c>
      <c r="D7" s="43" t="s">
        <v>2315</v>
      </c>
      <c r="E7" s="433"/>
      <c r="F7" s="289">
        <v>2900</v>
      </c>
    </row>
    <row r="8" spans="1:6" ht="15" x14ac:dyDescent="0.3">
      <c r="A8" s="6">
        <v>45828</v>
      </c>
      <c r="B8" s="9" t="s">
        <v>532</v>
      </c>
      <c r="C8" s="31" t="s">
        <v>2308</v>
      </c>
      <c r="D8" s="46" t="s">
        <v>2316</v>
      </c>
      <c r="E8" s="421"/>
      <c r="F8" s="289">
        <v>60000</v>
      </c>
    </row>
    <row r="9" spans="1:6" ht="15" x14ac:dyDescent="0.3">
      <c r="A9" s="6">
        <v>45839</v>
      </c>
      <c r="B9" s="9" t="s">
        <v>1792</v>
      </c>
      <c r="C9" s="31" t="s">
        <v>2308</v>
      </c>
      <c r="D9" s="46" t="s">
        <v>2317</v>
      </c>
      <c r="E9" s="421"/>
      <c r="F9" s="289">
        <v>80000</v>
      </c>
    </row>
    <row r="10" spans="1:6" ht="15" x14ac:dyDescent="0.3">
      <c r="A10" s="6">
        <v>45842</v>
      </c>
      <c r="B10" s="9" t="s">
        <v>534</v>
      </c>
      <c r="C10" s="31" t="s">
        <v>2308</v>
      </c>
      <c r="D10" s="46" t="s">
        <v>2318</v>
      </c>
      <c r="E10" s="421"/>
      <c r="F10" s="289">
        <v>130800</v>
      </c>
    </row>
    <row r="11" spans="1:6" ht="15" x14ac:dyDescent="0.3">
      <c r="A11" s="6">
        <v>45842</v>
      </c>
      <c r="B11" s="9" t="s">
        <v>2319</v>
      </c>
      <c r="C11" s="31" t="s">
        <v>2308</v>
      </c>
      <c r="D11" s="46" t="s">
        <v>2320</v>
      </c>
      <c r="E11" s="421"/>
      <c r="F11" s="289">
        <v>8200000</v>
      </c>
    </row>
    <row r="12" spans="1:6" ht="15" x14ac:dyDescent="0.3">
      <c r="A12" s="6">
        <v>45842</v>
      </c>
      <c r="B12" s="9" t="s">
        <v>2319</v>
      </c>
      <c r="C12" s="31" t="s">
        <v>2308</v>
      </c>
      <c r="D12" s="46" t="s">
        <v>210</v>
      </c>
      <c r="E12" s="421"/>
      <c r="F12" s="289">
        <v>2500</v>
      </c>
    </row>
    <row r="13" spans="1:6" ht="15" x14ac:dyDescent="0.3">
      <c r="A13" s="6">
        <v>45842</v>
      </c>
      <c r="B13" s="9" t="s">
        <v>1795</v>
      </c>
      <c r="C13" s="31" t="s">
        <v>2308</v>
      </c>
      <c r="D13" s="46" t="s">
        <v>2321</v>
      </c>
      <c r="E13" s="421"/>
      <c r="F13" s="289">
        <v>503900</v>
      </c>
    </row>
    <row r="14" spans="1:6" ht="15" x14ac:dyDescent="0.3">
      <c r="A14" s="6">
        <v>45847</v>
      </c>
      <c r="B14" s="9" t="s">
        <v>2322</v>
      </c>
      <c r="C14" s="44" t="s">
        <v>2308</v>
      </c>
      <c r="D14" s="26" t="s">
        <v>2323</v>
      </c>
      <c r="E14" s="421"/>
      <c r="F14" s="289">
        <v>1789000</v>
      </c>
    </row>
    <row r="15" spans="1:6" ht="15" x14ac:dyDescent="0.3">
      <c r="A15" s="6">
        <v>45847</v>
      </c>
      <c r="B15" s="9" t="s">
        <v>2322</v>
      </c>
      <c r="C15" s="44" t="s">
        <v>2308</v>
      </c>
      <c r="D15" s="26" t="s">
        <v>2324</v>
      </c>
      <c r="E15" s="421"/>
      <c r="F15" s="289">
        <v>228000</v>
      </c>
    </row>
    <row r="16" spans="1:6" ht="15" x14ac:dyDescent="0.3">
      <c r="A16" s="6">
        <v>45847</v>
      </c>
      <c r="B16" s="9" t="s">
        <v>2325</v>
      </c>
      <c r="C16" s="44" t="s">
        <v>2308</v>
      </c>
      <c r="D16" s="26" t="s">
        <v>2326</v>
      </c>
      <c r="E16" s="421"/>
      <c r="F16" s="289">
        <v>1101000</v>
      </c>
    </row>
    <row r="17" spans="1:6" ht="15" x14ac:dyDescent="0.3">
      <c r="A17" s="6">
        <v>45847</v>
      </c>
      <c r="B17" s="9" t="s">
        <v>2325</v>
      </c>
      <c r="C17" s="44" t="s">
        <v>2308</v>
      </c>
      <c r="D17" s="26" t="s">
        <v>2327</v>
      </c>
      <c r="E17" s="421"/>
      <c r="F17" s="289">
        <v>1418000</v>
      </c>
    </row>
    <row r="18" spans="1:6" ht="15" x14ac:dyDescent="0.3">
      <c r="A18" s="6">
        <v>45847</v>
      </c>
      <c r="B18" s="9" t="s">
        <v>2328</v>
      </c>
      <c r="C18" s="31" t="s">
        <v>2308</v>
      </c>
      <c r="D18" s="46" t="s">
        <v>2329</v>
      </c>
      <c r="E18" s="421"/>
      <c r="F18" s="289">
        <v>1779500</v>
      </c>
    </row>
    <row r="19" spans="1:6" ht="15" x14ac:dyDescent="0.3">
      <c r="A19" s="6">
        <v>45847</v>
      </c>
      <c r="B19" s="9" t="s">
        <v>2330</v>
      </c>
      <c r="C19" s="31" t="s">
        <v>2308</v>
      </c>
      <c r="D19" s="46" t="s">
        <v>2331</v>
      </c>
      <c r="E19" s="421"/>
      <c r="F19" s="289">
        <v>207000</v>
      </c>
    </row>
    <row r="20" spans="1:6" ht="15" x14ac:dyDescent="0.3">
      <c r="A20" s="6">
        <v>45847</v>
      </c>
      <c r="B20" s="9" t="s">
        <v>2330</v>
      </c>
      <c r="C20" s="31" t="s">
        <v>2308</v>
      </c>
      <c r="D20" s="46" t="s">
        <v>210</v>
      </c>
      <c r="E20" s="421"/>
      <c r="F20" s="289">
        <v>2500</v>
      </c>
    </row>
    <row r="21" spans="1:6" ht="15" x14ac:dyDescent="0.3">
      <c r="A21" s="6">
        <v>45847</v>
      </c>
      <c r="B21" s="9" t="s">
        <v>2332</v>
      </c>
      <c r="C21" s="31" t="s">
        <v>2308</v>
      </c>
      <c r="D21" s="46" t="s">
        <v>2333</v>
      </c>
      <c r="E21" s="421"/>
      <c r="F21" s="289">
        <v>339300</v>
      </c>
    </row>
    <row r="22" spans="1:6" ht="15" x14ac:dyDescent="0.3">
      <c r="A22" s="6">
        <v>45847</v>
      </c>
      <c r="B22" s="9" t="s">
        <v>2332</v>
      </c>
      <c r="C22" s="31" t="s">
        <v>2308</v>
      </c>
      <c r="D22" s="46" t="s">
        <v>2334</v>
      </c>
      <c r="E22" s="421"/>
      <c r="F22" s="289">
        <v>65000</v>
      </c>
    </row>
    <row r="23" spans="1:6" ht="15" x14ac:dyDescent="0.3">
      <c r="A23" s="6">
        <v>45847</v>
      </c>
      <c r="B23" s="9" t="s">
        <v>2332</v>
      </c>
      <c r="C23" s="31" t="s">
        <v>2308</v>
      </c>
      <c r="D23" s="46" t="s">
        <v>2335</v>
      </c>
      <c r="E23" s="421"/>
      <c r="F23" s="289">
        <v>242000</v>
      </c>
    </row>
    <row r="24" spans="1:6" ht="15" x14ac:dyDescent="0.3">
      <c r="A24" s="6">
        <v>45849</v>
      </c>
      <c r="B24" s="9" t="s">
        <v>2292</v>
      </c>
      <c r="C24" s="31" t="s">
        <v>2308</v>
      </c>
      <c r="D24" s="46" t="s">
        <v>2336</v>
      </c>
      <c r="E24" s="421"/>
      <c r="F24" s="289">
        <v>207000</v>
      </c>
    </row>
    <row r="25" spans="1:6" ht="15" x14ac:dyDescent="0.3">
      <c r="A25" s="6">
        <v>45849</v>
      </c>
      <c r="B25" s="9" t="s">
        <v>2292</v>
      </c>
      <c r="C25" s="31" t="s">
        <v>2308</v>
      </c>
      <c r="D25" s="46" t="s">
        <v>2294</v>
      </c>
      <c r="E25" s="421"/>
      <c r="F25" s="289">
        <v>2500</v>
      </c>
    </row>
    <row r="26" spans="1:6" ht="15" x14ac:dyDescent="0.3">
      <c r="A26" s="6">
        <v>45849</v>
      </c>
      <c r="B26" s="9" t="s">
        <v>2337</v>
      </c>
      <c r="C26" s="31" t="s">
        <v>2308</v>
      </c>
      <c r="D26" s="12" t="s">
        <v>2338</v>
      </c>
      <c r="E26" s="421"/>
      <c r="F26" s="285">
        <v>303000</v>
      </c>
    </row>
    <row r="27" spans="1:6" ht="15" x14ac:dyDescent="0.3">
      <c r="A27" s="6">
        <v>45849</v>
      </c>
      <c r="B27" s="9" t="s">
        <v>2337</v>
      </c>
      <c r="C27" s="31" t="s">
        <v>2308</v>
      </c>
      <c r="D27" s="12" t="s">
        <v>2339</v>
      </c>
      <c r="E27" s="421"/>
      <c r="F27" s="285">
        <v>108000</v>
      </c>
    </row>
    <row r="28" spans="1:6" ht="15" x14ac:dyDescent="0.3">
      <c r="A28" s="6">
        <v>45849</v>
      </c>
      <c r="B28" s="9" t="s">
        <v>2248</v>
      </c>
      <c r="C28" s="31" t="s">
        <v>2308</v>
      </c>
      <c r="D28" s="12" t="s">
        <v>2340</v>
      </c>
      <c r="E28" s="421"/>
      <c r="F28" s="289">
        <v>411915</v>
      </c>
    </row>
    <row r="29" spans="1:6" ht="15" x14ac:dyDescent="0.3">
      <c r="A29" s="6">
        <v>45849</v>
      </c>
      <c r="B29" s="9" t="s">
        <v>2341</v>
      </c>
      <c r="C29" s="37" t="s">
        <v>2308</v>
      </c>
      <c r="D29" s="42" t="s">
        <v>2342</v>
      </c>
      <c r="E29" s="421"/>
      <c r="F29" s="285">
        <v>234000</v>
      </c>
    </row>
    <row r="30" spans="1:6" ht="15" x14ac:dyDescent="0.3">
      <c r="A30" s="6">
        <v>45849</v>
      </c>
      <c r="B30" s="9" t="s">
        <v>2341</v>
      </c>
      <c r="C30" s="10" t="s">
        <v>2308</v>
      </c>
      <c r="D30" s="12" t="s">
        <v>2343</v>
      </c>
      <c r="E30" s="421"/>
      <c r="F30" s="285">
        <v>70000</v>
      </c>
    </row>
    <row r="31" spans="1:6" ht="15" x14ac:dyDescent="0.3">
      <c r="A31" s="6">
        <v>45849</v>
      </c>
      <c r="B31" s="9" t="s">
        <v>2341</v>
      </c>
      <c r="C31" s="10" t="s">
        <v>2308</v>
      </c>
      <c r="D31" s="12" t="s">
        <v>2344</v>
      </c>
      <c r="E31" s="421"/>
      <c r="F31" s="285">
        <v>465300</v>
      </c>
    </row>
    <row r="32" spans="1:6" ht="15" x14ac:dyDescent="0.3">
      <c r="A32" s="6">
        <v>45854</v>
      </c>
      <c r="B32" s="9" t="s">
        <v>2345</v>
      </c>
      <c r="C32" s="31" t="s">
        <v>2346</v>
      </c>
      <c r="D32" s="46" t="s">
        <v>2347</v>
      </c>
      <c r="E32" s="421"/>
      <c r="F32" s="289">
        <v>73650000</v>
      </c>
    </row>
    <row r="33" spans="1:6" ht="15" x14ac:dyDescent="0.3">
      <c r="A33" s="6">
        <v>45854</v>
      </c>
      <c r="B33" s="9" t="s">
        <v>2345</v>
      </c>
      <c r="C33" s="31" t="s">
        <v>2346</v>
      </c>
      <c r="D33" s="46" t="s">
        <v>2348</v>
      </c>
      <c r="E33" s="421"/>
      <c r="F33" s="289">
        <v>2900</v>
      </c>
    </row>
    <row r="34" spans="1:6" ht="15" x14ac:dyDescent="0.3">
      <c r="A34" s="6">
        <v>45859</v>
      </c>
      <c r="B34" s="9" t="s">
        <v>2349</v>
      </c>
      <c r="C34" s="31" t="s">
        <v>2346</v>
      </c>
      <c r="D34" s="136" t="s">
        <v>2350</v>
      </c>
      <c r="E34" s="421"/>
      <c r="F34" s="289">
        <v>350000</v>
      </c>
    </row>
    <row r="35" spans="1:6" ht="15" x14ac:dyDescent="0.3">
      <c r="A35" s="6">
        <v>45859</v>
      </c>
      <c r="B35" s="9" t="s">
        <v>2349</v>
      </c>
      <c r="C35" s="31" t="s">
        <v>2346</v>
      </c>
      <c r="D35" s="136" t="s">
        <v>2351</v>
      </c>
      <c r="E35" s="421"/>
      <c r="F35" s="289">
        <v>50000</v>
      </c>
    </row>
    <row r="36" spans="1:6" ht="15" x14ac:dyDescent="0.3">
      <c r="A36" s="6">
        <v>45859</v>
      </c>
      <c r="B36" s="9" t="s">
        <v>2280</v>
      </c>
      <c r="C36" s="31" t="s">
        <v>2346</v>
      </c>
      <c r="D36" s="136" t="s">
        <v>2281</v>
      </c>
      <c r="E36" s="421"/>
      <c r="F36" s="289">
        <v>34000</v>
      </c>
    </row>
    <row r="37" spans="1:6" ht="15" x14ac:dyDescent="0.3">
      <c r="A37" s="6">
        <v>45859</v>
      </c>
      <c r="B37" s="9" t="s">
        <v>2197</v>
      </c>
      <c r="C37" s="10" t="s">
        <v>2308</v>
      </c>
      <c r="D37" s="12" t="s">
        <v>2352</v>
      </c>
      <c r="E37" s="421"/>
      <c r="F37" s="301">
        <v>180000</v>
      </c>
    </row>
    <row r="38" spans="1:6" ht="15" x14ac:dyDescent="0.3">
      <c r="A38" s="6">
        <v>45859</v>
      </c>
      <c r="B38" s="9" t="s">
        <v>2353</v>
      </c>
      <c r="C38" s="31" t="s">
        <v>2308</v>
      </c>
      <c r="D38" s="25" t="s">
        <v>2354</v>
      </c>
      <c r="E38" s="421"/>
      <c r="F38" s="414">
        <v>32000000</v>
      </c>
    </row>
    <row r="39" spans="1:6" ht="15" x14ac:dyDescent="0.3">
      <c r="A39" s="6">
        <v>45859</v>
      </c>
      <c r="B39" s="9" t="s">
        <v>2353</v>
      </c>
      <c r="C39" s="31" t="s">
        <v>2308</v>
      </c>
      <c r="D39" s="12" t="s">
        <v>2355</v>
      </c>
      <c r="E39" s="421"/>
      <c r="F39" s="414">
        <v>-1280000</v>
      </c>
    </row>
    <row r="40" spans="1:6" ht="15" x14ac:dyDescent="0.3">
      <c r="A40" s="6">
        <v>45859</v>
      </c>
      <c r="B40" s="9" t="s">
        <v>2353</v>
      </c>
      <c r="C40" s="31" t="s">
        <v>2308</v>
      </c>
      <c r="D40" s="12" t="s">
        <v>2356</v>
      </c>
      <c r="E40" s="421"/>
      <c r="F40" s="305">
        <v>2900</v>
      </c>
    </row>
    <row r="41" spans="1:6" ht="15" x14ac:dyDescent="0.3">
      <c r="A41" s="6">
        <v>45861</v>
      </c>
      <c r="B41" s="9" t="s">
        <v>2285</v>
      </c>
      <c r="C41" s="21" t="s">
        <v>2308</v>
      </c>
      <c r="D41" s="25" t="s">
        <v>2357</v>
      </c>
      <c r="E41" s="421"/>
      <c r="F41" s="481">
        <v>549000</v>
      </c>
    </row>
    <row r="42" spans="1:6" ht="15" x14ac:dyDescent="0.3">
      <c r="A42" s="6">
        <v>45861</v>
      </c>
      <c r="B42" s="9" t="s">
        <v>2285</v>
      </c>
      <c r="C42" s="21" t="s">
        <v>2308</v>
      </c>
      <c r="D42" s="25" t="s">
        <v>2358</v>
      </c>
      <c r="E42" s="421"/>
      <c r="F42" s="481">
        <v>160352</v>
      </c>
    </row>
    <row r="43" spans="1:6" ht="15" x14ac:dyDescent="0.3">
      <c r="A43" s="6">
        <v>45861</v>
      </c>
      <c r="B43" s="9" t="s">
        <v>2285</v>
      </c>
      <c r="C43" s="21" t="s">
        <v>2308</v>
      </c>
      <c r="D43" s="25" t="s">
        <v>2359</v>
      </c>
      <c r="E43" s="421"/>
      <c r="F43" s="481">
        <v>2500</v>
      </c>
    </row>
    <row r="44" spans="1:6" ht="15" x14ac:dyDescent="0.3">
      <c r="A44" s="6">
        <v>45861</v>
      </c>
      <c r="B44" s="9" t="s">
        <v>2360</v>
      </c>
      <c r="C44" s="135" t="s">
        <v>2308</v>
      </c>
      <c r="D44" s="137" t="s">
        <v>2361</v>
      </c>
      <c r="E44" s="421"/>
      <c r="F44" s="299">
        <v>27500</v>
      </c>
    </row>
    <row r="45" spans="1:6" ht="15" x14ac:dyDescent="0.3">
      <c r="A45" s="6">
        <v>45861</v>
      </c>
      <c r="B45" s="9" t="s">
        <v>2360</v>
      </c>
      <c r="C45" s="135" t="s">
        <v>2308</v>
      </c>
      <c r="D45" s="137" t="s">
        <v>2268</v>
      </c>
      <c r="E45" s="421"/>
      <c r="F45" s="299">
        <v>2500</v>
      </c>
    </row>
    <row r="46" spans="1:6" ht="15" x14ac:dyDescent="0.3">
      <c r="A46" s="6">
        <v>45861</v>
      </c>
      <c r="B46" s="9" t="s">
        <v>2287</v>
      </c>
      <c r="C46" s="21" t="s">
        <v>2308</v>
      </c>
      <c r="D46" s="25" t="s">
        <v>2362</v>
      </c>
      <c r="E46" s="421"/>
      <c r="F46" s="481">
        <v>1000000</v>
      </c>
    </row>
    <row r="47" spans="1:6" ht="15" x14ac:dyDescent="0.3">
      <c r="A47" s="6">
        <v>45861</v>
      </c>
      <c r="B47" s="9" t="s">
        <v>2287</v>
      </c>
      <c r="C47" s="21" t="s">
        <v>2308</v>
      </c>
      <c r="D47" s="25" t="s">
        <v>2289</v>
      </c>
      <c r="E47" s="421"/>
      <c r="F47" s="481">
        <v>2500</v>
      </c>
    </row>
    <row r="48" spans="1:6" ht="15" x14ac:dyDescent="0.3">
      <c r="A48" s="6">
        <v>45863</v>
      </c>
      <c r="B48" s="9" t="s">
        <v>2363</v>
      </c>
      <c r="C48" s="31" t="s">
        <v>2308</v>
      </c>
      <c r="D48" s="133" t="s">
        <v>2364</v>
      </c>
      <c r="E48" s="421"/>
      <c r="F48" s="414">
        <v>41380</v>
      </c>
    </row>
    <row r="49" spans="1:6" ht="15" x14ac:dyDescent="0.3">
      <c r="A49" s="6">
        <v>45863</v>
      </c>
      <c r="B49" s="9" t="s">
        <v>2201</v>
      </c>
      <c r="C49" s="10" t="s">
        <v>2308</v>
      </c>
      <c r="D49" s="12" t="s">
        <v>2365</v>
      </c>
      <c r="E49" s="421"/>
      <c r="F49" s="301">
        <v>122000</v>
      </c>
    </row>
    <row r="50" spans="1:6" ht="15" x14ac:dyDescent="0.3">
      <c r="A50" s="6">
        <v>45868</v>
      </c>
      <c r="B50" s="9" t="s">
        <v>2366</v>
      </c>
      <c r="C50" s="31" t="s">
        <v>2308</v>
      </c>
      <c r="D50" s="136" t="s">
        <v>2367</v>
      </c>
      <c r="E50" s="421"/>
      <c r="F50" s="289">
        <v>264000</v>
      </c>
    </row>
    <row r="51" spans="1:6" ht="15" x14ac:dyDescent="0.3">
      <c r="A51" s="6">
        <v>45868</v>
      </c>
      <c r="B51" s="9" t="s">
        <v>2366</v>
      </c>
      <c r="C51" s="31" t="s">
        <v>2308</v>
      </c>
      <c r="D51" s="136" t="s">
        <v>981</v>
      </c>
      <c r="E51" s="421"/>
      <c r="F51" s="289">
        <v>2500</v>
      </c>
    </row>
    <row r="52" spans="1:6" ht="15" x14ac:dyDescent="0.3">
      <c r="A52" s="32">
        <v>45869</v>
      </c>
      <c r="B52" s="9" t="s">
        <v>2368</v>
      </c>
      <c r="C52" s="11" t="s">
        <v>2308</v>
      </c>
      <c r="D52" s="172" t="s">
        <v>2369</v>
      </c>
      <c r="E52" s="421"/>
      <c r="F52" s="289">
        <v>81000</v>
      </c>
    </row>
    <row r="53" spans="1:6" ht="15" x14ac:dyDescent="0.3">
      <c r="A53" s="33">
        <v>45870</v>
      </c>
      <c r="B53" s="11" t="s">
        <v>2530</v>
      </c>
      <c r="C53" s="31" t="s">
        <v>2308</v>
      </c>
      <c r="D53" s="192" t="s">
        <v>4117</v>
      </c>
      <c r="E53" s="370"/>
      <c r="F53" s="289">
        <v>78000</v>
      </c>
    </row>
    <row r="54" spans="1:6" ht="15" x14ac:dyDescent="0.3">
      <c r="A54" s="33">
        <v>45876</v>
      </c>
      <c r="B54" s="11" t="s">
        <v>4118</v>
      </c>
      <c r="C54" s="31" t="s">
        <v>2308</v>
      </c>
      <c r="D54" s="192" t="s">
        <v>4119</v>
      </c>
      <c r="E54" s="370"/>
      <c r="F54" s="289">
        <v>2228000</v>
      </c>
    </row>
    <row r="55" spans="1:6" ht="15" x14ac:dyDescent="0.3">
      <c r="A55" s="104">
        <v>45877</v>
      </c>
      <c r="B55" s="15" t="s">
        <v>4120</v>
      </c>
      <c r="C55" s="20" t="s">
        <v>2308</v>
      </c>
      <c r="D55" s="14" t="s">
        <v>4121</v>
      </c>
      <c r="E55" s="444"/>
      <c r="F55" s="285">
        <v>25522366</v>
      </c>
    </row>
    <row r="56" spans="1:6" ht="15" x14ac:dyDescent="0.3">
      <c r="A56" s="104">
        <v>45877</v>
      </c>
      <c r="B56" s="15" t="s">
        <v>4120</v>
      </c>
      <c r="C56" s="20" t="s">
        <v>2308</v>
      </c>
      <c r="D56" s="14" t="s">
        <v>4122</v>
      </c>
      <c r="E56" s="371">
        <v>1020895</v>
      </c>
      <c r="F56" s="285"/>
    </row>
    <row r="57" spans="1:6" ht="15" x14ac:dyDescent="0.3">
      <c r="A57" s="104">
        <v>45877</v>
      </c>
      <c r="B57" s="15" t="s">
        <v>4120</v>
      </c>
      <c r="C57" s="20" t="s">
        <v>2308</v>
      </c>
      <c r="D57" s="14" t="s">
        <v>4123</v>
      </c>
      <c r="E57" s="371">
        <v>1276118</v>
      </c>
      <c r="F57" s="285"/>
    </row>
    <row r="58" spans="1:6" ht="15" x14ac:dyDescent="0.3">
      <c r="A58" s="104">
        <v>45877</v>
      </c>
      <c r="B58" s="15" t="s">
        <v>4120</v>
      </c>
      <c r="C58" s="20" t="s">
        <v>2308</v>
      </c>
      <c r="D58" s="14" t="s">
        <v>4124</v>
      </c>
      <c r="E58" s="371">
        <v>5104473</v>
      </c>
      <c r="F58" s="285"/>
    </row>
    <row r="59" spans="1:6" ht="15" x14ac:dyDescent="0.3">
      <c r="A59" s="104">
        <v>45877</v>
      </c>
      <c r="B59" s="15" t="s">
        <v>4120</v>
      </c>
      <c r="C59" s="20" t="s">
        <v>2308</v>
      </c>
      <c r="D59" s="14" t="s">
        <v>2356</v>
      </c>
      <c r="E59" s="444"/>
      <c r="F59" s="285">
        <v>2900</v>
      </c>
    </row>
    <row r="60" spans="1:6" ht="15" x14ac:dyDescent="0.3">
      <c r="A60" s="33">
        <v>45881</v>
      </c>
      <c r="B60" s="11" t="s">
        <v>4125</v>
      </c>
      <c r="C60" s="31" t="s">
        <v>2308</v>
      </c>
      <c r="D60" s="192" t="s">
        <v>4126</v>
      </c>
      <c r="E60" s="370">
        <v>2000000</v>
      </c>
      <c r="F60" s="289"/>
    </row>
    <row r="61" spans="1:6" ht="15" x14ac:dyDescent="0.3">
      <c r="A61" s="33">
        <v>45881</v>
      </c>
      <c r="B61" s="11" t="s">
        <v>4125</v>
      </c>
      <c r="C61" s="31" t="s">
        <v>2308</v>
      </c>
      <c r="D61" s="192" t="s">
        <v>4127</v>
      </c>
      <c r="E61" s="370"/>
      <c r="F61" s="289">
        <v>68000</v>
      </c>
    </row>
    <row r="62" spans="1:6" ht="15" x14ac:dyDescent="0.3">
      <c r="A62" s="33">
        <v>45881</v>
      </c>
      <c r="B62" s="11" t="s">
        <v>4125</v>
      </c>
      <c r="C62" s="31" t="s">
        <v>2308</v>
      </c>
      <c r="D62" s="192" t="s">
        <v>4128</v>
      </c>
      <c r="E62" s="370"/>
      <c r="F62" s="289">
        <v>377000</v>
      </c>
    </row>
    <row r="63" spans="1:6" ht="15" x14ac:dyDescent="0.3">
      <c r="A63" s="33">
        <v>45881</v>
      </c>
      <c r="B63" s="11" t="s">
        <v>4125</v>
      </c>
      <c r="C63" s="31" t="s">
        <v>2308</v>
      </c>
      <c r="D63" s="192" t="s">
        <v>4129</v>
      </c>
      <c r="E63" s="370"/>
      <c r="F63" s="289">
        <v>696300</v>
      </c>
    </row>
    <row r="64" spans="1:6" ht="15" x14ac:dyDescent="0.3">
      <c r="A64" s="33">
        <v>45881</v>
      </c>
      <c r="B64" s="11" t="s">
        <v>4125</v>
      </c>
      <c r="C64" s="31" t="s">
        <v>2308</v>
      </c>
      <c r="D64" s="192" t="s">
        <v>4130</v>
      </c>
      <c r="E64" s="370"/>
      <c r="F64" s="289">
        <v>200000</v>
      </c>
    </row>
    <row r="65" spans="1:6" ht="15" x14ac:dyDescent="0.3">
      <c r="A65" s="33">
        <v>45881</v>
      </c>
      <c r="B65" s="11" t="s">
        <v>4125</v>
      </c>
      <c r="C65" s="31" t="s">
        <v>2308</v>
      </c>
      <c r="D65" s="192" t="s">
        <v>4131</v>
      </c>
      <c r="E65" s="370"/>
      <c r="F65" s="289">
        <v>20000</v>
      </c>
    </row>
    <row r="66" spans="1:6" ht="15" x14ac:dyDescent="0.3">
      <c r="A66" s="33">
        <v>45881</v>
      </c>
      <c r="B66" s="11" t="s">
        <v>4125</v>
      </c>
      <c r="C66" s="31" t="s">
        <v>2308</v>
      </c>
      <c r="D66" s="192" t="s">
        <v>4132</v>
      </c>
      <c r="E66" s="370"/>
      <c r="F66" s="289">
        <v>1016000</v>
      </c>
    </row>
    <row r="67" spans="1:6" ht="15" x14ac:dyDescent="0.3">
      <c r="A67" s="33">
        <v>45881</v>
      </c>
      <c r="B67" s="11" t="s">
        <v>4133</v>
      </c>
      <c r="C67" s="31" t="s">
        <v>2308</v>
      </c>
      <c r="D67" s="192" t="s">
        <v>2351</v>
      </c>
      <c r="E67" s="370"/>
      <c r="F67" s="289">
        <v>113500</v>
      </c>
    </row>
    <row r="68" spans="1:6" ht="15" x14ac:dyDescent="0.3">
      <c r="A68" s="33">
        <v>45881</v>
      </c>
      <c r="B68" s="11" t="s">
        <v>4133</v>
      </c>
      <c r="C68" s="31" t="s">
        <v>2308</v>
      </c>
      <c r="D68" s="192" t="s">
        <v>3712</v>
      </c>
      <c r="E68" s="370"/>
      <c r="F68" s="289">
        <v>750000</v>
      </c>
    </row>
    <row r="69" spans="1:6" ht="15" x14ac:dyDescent="0.3">
      <c r="A69" s="33">
        <v>45881</v>
      </c>
      <c r="B69" s="11" t="s">
        <v>4134</v>
      </c>
      <c r="C69" s="31" t="s">
        <v>2308</v>
      </c>
      <c r="D69" s="192" t="s">
        <v>4135</v>
      </c>
      <c r="E69" s="370"/>
      <c r="F69" s="289">
        <v>38000</v>
      </c>
    </row>
    <row r="70" spans="1:6" ht="15" x14ac:dyDescent="0.3">
      <c r="A70" s="33">
        <v>45884</v>
      </c>
      <c r="B70" s="11" t="s">
        <v>4095</v>
      </c>
      <c r="C70" s="31" t="s">
        <v>2308</v>
      </c>
      <c r="D70" s="192" t="s">
        <v>4136</v>
      </c>
      <c r="E70" s="370"/>
      <c r="F70" s="289">
        <v>62000</v>
      </c>
    </row>
    <row r="71" spans="1:6" ht="15" x14ac:dyDescent="0.3">
      <c r="A71" s="33">
        <v>45884</v>
      </c>
      <c r="B71" s="11" t="s">
        <v>4095</v>
      </c>
      <c r="C71" s="31" t="s">
        <v>2308</v>
      </c>
      <c r="D71" s="192" t="s">
        <v>4137</v>
      </c>
      <c r="E71" s="370"/>
      <c r="F71" s="289">
        <v>5000000</v>
      </c>
    </row>
    <row r="72" spans="1:6" ht="15" x14ac:dyDescent="0.3">
      <c r="A72" s="33">
        <v>45884</v>
      </c>
      <c r="B72" s="11" t="s">
        <v>4095</v>
      </c>
      <c r="C72" s="31" t="s">
        <v>2308</v>
      </c>
      <c r="D72" s="192" t="s">
        <v>4138</v>
      </c>
      <c r="E72" s="370"/>
      <c r="F72" s="289">
        <v>180180</v>
      </c>
    </row>
    <row r="73" spans="1:6" ht="15" x14ac:dyDescent="0.3">
      <c r="A73" s="33">
        <v>45884</v>
      </c>
      <c r="B73" s="11" t="s">
        <v>4095</v>
      </c>
      <c r="C73" s="31" t="s">
        <v>2308</v>
      </c>
      <c r="D73" s="192" t="s">
        <v>4139</v>
      </c>
      <c r="E73" s="370"/>
      <c r="F73" s="289">
        <v>19820</v>
      </c>
    </row>
    <row r="74" spans="1:6" ht="15" x14ac:dyDescent="0.3">
      <c r="A74" s="33">
        <v>45884</v>
      </c>
      <c r="B74" s="11" t="s">
        <v>4095</v>
      </c>
      <c r="C74" s="31" t="s">
        <v>2308</v>
      </c>
      <c r="D74" s="192" t="s">
        <v>4140</v>
      </c>
      <c r="E74" s="370"/>
      <c r="F74" s="289">
        <v>-3604</v>
      </c>
    </row>
    <row r="75" spans="1:6" ht="15" x14ac:dyDescent="0.3">
      <c r="A75" s="105">
        <v>45889</v>
      </c>
      <c r="B75" s="11" t="s">
        <v>4141</v>
      </c>
      <c r="C75" s="11" t="s">
        <v>2308</v>
      </c>
      <c r="D75" s="194" t="s">
        <v>4142</v>
      </c>
      <c r="E75" s="370"/>
      <c r="F75" s="289">
        <v>26969960</v>
      </c>
    </row>
    <row r="76" spans="1:6" ht="15" x14ac:dyDescent="0.3">
      <c r="A76" s="105">
        <v>45889</v>
      </c>
      <c r="B76" s="11" t="s">
        <v>4141</v>
      </c>
      <c r="C76" s="11" t="s">
        <v>2308</v>
      </c>
      <c r="D76" s="194" t="s">
        <v>4143</v>
      </c>
      <c r="E76" s="370"/>
      <c r="F76" s="289">
        <v>-1078798</v>
      </c>
    </row>
    <row r="77" spans="1:6" ht="15" x14ac:dyDescent="0.3">
      <c r="A77" s="105">
        <v>45889</v>
      </c>
      <c r="B77" s="11" t="s">
        <v>4141</v>
      </c>
      <c r="C77" s="11" t="s">
        <v>2308</v>
      </c>
      <c r="D77" s="194" t="s">
        <v>4144</v>
      </c>
      <c r="E77" s="370"/>
      <c r="F77" s="289">
        <v>-1348498</v>
      </c>
    </row>
    <row r="78" spans="1:6" ht="15" x14ac:dyDescent="0.3">
      <c r="A78" s="105">
        <v>45889</v>
      </c>
      <c r="B78" s="11" t="s">
        <v>4141</v>
      </c>
      <c r="C78" s="11" t="s">
        <v>2308</v>
      </c>
      <c r="D78" s="194" t="s">
        <v>4145</v>
      </c>
      <c r="E78" s="370"/>
      <c r="F78" s="289">
        <v>-5393992</v>
      </c>
    </row>
    <row r="79" spans="1:6" ht="15" x14ac:dyDescent="0.3">
      <c r="A79" s="105">
        <v>45889</v>
      </c>
      <c r="B79" s="11" t="s">
        <v>4141</v>
      </c>
      <c r="C79" s="11" t="s">
        <v>2308</v>
      </c>
      <c r="D79" s="194" t="s">
        <v>4146</v>
      </c>
      <c r="E79" s="370"/>
      <c r="F79" s="289">
        <v>2900</v>
      </c>
    </row>
    <row r="80" spans="1:6" ht="15" x14ac:dyDescent="0.3">
      <c r="A80" s="105">
        <v>45890</v>
      </c>
      <c r="B80" s="11" t="s">
        <v>4147</v>
      </c>
      <c r="C80" s="31" t="s">
        <v>2308</v>
      </c>
      <c r="D80" s="170" t="s">
        <v>4148</v>
      </c>
      <c r="E80" s="434"/>
      <c r="F80" s="429">
        <v>41000</v>
      </c>
    </row>
    <row r="81" spans="1:6" ht="15" x14ac:dyDescent="0.3">
      <c r="A81" s="105">
        <v>45894</v>
      </c>
      <c r="B81" s="11" t="s">
        <v>3457</v>
      </c>
      <c r="C81" s="10" t="s">
        <v>2308</v>
      </c>
      <c r="D81" s="194" t="s">
        <v>4149</v>
      </c>
      <c r="E81" s="518"/>
      <c r="F81" s="285">
        <v>28000</v>
      </c>
    </row>
    <row r="82" spans="1:6" ht="15" x14ac:dyDescent="0.3">
      <c r="A82" s="105">
        <v>45894</v>
      </c>
      <c r="B82" s="11" t="s">
        <v>3457</v>
      </c>
      <c r="C82" s="10" t="s">
        <v>2308</v>
      </c>
      <c r="D82" s="194" t="s">
        <v>3448</v>
      </c>
      <c r="E82" s="518"/>
      <c r="F82" s="285">
        <v>2500</v>
      </c>
    </row>
    <row r="83" spans="1:6" ht="15" x14ac:dyDescent="0.3">
      <c r="A83" s="105">
        <v>45894</v>
      </c>
      <c r="B83" s="11" t="s">
        <v>3457</v>
      </c>
      <c r="C83" s="10" t="s">
        <v>2308</v>
      </c>
      <c r="D83" s="12" t="s">
        <v>4150</v>
      </c>
      <c r="E83" s="518"/>
      <c r="F83" s="285">
        <v>294000</v>
      </c>
    </row>
    <row r="84" spans="1:6" ht="15" x14ac:dyDescent="0.3">
      <c r="A84" s="105">
        <v>45894</v>
      </c>
      <c r="B84" s="11" t="s">
        <v>3462</v>
      </c>
      <c r="C84" s="11" t="s">
        <v>2308</v>
      </c>
      <c r="D84" s="194" t="s">
        <v>4151</v>
      </c>
      <c r="E84" s="518"/>
      <c r="F84" s="289">
        <v>38000</v>
      </c>
    </row>
    <row r="85" spans="1:6" ht="15" x14ac:dyDescent="0.3">
      <c r="A85" s="105">
        <v>45894</v>
      </c>
      <c r="B85" s="11" t="s">
        <v>4152</v>
      </c>
      <c r="C85" s="11" t="s">
        <v>2308</v>
      </c>
      <c r="D85" s="194" t="s">
        <v>4153</v>
      </c>
      <c r="E85" s="518"/>
      <c r="F85" s="289">
        <v>187090</v>
      </c>
    </row>
    <row r="86" spans="1:6" ht="15" x14ac:dyDescent="0.3">
      <c r="A86" s="105">
        <v>45894</v>
      </c>
      <c r="B86" s="11" t="s">
        <v>4152</v>
      </c>
      <c r="C86" s="11" t="s">
        <v>2308</v>
      </c>
      <c r="D86" s="194" t="s">
        <v>4154</v>
      </c>
      <c r="E86" s="518"/>
      <c r="F86" s="289">
        <v>83500</v>
      </c>
    </row>
    <row r="87" spans="1:6" ht="15" x14ac:dyDescent="0.3">
      <c r="A87" s="105">
        <v>45894</v>
      </c>
      <c r="B87" s="11" t="s">
        <v>4152</v>
      </c>
      <c r="C87" s="11" t="s">
        <v>2308</v>
      </c>
      <c r="D87" s="194" t="s">
        <v>4155</v>
      </c>
      <c r="E87" s="518"/>
      <c r="F87" s="289">
        <v>93000</v>
      </c>
    </row>
    <row r="88" spans="1:6" ht="15" x14ac:dyDescent="0.3">
      <c r="A88" s="105">
        <v>45894</v>
      </c>
      <c r="B88" s="11" t="s">
        <v>4152</v>
      </c>
      <c r="C88" s="11" t="s">
        <v>2308</v>
      </c>
      <c r="D88" s="194" t="s">
        <v>4156</v>
      </c>
      <c r="E88" s="518"/>
      <c r="F88" s="289">
        <v>715290</v>
      </c>
    </row>
    <row r="89" spans="1:6" ht="15" x14ac:dyDescent="0.3">
      <c r="A89" s="105">
        <v>45894</v>
      </c>
      <c r="B89" s="11" t="s">
        <v>3464</v>
      </c>
      <c r="C89" s="11" t="s">
        <v>2308</v>
      </c>
      <c r="D89" s="194" t="s">
        <v>4157</v>
      </c>
      <c r="E89" s="290"/>
      <c r="F89" s="289">
        <v>40500</v>
      </c>
    </row>
    <row r="90" spans="1:6" ht="15" x14ac:dyDescent="0.3">
      <c r="A90" s="105">
        <v>45895</v>
      </c>
      <c r="B90" s="11" t="s">
        <v>3474</v>
      </c>
      <c r="C90" s="11" t="s">
        <v>2308</v>
      </c>
      <c r="D90" s="17" t="s">
        <v>4158</v>
      </c>
      <c r="E90" s="518"/>
      <c r="F90" s="289">
        <v>68000</v>
      </c>
    </row>
    <row r="91" spans="1:6" ht="15" x14ac:dyDescent="0.3">
      <c r="A91" s="105">
        <v>45896</v>
      </c>
      <c r="B91" s="11" t="s">
        <v>3482</v>
      </c>
      <c r="C91" s="31" t="s">
        <v>2308</v>
      </c>
      <c r="D91" s="175" t="s">
        <v>4159</v>
      </c>
      <c r="E91" s="518"/>
      <c r="F91" s="283">
        <v>148260</v>
      </c>
    </row>
    <row r="92" spans="1:6" ht="15" x14ac:dyDescent="0.3">
      <c r="A92" s="105">
        <v>45897</v>
      </c>
      <c r="B92" s="11" t="s">
        <v>3492</v>
      </c>
      <c r="C92" s="21" t="s">
        <v>2308</v>
      </c>
      <c r="D92" s="25" t="s">
        <v>4160</v>
      </c>
      <c r="E92" s="519"/>
      <c r="F92" s="417">
        <v>242000</v>
      </c>
    </row>
    <row r="93" spans="1:6" ht="15" x14ac:dyDescent="0.3">
      <c r="A93" s="105">
        <v>45897</v>
      </c>
      <c r="B93" s="11" t="s">
        <v>3492</v>
      </c>
      <c r="C93" s="21" t="s">
        <v>2308</v>
      </c>
      <c r="D93" s="25" t="s">
        <v>206</v>
      </c>
      <c r="E93" s="519"/>
      <c r="F93" s="417">
        <v>5000</v>
      </c>
    </row>
    <row r="94" spans="1:6" ht="15" x14ac:dyDescent="0.3">
      <c r="A94" s="105">
        <v>45898</v>
      </c>
      <c r="B94" s="11" t="s">
        <v>3497</v>
      </c>
      <c r="C94" s="31" t="s">
        <v>2308</v>
      </c>
      <c r="D94" s="170" t="s">
        <v>4161</v>
      </c>
      <c r="E94" s="518"/>
      <c r="F94" s="429">
        <v>100000</v>
      </c>
    </row>
    <row r="95" spans="1:6" ht="15" x14ac:dyDescent="0.3">
      <c r="A95" s="105">
        <v>45898</v>
      </c>
      <c r="B95" s="11" t="s">
        <v>3497</v>
      </c>
      <c r="C95" s="31" t="s">
        <v>2308</v>
      </c>
      <c r="D95" s="170" t="s">
        <v>4162</v>
      </c>
      <c r="E95" s="518"/>
      <c r="F95" s="429">
        <v>185000</v>
      </c>
    </row>
    <row r="96" spans="1:6" ht="15" x14ac:dyDescent="0.3">
      <c r="A96" s="105">
        <v>45898</v>
      </c>
      <c r="B96" s="11" t="s">
        <v>3497</v>
      </c>
      <c r="C96" s="31" t="s">
        <v>2308</v>
      </c>
      <c r="D96" s="170" t="s">
        <v>4163</v>
      </c>
      <c r="E96" s="518"/>
      <c r="F96" s="429">
        <v>400000</v>
      </c>
    </row>
    <row r="97" spans="1:6" ht="15" x14ac:dyDescent="0.3">
      <c r="A97" s="105">
        <v>45898</v>
      </c>
      <c r="B97" s="11" t="s">
        <v>4083</v>
      </c>
      <c r="C97" s="11" t="s">
        <v>2308</v>
      </c>
      <c r="D97" s="25" t="s">
        <v>4100</v>
      </c>
      <c r="E97" s="518"/>
      <c r="F97" s="289">
        <v>71000</v>
      </c>
    </row>
    <row r="98" spans="1:6" ht="15" x14ac:dyDescent="0.3">
      <c r="A98" s="105">
        <v>45898</v>
      </c>
      <c r="B98" s="11" t="s">
        <v>4083</v>
      </c>
      <c r="C98" s="11" t="s">
        <v>2308</v>
      </c>
      <c r="D98" s="25" t="s">
        <v>4101</v>
      </c>
      <c r="E98" s="518"/>
      <c r="F98" s="289">
        <v>250000</v>
      </c>
    </row>
    <row r="99" spans="1:6" ht="15" x14ac:dyDescent="0.3">
      <c r="A99" s="105">
        <v>45898</v>
      </c>
      <c r="B99" s="11" t="s">
        <v>4164</v>
      </c>
      <c r="C99" s="11" t="s">
        <v>2308</v>
      </c>
      <c r="D99" s="25" t="s">
        <v>3712</v>
      </c>
      <c r="E99" s="518"/>
      <c r="F99" s="289">
        <v>400000</v>
      </c>
    </row>
    <row r="100" spans="1:6" ht="15" x14ac:dyDescent="0.3">
      <c r="A100" s="105">
        <v>45898</v>
      </c>
      <c r="B100" s="11" t="s">
        <v>4164</v>
      </c>
      <c r="C100" s="11" t="s">
        <v>2308</v>
      </c>
      <c r="D100" s="25" t="s">
        <v>2351</v>
      </c>
      <c r="E100" s="518"/>
      <c r="F100" s="289">
        <v>124500</v>
      </c>
    </row>
    <row r="101" spans="1:6" ht="15" x14ac:dyDescent="0.3">
      <c r="A101" s="105">
        <v>45898</v>
      </c>
      <c r="B101" s="11" t="s">
        <v>4164</v>
      </c>
      <c r="C101" s="11" t="s">
        <v>2308</v>
      </c>
      <c r="D101" s="25" t="s">
        <v>4165</v>
      </c>
      <c r="E101" s="518"/>
      <c r="F101" s="289">
        <v>4000</v>
      </c>
    </row>
    <row r="102" spans="1:6" ht="15" x14ac:dyDescent="0.3">
      <c r="A102" s="105">
        <v>45898</v>
      </c>
      <c r="B102" s="11" t="s">
        <v>4164</v>
      </c>
      <c r="C102" s="11" t="s">
        <v>2308</v>
      </c>
      <c r="D102" s="25" t="s">
        <v>4166</v>
      </c>
      <c r="E102" s="518"/>
      <c r="F102" s="289">
        <v>38500</v>
      </c>
    </row>
    <row r="103" spans="1:6" ht="15" x14ac:dyDescent="0.3">
      <c r="A103" s="105">
        <v>45898</v>
      </c>
      <c r="B103" s="11" t="s">
        <v>4167</v>
      </c>
      <c r="C103" s="11" t="s">
        <v>2308</v>
      </c>
      <c r="D103" s="25" t="s">
        <v>4168</v>
      </c>
      <c r="E103" s="518"/>
      <c r="F103" s="289">
        <v>41583441</v>
      </c>
    </row>
    <row r="104" spans="1:6" ht="15" x14ac:dyDescent="0.3">
      <c r="A104" s="105">
        <v>45898</v>
      </c>
      <c r="B104" s="11" t="s">
        <v>4167</v>
      </c>
      <c r="C104" s="11" t="s">
        <v>2308</v>
      </c>
      <c r="D104" s="25" t="s">
        <v>4169</v>
      </c>
      <c r="E104" s="518"/>
      <c r="F104" s="289">
        <v>-1663338</v>
      </c>
    </row>
    <row r="105" spans="1:6" ht="15" x14ac:dyDescent="0.3">
      <c r="A105" s="105">
        <v>45898</v>
      </c>
      <c r="B105" s="11" t="s">
        <v>4167</v>
      </c>
      <c r="C105" s="11" t="s">
        <v>2308</v>
      </c>
      <c r="D105" s="25" t="s">
        <v>4170</v>
      </c>
      <c r="E105" s="518">
        <v>2079172</v>
      </c>
      <c r="F105" s="289"/>
    </row>
    <row r="106" spans="1:6" ht="15" x14ac:dyDescent="0.3">
      <c r="A106" s="105">
        <v>45898</v>
      </c>
      <c r="B106" s="11" t="s">
        <v>4167</v>
      </c>
      <c r="C106" s="11" t="s">
        <v>2308</v>
      </c>
      <c r="D106" s="25" t="s">
        <v>4145</v>
      </c>
      <c r="E106" s="518">
        <v>8316688</v>
      </c>
      <c r="F106" s="289"/>
    </row>
    <row r="107" spans="1:6" ht="15" x14ac:dyDescent="0.3">
      <c r="A107" s="105">
        <v>45898</v>
      </c>
      <c r="B107" s="11" t="s">
        <v>4167</v>
      </c>
      <c r="C107" s="11" t="s">
        <v>2308</v>
      </c>
      <c r="D107" s="25" t="s">
        <v>4146</v>
      </c>
      <c r="E107" s="518"/>
      <c r="F107" s="289">
        <v>2900</v>
      </c>
    </row>
    <row r="108" spans="1:6" ht="15" x14ac:dyDescent="0.3">
      <c r="A108" s="33">
        <v>45884</v>
      </c>
      <c r="B108" s="15" t="s">
        <v>4577</v>
      </c>
      <c r="C108" s="15" t="s">
        <v>2308</v>
      </c>
      <c r="D108" s="164" t="s">
        <v>4578</v>
      </c>
      <c r="E108" s="285"/>
      <c r="F108" s="430">
        <v>1462465550</v>
      </c>
    </row>
    <row r="109" spans="1:6" ht="15" x14ac:dyDescent="0.3">
      <c r="A109" s="33">
        <v>45884</v>
      </c>
      <c r="B109" s="15" t="s">
        <v>4577</v>
      </c>
      <c r="C109" s="15" t="s">
        <v>2308</v>
      </c>
      <c r="D109" s="164" t="s">
        <v>4579</v>
      </c>
      <c r="E109" s="285"/>
      <c r="F109" s="430">
        <v>570500</v>
      </c>
    </row>
    <row r="110" spans="1:6" ht="15" x14ac:dyDescent="0.3">
      <c r="A110" s="104">
        <v>45890</v>
      </c>
      <c r="B110" s="15" t="s">
        <v>4580</v>
      </c>
      <c r="C110" s="15" t="s">
        <v>2308</v>
      </c>
      <c r="D110" s="164" t="s">
        <v>4581</v>
      </c>
      <c r="E110" s="285"/>
      <c r="F110" s="430">
        <v>187915000</v>
      </c>
    </row>
    <row r="111" spans="1:6" ht="15" x14ac:dyDescent="0.3">
      <c r="A111" s="104">
        <v>45890</v>
      </c>
      <c r="B111" s="15" t="s">
        <v>4580</v>
      </c>
      <c r="C111" s="15" t="s">
        <v>2308</v>
      </c>
      <c r="D111" s="164" t="s">
        <v>4582</v>
      </c>
      <c r="E111" s="285"/>
      <c r="F111" s="430">
        <v>574700</v>
      </c>
    </row>
    <row r="112" spans="1:6" ht="15" x14ac:dyDescent="0.3">
      <c r="A112" s="105">
        <v>45903</v>
      </c>
      <c r="B112" s="11" t="s">
        <v>4583</v>
      </c>
      <c r="C112" s="11" t="s">
        <v>2308</v>
      </c>
      <c r="D112" s="204" t="s">
        <v>4584</v>
      </c>
      <c r="E112" s="290"/>
      <c r="F112" s="289">
        <v>8225000</v>
      </c>
    </row>
    <row r="113" spans="1:6" ht="15" x14ac:dyDescent="0.3">
      <c r="A113" s="105">
        <v>45903</v>
      </c>
      <c r="B113" s="11" t="s">
        <v>4583</v>
      </c>
      <c r="C113" s="11" t="s">
        <v>2308</v>
      </c>
      <c r="D113" s="204" t="s">
        <v>4585</v>
      </c>
      <c r="E113" s="290"/>
      <c r="F113" s="289">
        <v>2900</v>
      </c>
    </row>
    <row r="114" spans="1:6" ht="15" x14ac:dyDescent="0.3">
      <c r="A114" s="105">
        <v>45903</v>
      </c>
      <c r="B114" s="11" t="s">
        <v>4410</v>
      </c>
      <c r="C114" s="11" t="s">
        <v>2308</v>
      </c>
      <c r="D114" s="205" t="s">
        <v>4586</v>
      </c>
      <c r="E114" s="290"/>
      <c r="F114" s="289">
        <v>94000</v>
      </c>
    </row>
    <row r="115" spans="1:6" ht="15" x14ac:dyDescent="0.3">
      <c r="A115" s="105">
        <v>45904</v>
      </c>
      <c r="B115" s="11" t="s">
        <v>4417</v>
      </c>
      <c r="C115" s="31" t="s">
        <v>2308</v>
      </c>
      <c r="D115" s="207" t="s">
        <v>4587</v>
      </c>
      <c r="E115" s="290"/>
      <c r="F115" s="429">
        <v>115000</v>
      </c>
    </row>
    <row r="116" spans="1:6" ht="15" x14ac:dyDescent="0.3">
      <c r="A116" s="105">
        <v>45904</v>
      </c>
      <c r="B116" s="11" t="s">
        <v>4417</v>
      </c>
      <c r="C116" s="31" t="s">
        <v>2308</v>
      </c>
      <c r="D116" s="207" t="s">
        <v>4588</v>
      </c>
      <c r="E116" s="290"/>
      <c r="F116" s="429">
        <v>128500</v>
      </c>
    </row>
    <row r="117" spans="1:6" ht="15" x14ac:dyDescent="0.3">
      <c r="A117" s="105">
        <v>45908</v>
      </c>
      <c r="B117" s="11" t="s">
        <v>4419</v>
      </c>
      <c r="C117" s="31" t="s">
        <v>2308</v>
      </c>
      <c r="D117" s="207" t="s">
        <v>4163</v>
      </c>
      <c r="E117" s="290"/>
      <c r="F117" s="429">
        <v>377148</v>
      </c>
    </row>
    <row r="118" spans="1:6" ht="15" x14ac:dyDescent="0.3">
      <c r="A118" s="105">
        <v>45908</v>
      </c>
      <c r="B118" s="11" t="s">
        <v>4419</v>
      </c>
      <c r="C118" s="31" t="s">
        <v>2308</v>
      </c>
      <c r="D118" s="207" t="s">
        <v>4162</v>
      </c>
      <c r="E118" s="290"/>
      <c r="F118" s="429">
        <v>115000</v>
      </c>
    </row>
    <row r="119" spans="1:6" ht="15" x14ac:dyDescent="0.3">
      <c r="A119" s="105">
        <v>45908</v>
      </c>
      <c r="B119" s="11" t="s">
        <v>4419</v>
      </c>
      <c r="C119" s="31" t="s">
        <v>2308</v>
      </c>
      <c r="D119" s="207" t="s">
        <v>4588</v>
      </c>
      <c r="E119" s="290"/>
      <c r="F119" s="429">
        <v>161500</v>
      </c>
    </row>
    <row r="120" spans="1:6" ht="15" x14ac:dyDescent="0.3">
      <c r="A120" s="105">
        <v>45908</v>
      </c>
      <c r="B120" s="11" t="s">
        <v>4589</v>
      </c>
      <c r="C120" s="11" t="s">
        <v>2308</v>
      </c>
      <c r="D120" s="204" t="s">
        <v>4590</v>
      </c>
      <c r="E120" s="290"/>
      <c r="F120" s="289">
        <v>21515852</v>
      </c>
    </row>
    <row r="121" spans="1:6" ht="15" x14ac:dyDescent="0.3">
      <c r="A121" s="105">
        <v>45908</v>
      </c>
      <c r="B121" s="11" t="s">
        <v>4589</v>
      </c>
      <c r="C121" s="11" t="s">
        <v>2308</v>
      </c>
      <c r="D121" s="204" t="s">
        <v>4591</v>
      </c>
      <c r="E121" s="290"/>
      <c r="F121" s="289">
        <v>-860634</v>
      </c>
    </row>
    <row r="122" spans="1:6" ht="15" x14ac:dyDescent="0.3">
      <c r="A122" s="105">
        <v>45908</v>
      </c>
      <c r="B122" s="11" t="s">
        <v>4589</v>
      </c>
      <c r="C122" s="11" t="s">
        <v>2308</v>
      </c>
      <c r="D122" s="204" t="s">
        <v>4592</v>
      </c>
      <c r="E122" s="290">
        <v>1075793</v>
      </c>
      <c r="F122" s="289"/>
    </row>
    <row r="123" spans="1:6" ht="15" x14ac:dyDescent="0.3">
      <c r="A123" s="105">
        <v>45908</v>
      </c>
      <c r="B123" s="11" t="s">
        <v>4589</v>
      </c>
      <c r="C123" s="11" t="s">
        <v>2308</v>
      </c>
      <c r="D123" s="204" t="s">
        <v>4593</v>
      </c>
      <c r="E123" s="290">
        <v>4303170</v>
      </c>
      <c r="F123" s="289"/>
    </row>
    <row r="124" spans="1:6" ht="15" x14ac:dyDescent="0.3">
      <c r="A124" s="105">
        <v>45908</v>
      </c>
      <c r="B124" s="11" t="s">
        <v>4589</v>
      </c>
      <c r="C124" s="11" t="s">
        <v>2308</v>
      </c>
      <c r="D124" s="204" t="s">
        <v>4146</v>
      </c>
      <c r="E124" s="290"/>
      <c r="F124" s="289">
        <v>2900</v>
      </c>
    </row>
    <row r="125" spans="1:6" ht="15" x14ac:dyDescent="0.3">
      <c r="A125" s="105">
        <v>45909</v>
      </c>
      <c r="B125" s="11" t="s">
        <v>4594</v>
      </c>
      <c r="C125" s="11" t="s">
        <v>2308</v>
      </c>
      <c r="D125" s="204" t="s">
        <v>4595</v>
      </c>
      <c r="E125" s="290"/>
      <c r="F125" s="289">
        <v>264563</v>
      </c>
    </row>
    <row r="126" spans="1:6" ht="15" x14ac:dyDescent="0.3">
      <c r="A126" s="105">
        <v>45909</v>
      </c>
      <c r="B126" s="11" t="s">
        <v>4594</v>
      </c>
      <c r="C126" s="11" t="s">
        <v>2308</v>
      </c>
      <c r="D126" s="204" t="s">
        <v>4596</v>
      </c>
      <c r="E126" s="290"/>
      <c r="F126" s="289">
        <v>34000</v>
      </c>
    </row>
    <row r="127" spans="1:6" ht="15" x14ac:dyDescent="0.3">
      <c r="A127" s="108">
        <v>45910</v>
      </c>
      <c r="B127" s="15" t="s">
        <v>4440</v>
      </c>
      <c r="C127" s="15" t="s">
        <v>2308</v>
      </c>
      <c r="D127" s="208" t="s">
        <v>4597</v>
      </c>
      <c r="E127" s="375"/>
      <c r="F127" s="285">
        <v>80500</v>
      </c>
    </row>
    <row r="128" spans="1:6" ht="15" x14ac:dyDescent="0.3">
      <c r="A128" s="108">
        <v>45910</v>
      </c>
      <c r="B128" s="15" t="s">
        <v>4440</v>
      </c>
      <c r="C128" s="15" t="s">
        <v>2308</v>
      </c>
      <c r="D128" s="208" t="s">
        <v>4598</v>
      </c>
      <c r="E128" s="375"/>
      <c r="F128" s="285">
        <v>100000</v>
      </c>
    </row>
    <row r="129" spans="1:6" ht="15" x14ac:dyDescent="0.3">
      <c r="A129" s="105">
        <v>45911</v>
      </c>
      <c r="B129" s="11" t="s">
        <v>4442</v>
      </c>
      <c r="C129" s="31" t="s">
        <v>2308</v>
      </c>
      <c r="D129" s="207" t="s">
        <v>4599</v>
      </c>
      <c r="E129" s="290"/>
      <c r="F129" s="429">
        <v>199000</v>
      </c>
    </row>
    <row r="130" spans="1:6" ht="15" x14ac:dyDescent="0.3">
      <c r="A130" s="105">
        <v>45912</v>
      </c>
      <c r="B130" s="11" t="s">
        <v>4600</v>
      </c>
      <c r="C130" s="11" t="s">
        <v>2308</v>
      </c>
      <c r="D130" s="204" t="s">
        <v>4101</v>
      </c>
      <c r="E130" s="290"/>
      <c r="F130" s="289">
        <v>350000</v>
      </c>
    </row>
    <row r="131" spans="1:6" ht="15" x14ac:dyDescent="0.3">
      <c r="A131" s="105">
        <v>45912</v>
      </c>
      <c r="B131" s="11" t="s">
        <v>4600</v>
      </c>
      <c r="C131" s="11" t="s">
        <v>2308</v>
      </c>
      <c r="D131" s="204" t="s">
        <v>4100</v>
      </c>
      <c r="E131" s="290"/>
      <c r="F131" s="289">
        <v>34000</v>
      </c>
    </row>
    <row r="132" spans="1:6" ht="15" x14ac:dyDescent="0.3">
      <c r="A132" s="105">
        <v>45912</v>
      </c>
      <c r="B132" s="11" t="s">
        <v>4601</v>
      </c>
      <c r="C132" s="11" t="s">
        <v>2308</v>
      </c>
      <c r="D132" s="204" t="s">
        <v>4602</v>
      </c>
      <c r="E132" s="290"/>
      <c r="F132" s="289">
        <v>8400000</v>
      </c>
    </row>
    <row r="133" spans="1:6" ht="15" x14ac:dyDescent="0.3">
      <c r="A133" s="105">
        <v>45912</v>
      </c>
      <c r="B133" s="11" t="s">
        <v>4601</v>
      </c>
      <c r="C133" s="11" t="s">
        <v>2308</v>
      </c>
      <c r="D133" s="204" t="s">
        <v>4603</v>
      </c>
      <c r="E133" s="290"/>
      <c r="F133" s="289">
        <v>924000</v>
      </c>
    </row>
    <row r="134" spans="1:6" ht="15" x14ac:dyDescent="0.3">
      <c r="A134" s="105">
        <v>45912</v>
      </c>
      <c r="B134" s="11" t="s">
        <v>4601</v>
      </c>
      <c r="C134" s="11" t="s">
        <v>2308</v>
      </c>
      <c r="D134" s="204" t="s">
        <v>4604</v>
      </c>
      <c r="E134" s="290"/>
      <c r="F134" s="289">
        <v>2900</v>
      </c>
    </row>
    <row r="135" spans="1:6" ht="15" x14ac:dyDescent="0.3">
      <c r="A135" s="105">
        <v>45912</v>
      </c>
      <c r="B135" s="11" t="s">
        <v>4605</v>
      </c>
      <c r="C135" s="11" t="s">
        <v>2308</v>
      </c>
      <c r="D135" s="204" t="s">
        <v>4606</v>
      </c>
      <c r="E135" s="290"/>
      <c r="F135" s="289">
        <v>40000</v>
      </c>
    </row>
    <row r="136" spans="1:6" ht="15" x14ac:dyDescent="0.3">
      <c r="A136" s="105">
        <v>45915</v>
      </c>
      <c r="B136" s="11" t="s">
        <v>4459</v>
      </c>
      <c r="C136" s="10" t="s">
        <v>2308</v>
      </c>
      <c r="D136" s="16" t="s">
        <v>4607</v>
      </c>
      <c r="E136" s="290"/>
      <c r="F136" s="285">
        <v>1738200</v>
      </c>
    </row>
    <row r="137" spans="1:6" ht="15" x14ac:dyDescent="0.3">
      <c r="A137" s="105">
        <v>45915</v>
      </c>
      <c r="B137" s="11" t="s">
        <v>4459</v>
      </c>
      <c r="C137" s="10" t="s">
        <v>2308</v>
      </c>
      <c r="D137" s="16" t="s">
        <v>4608</v>
      </c>
      <c r="E137" s="290"/>
      <c r="F137" s="285">
        <v>278400</v>
      </c>
    </row>
    <row r="138" spans="1:6" ht="15" x14ac:dyDescent="0.3">
      <c r="A138" s="105">
        <v>45915</v>
      </c>
      <c r="B138" s="11" t="s">
        <v>4459</v>
      </c>
      <c r="C138" s="10" t="s">
        <v>2308</v>
      </c>
      <c r="D138" s="16" t="s">
        <v>4461</v>
      </c>
      <c r="E138" s="290"/>
      <c r="F138" s="285">
        <v>2500</v>
      </c>
    </row>
    <row r="139" spans="1:6" ht="15" x14ac:dyDescent="0.3">
      <c r="A139" s="105">
        <v>45916</v>
      </c>
      <c r="B139" s="11" t="s">
        <v>4465</v>
      </c>
      <c r="C139" s="11" t="s">
        <v>2308</v>
      </c>
      <c r="D139" s="28" t="s">
        <v>4609</v>
      </c>
      <c r="E139" s="290"/>
      <c r="F139" s="289">
        <v>91000</v>
      </c>
    </row>
    <row r="140" spans="1:6" ht="15" x14ac:dyDescent="0.3">
      <c r="A140" s="105">
        <v>45916</v>
      </c>
      <c r="B140" s="11" t="s">
        <v>4465</v>
      </c>
      <c r="C140" s="11" t="s">
        <v>2308</v>
      </c>
      <c r="D140" s="28" t="s">
        <v>105</v>
      </c>
      <c r="E140" s="290"/>
      <c r="F140" s="289">
        <v>2500</v>
      </c>
    </row>
    <row r="141" spans="1:6" ht="15" x14ac:dyDescent="0.3">
      <c r="A141" s="105">
        <v>45917</v>
      </c>
      <c r="B141" s="11" t="s">
        <v>4470</v>
      </c>
      <c r="C141" s="11" t="s">
        <v>2308</v>
      </c>
      <c r="D141" s="204" t="s">
        <v>4610</v>
      </c>
      <c r="E141" s="290"/>
      <c r="F141" s="289">
        <v>16985500</v>
      </c>
    </row>
    <row r="142" spans="1:6" ht="15" x14ac:dyDescent="0.3">
      <c r="A142" s="105">
        <v>45917</v>
      </c>
      <c r="B142" s="11" t="s">
        <v>4611</v>
      </c>
      <c r="C142" s="11" t="s">
        <v>2308</v>
      </c>
      <c r="D142" s="204" t="s">
        <v>4612</v>
      </c>
      <c r="E142" s="290"/>
      <c r="F142" s="289">
        <v>8700000</v>
      </c>
    </row>
    <row r="143" spans="1:6" ht="15" x14ac:dyDescent="0.3">
      <c r="A143" s="105">
        <v>45917</v>
      </c>
      <c r="B143" s="11" t="s">
        <v>4611</v>
      </c>
      <c r="C143" s="11" t="s">
        <v>2308</v>
      </c>
      <c r="D143" s="204" t="s">
        <v>4613</v>
      </c>
      <c r="E143" s="290"/>
      <c r="F143" s="289">
        <v>2900</v>
      </c>
    </row>
    <row r="144" spans="1:6" ht="15" x14ac:dyDescent="0.3">
      <c r="A144" s="105">
        <v>45918</v>
      </c>
      <c r="B144" s="11" t="s">
        <v>4473</v>
      </c>
      <c r="C144" s="31" t="s">
        <v>2308</v>
      </c>
      <c r="D144" s="207" t="s">
        <v>4614</v>
      </c>
      <c r="E144" s="290"/>
      <c r="F144" s="429">
        <v>52000</v>
      </c>
    </row>
    <row r="145" spans="1:6" ht="15" x14ac:dyDescent="0.3">
      <c r="A145" s="108">
        <v>45919</v>
      </c>
      <c r="B145" s="11" t="s">
        <v>4615</v>
      </c>
      <c r="C145" s="11" t="s">
        <v>2308</v>
      </c>
      <c r="D145" s="204" t="s">
        <v>4616</v>
      </c>
      <c r="E145" s="290"/>
      <c r="F145" s="289">
        <v>544000</v>
      </c>
    </row>
    <row r="146" spans="1:6" ht="15" x14ac:dyDescent="0.3">
      <c r="A146" s="108">
        <v>45919</v>
      </c>
      <c r="B146" s="11" t="s">
        <v>4615</v>
      </c>
      <c r="C146" s="11" t="s">
        <v>2308</v>
      </c>
      <c r="D146" s="204" t="s">
        <v>4617</v>
      </c>
      <c r="E146" s="290"/>
      <c r="F146" s="289">
        <v>1297500</v>
      </c>
    </row>
    <row r="147" spans="1:6" ht="15" x14ac:dyDescent="0.3">
      <c r="A147" s="108">
        <v>45919</v>
      </c>
      <c r="B147" s="11" t="s">
        <v>4615</v>
      </c>
      <c r="C147" s="11" t="s">
        <v>2308</v>
      </c>
      <c r="D147" s="204" t="s">
        <v>4618</v>
      </c>
      <c r="E147" s="290"/>
      <c r="F147" s="289">
        <v>36000</v>
      </c>
    </row>
    <row r="148" spans="1:6" ht="15" x14ac:dyDescent="0.3">
      <c r="A148" s="108">
        <v>45919</v>
      </c>
      <c r="B148" s="11" t="s">
        <v>4615</v>
      </c>
      <c r="C148" s="11" t="s">
        <v>2308</v>
      </c>
      <c r="D148" s="204" t="s">
        <v>4619</v>
      </c>
      <c r="E148" s="290"/>
      <c r="F148" s="289">
        <v>12400</v>
      </c>
    </row>
    <row r="149" spans="1:6" ht="15" x14ac:dyDescent="0.3">
      <c r="A149" s="108">
        <v>45919</v>
      </c>
      <c r="B149" s="11" t="s">
        <v>4615</v>
      </c>
      <c r="C149" s="11" t="s">
        <v>2308</v>
      </c>
      <c r="D149" s="204" t="s">
        <v>4620</v>
      </c>
      <c r="E149" s="290"/>
      <c r="F149" s="289">
        <v>58000</v>
      </c>
    </row>
    <row r="150" spans="1:6" ht="15" x14ac:dyDescent="0.3">
      <c r="A150" s="108">
        <v>45919</v>
      </c>
      <c r="B150" s="11" t="s">
        <v>4615</v>
      </c>
      <c r="C150" s="11" t="s">
        <v>2308</v>
      </c>
      <c r="D150" s="204" t="s">
        <v>4621</v>
      </c>
      <c r="E150" s="290"/>
      <c r="F150" s="289">
        <v>81000</v>
      </c>
    </row>
    <row r="151" spans="1:6" ht="15" x14ac:dyDescent="0.3">
      <c r="A151" s="108">
        <v>45919</v>
      </c>
      <c r="B151" s="11" t="s">
        <v>4622</v>
      </c>
      <c r="C151" s="11" t="s">
        <v>2308</v>
      </c>
      <c r="D151" s="204" t="s">
        <v>2364</v>
      </c>
      <c r="E151" s="290"/>
      <c r="F151" s="289">
        <v>127210</v>
      </c>
    </row>
    <row r="152" spans="1:6" ht="15" x14ac:dyDescent="0.3">
      <c r="A152" s="108">
        <v>45919</v>
      </c>
      <c r="B152" s="11" t="s">
        <v>4622</v>
      </c>
      <c r="C152" s="11" t="s">
        <v>2308</v>
      </c>
      <c r="D152" s="204" t="s">
        <v>4596</v>
      </c>
      <c r="E152" s="290"/>
      <c r="F152" s="289">
        <v>102000</v>
      </c>
    </row>
    <row r="153" spans="1:6" ht="15" x14ac:dyDescent="0.3">
      <c r="A153" s="108">
        <v>45919</v>
      </c>
      <c r="B153" s="11" t="s">
        <v>4492</v>
      </c>
      <c r="C153" s="11" t="s">
        <v>2308</v>
      </c>
      <c r="D153" s="204" t="s">
        <v>4623</v>
      </c>
      <c r="E153" s="290"/>
      <c r="F153" s="289">
        <v>20000</v>
      </c>
    </row>
    <row r="154" spans="1:6" ht="15" x14ac:dyDescent="0.3">
      <c r="A154" s="108">
        <v>45919</v>
      </c>
      <c r="B154" s="15" t="s">
        <v>4553</v>
      </c>
      <c r="C154" s="15" t="s">
        <v>2308</v>
      </c>
      <c r="D154" s="208" t="s">
        <v>4243</v>
      </c>
      <c r="E154" s="292"/>
      <c r="F154" s="285">
        <v>160500</v>
      </c>
    </row>
    <row r="155" spans="1:6" ht="15" x14ac:dyDescent="0.3">
      <c r="A155" s="108">
        <v>45919</v>
      </c>
      <c r="B155" s="15" t="s">
        <v>4553</v>
      </c>
      <c r="C155" s="15" t="s">
        <v>2308</v>
      </c>
      <c r="D155" s="208" t="s">
        <v>446</v>
      </c>
      <c r="E155" s="292"/>
      <c r="F155" s="285">
        <v>200000</v>
      </c>
    </row>
    <row r="156" spans="1:6" ht="15" x14ac:dyDescent="0.3">
      <c r="A156" s="108">
        <v>45919</v>
      </c>
      <c r="B156" s="15" t="s">
        <v>4553</v>
      </c>
      <c r="C156" s="15" t="s">
        <v>2308</v>
      </c>
      <c r="D156" s="208" t="s">
        <v>4624</v>
      </c>
      <c r="E156" s="292"/>
      <c r="F156" s="285">
        <v>397600</v>
      </c>
    </row>
    <row r="157" spans="1:6" ht="15" x14ac:dyDescent="0.3">
      <c r="A157" s="108">
        <v>45919</v>
      </c>
      <c r="B157" s="11" t="s">
        <v>4625</v>
      </c>
      <c r="C157" s="11" t="s">
        <v>2308</v>
      </c>
      <c r="D157" s="204" t="s">
        <v>4626</v>
      </c>
      <c r="E157" s="290"/>
      <c r="F157" s="289">
        <v>18959987</v>
      </c>
    </row>
    <row r="158" spans="1:6" ht="15" x14ac:dyDescent="0.3">
      <c r="A158" s="108">
        <v>45919</v>
      </c>
      <c r="B158" s="11" t="s">
        <v>4625</v>
      </c>
      <c r="C158" s="11" t="s">
        <v>2308</v>
      </c>
      <c r="D158" s="204" t="s">
        <v>4627</v>
      </c>
      <c r="E158" s="290"/>
      <c r="F158" s="289">
        <v>-758399</v>
      </c>
    </row>
    <row r="159" spans="1:6" ht="15" x14ac:dyDescent="0.3">
      <c r="A159" s="108">
        <v>45919</v>
      </c>
      <c r="B159" s="11" t="s">
        <v>4625</v>
      </c>
      <c r="C159" s="11" t="s">
        <v>2308</v>
      </c>
      <c r="D159" s="204" t="s">
        <v>4628</v>
      </c>
      <c r="E159" s="290">
        <v>947999</v>
      </c>
      <c r="F159" s="289"/>
    </row>
    <row r="160" spans="1:6" ht="15" x14ac:dyDescent="0.3">
      <c r="A160" s="108">
        <v>45919</v>
      </c>
      <c r="B160" s="11" t="s">
        <v>4625</v>
      </c>
      <c r="C160" s="11" t="s">
        <v>2308</v>
      </c>
      <c r="D160" s="204" t="s">
        <v>4629</v>
      </c>
      <c r="E160" s="290">
        <v>3791997</v>
      </c>
      <c r="F160" s="289"/>
    </row>
    <row r="161" spans="1:6" ht="15" x14ac:dyDescent="0.3">
      <c r="A161" s="108">
        <v>45919</v>
      </c>
      <c r="B161" s="11" t="s">
        <v>4625</v>
      </c>
      <c r="C161" s="11" t="s">
        <v>2308</v>
      </c>
      <c r="D161" s="204" t="s">
        <v>4146</v>
      </c>
      <c r="E161" s="290"/>
      <c r="F161" s="289">
        <v>2900</v>
      </c>
    </row>
    <row r="162" spans="1:6" ht="15" x14ac:dyDescent="0.3">
      <c r="A162" s="108">
        <v>45919</v>
      </c>
      <c r="B162" s="11" t="s">
        <v>4630</v>
      </c>
      <c r="C162" s="11" t="s">
        <v>2308</v>
      </c>
      <c r="D162" s="201" t="s">
        <v>4631</v>
      </c>
      <c r="E162" s="290"/>
      <c r="F162" s="289">
        <v>9125000</v>
      </c>
    </row>
    <row r="163" spans="1:6" ht="15" x14ac:dyDescent="0.3">
      <c r="A163" s="108">
        <v>45919</v>
      </c>
      <c r="B163" s="11" t="s">
        <v>4630</v>
      </c>
      <c r="C163" s="11" t="s">
        <v>2308</v>
      </c>
      <c r="D163" s="16" t="s">
        <v>4632</v>
      </c>
      <c r="E163" s="290"/>
      <c r="F163" s="289">
        <v>-46600</v>
      </c>
    </row>
    <row r="164" spans="1:6" ht="15" x14ac:dyDescent="0.3">
      <c r="A164" s="108">
        <v>45919</v>
      </c>
      <c r="B164" s="11" t="s">
        <v>4630</v>
      </c>
      <c r="C164" s="11" t="s">
        <v>2308</v>
      </c>
      <c r="D164" s="16" t="s">
        <v>4633</v>
      </c>
      <c r="E164" s="290"/>
      <c r="F164" s="289">
        <v>91202</v>
      </c>
    </row>
    <row r="165" spans="1:6" ht="15" x14ac:dyDescent="0.3">
      <c r="A165" s="108">
        <v>45919</v>
      </c>
      <c r="B165" s="11" t="s">
        <v>4630</v>
      </c>
      <c r="C165" s="11" t="s">
        <v>2308</v>
      </c>
      <c r="D165" s="204" t="s">
        <v>4634</v>
      </c>
      <c r="E165" s="290"/>
      <c r="F165" s="289">
        <v>2900</v>
      </c>
    </row>
    <row r="166" spans="1:6" ht="15" x14ac:dyDescent="0.3">
      <c r="A166" s="105">
        <v>45924</v>
      </c>
      <c r="B166" s="11" t="s">
        <v>4508</v>
      </c>
      <c r="C166" s="21" t="s">
        <v>2308</v>
      </c>
      <c r="D166" s="25" t="s">
        <v>4635</v>
      </c>
      <c r="E166" s="290"/>
      <c r="F166" s="417">
        <v>168460</v>
      </c>
    </row>
    <row r="167" spans="1:6" ht="15" x14ac:dyDescent="0.3">
      <c r="A167" s="105">
        <v>45924</v>
      </c>
      <c r="B167" s="11" t="s">
        <v>4508</v>
      </c>
      <c r="C167" s="21" t="s">
        <v>2308</v>
      </c>
      <c r="D167" s="25" t="s">
        <v>4510</v>
      </c>
      <c r="E167" s="290"/>
      <c r="F167" s="417">
        <v>2500</v>
      </c>
    </row>
    <row r="168" spans="1:6" ht="15" x14ac:dyDescent="0.3">
      <c r="A168" s="105">
        <v>45926</v>
      </c>
      <c r="B168" s="11" t="s">
        <v>4636</v>
      </c>
      <c r="C168" s="54" t="s">
        <v>2308</v>
      </c>
      <c r="D168" s="28" t="s">
        <v>4637</v>
      </c>
      <c r="E168" s="290"/>
      <c r="F168" s="289">
        <v>25448393</v>
      </c>
    </row>
    <row r="169" spans="1:6" ht="15" x14ac:dyDescent="0.3">
      <c r="A169" s="105">
        <v>45926</v>
      </c>
      <c r="B169" s="11" t="s">
        <v>4636</v>
      </c>
      <c r="C169" s="54" t="s">
        <v>2308</v>
      </c>
      <c r="D169" s="28" t="s">
        <v>4638</v>
      </c>
      <c r="E169" s="290"/>
      <c r="F169" s="289">
        <v>582064</v>
      </c>
    </row>
    <row r="170" spans="1:6" ht="15" x14ac:dyDescent="0.3">
      <c r="A170" s="105">
        <v>45926</v>
      </c>
      <c r="B170" s="11" t="s">
        <v>4636</v>
      </c>
      <c r="C170" s="54" t="s">
        <v>2308</v>
      </c>
      <c r="D170" s="28" t="s">
        <v>4639</v>
      </c>
      <c r="E170" s="290"/>
      <c r="F170" s="289">
        <v>-1272420</v>
      </c>
    </row>
    <row r="171" spans="1:6" ht="15" x14ac:dyDescent="0.3">
      <c r="A171" s="105">
        <v>45926</v>
      </c>
      <c r="B171" s="11" t="s">
        <v>4636</v>
      </c>
      <c r="C171" s="54" t="s">
        <v>2308</v>
      </c>
      <c r="D171" s="28" t="s">
        <v>4640</v>
      </c>
      <c r="E171" s="290"/>
      <c r="F171" s="289">
        <v>-5089679</v>
      </c>
    </row>
    <row r="172" spans="1:6" ht="15" x14ac:dyDescent="0.3">
      <c r="A172" s="105">
        <v>45926</v>
      </c>
      <c r="B172" s="11" t="s">
        <v>4636</v>
      </c>
      <c r="C172" s="54" t="s">
        <v>2308</v>
      </c>
      <c r="D172" s="28" t="s">
        <v>4641</v>
      </c>
      <c r="E172" s="290"/>
      <c r="F172" s="289">
        <v>2900</v>
      </c>
    </row>
    <row r="173" spans="1:6" ht="15" x14ac:dyDescent="0.3">
      <c r="A173" s="105">
        <v>45930</v>
      </c>
      <c r="B173" s="11" t="s">
        <v>4642</v>
      </c>
      <c r="C173" s="54" t="s">
        <v>2308</v>
      </c>
      <c r="D173" s="28" t="s">
        <v>4643</v>
      </c>
      <c r="E173" s="290">
        <v>91202</v>
      </c>
      <c r="F173" s="289"/>
    </row>
    <row r="174" spans="1:6" ht="15" x14ac:dyDescent="0.3">
      <c r="A174" s="105">
        <v>45931</v>
      </c>
      <c r="B174" s="11" t="s">
        <v>5108</v>
      </c>
      <c r="C174" s="54" t="s">
        <v>2308</v>
      </c>
      <c r="D174" s="28" t="s">
        <v>5109</v>
      </c>
      <c r="E174" s="290"/>
      <c r="F174" s="289">
        <v>466000</v>
      </c>
    </row>
    <row r="175" spans="1:6" ht="15" x14ac:dyDescent="0.3">
      <c r="A175" s="105">
        <v>45936</v>
      </c>
      <c r="B175" s="11" t="s">
        <v>5110</v>
      </c>
      <c r="C175" s="54" t="s">
        <v>2308</v>
      </c>
      <c r="D175" s="28" t="s">
        <v>1326</v>
      </c>
      <c r="E175" s="290"/>
      <c r="F175" s="289">
        <v>738808</v>
      </c>
    </row>
    <row r="176" spans="1:6" ht="15" x14ac:dyDescent="0.3">
      <c r="A176" s="105">
        <v>45936</v>
      </c>
      <c r="B176" s="11" t="s">
        <v>5110</v>
      </c>
      <c r="C176" s="54" t="s">
        <v>2308</v>
      </c>
      <c r="D176" s="28" t="s">
        <v>1325</v>
      </c>
      <c r="E176" s="290"/>
      <c r="F176" s="289">
        <v>447000</v>
      </c>
    </row>
    <row r="177" spans="1:6" ht="15" x14ac:dyDescent="0.3">
      <c r="A177" s="105">
        <v>45936</v>
      </c>
      <c r="B177" s="11" t="s">
        <v>5110</v>
      </c>
      <c r="C177" s="54" t="s">
        <v>2308</v>
      </c>
      <c r="D177" s="28" t="s">
        <v>5111</v>
      </c>
      <c r="E177" s="290"/>
      <c r="F177" s="289">
        <v>322000</v>
      </c>
    </row>
    <row r="178" spans="1:6" ht="15" x14ac:dyDescent="0.3">
      <c r="A178" s="105">
        <v>45936</v>
      </c>
      <c r="B178" s="11" t="s">
        <v>5110</v>
      </c>
      <c r="C178" s="54" t="s">
        <v>2308</v>
      </c>
      <c r="D178" s="28" t="s">
        <v>5112</v>
      </c>
      <c r="E178" s="290"/>
      <c r="F178" s="289">
        <v>146500</v>
      </c>
    </row>
    <row r="179" spans="1:6" ht="15" x14ac:dyDescent="0.3">
      <c r="A179" s="105">
        <v>45936</v>
      </c>
      <c r="B179" s="11" t="s">
        <v>5110</v>
      </c>
      <c r="C179" s="54" t="s">
        <v>2308</v>
      </c>
      <c r="D179" s="28" t="s">
        <v>5113</v>
      </c>
      <c r="E179" s="290"/>
      <c r="F179" s="289">
        <v>161500</v>
      </c>
    </row>
    <row r="180" spans="1:6" ht="15" x14ac:dyDescent="0.3">
      <c r="A180" s="105">
        <v>45939</v>
      </c>
      <c r="B180" s="11" t="s">
        <v>5114</v>
      </c>
      <c r="C180" s="22" t="s">
        <v>2308</v>
      </c>
      <c r="D180" s="14" t="s">
        <v>5115</v>
      </c>
      <c r="E180" s="375"/>
      <c r="F180" s="285">
        <v>76000</v>
      </c>
    </row>
    <row r="181" spans="1:6" ht="15" x14ac:dyDescent="0.3">
      <c r="A181" s="105">
        <v>45943</v>
      </c>
      <c r="B181" s="11" t="s">
        <v>5116</v>
      </c>
      <c r="C181" s="54" t="s">
        <v>2308</v>
      </c>
      <c r="D181" s="28" t="s">
        <v>5117</v>
      </c>
      <c r="E181" s="290"/>
      <c r="F181" s="289">
        <v>8400000</v>
      </c>
    </row>
    <row r="182" spans="1:6" ht="15" x14ac:dyDescent="0.3">
      <c r="A182" s="105">
        <v>45943</v>
      </c>
      <c r="B182" s="11" t="s">
        <v>5116</v>
      </c>
      <c r="C182" s="54" t="s">
        <v>2308</v>
      </c>
      <c r="D182" s="28" t="s">
        <v>5118</v>
      </c>
      <c r="E182" s="290"/>
      <c r="F182" s="289">
        <v>924000</v>
      </c>
    </row>
    <row r="183" spans="1:6" ht="15" x14ac:dyDescent="0.3">
      <c r="A183" s="105">
        <v>45943</v>
      </c>
      <c r="B183" s="11" t="s">
        <v>5116</v>
      </c>
      <c r="C183" s="54" t="s">
        <v>2308</v>
      </c>
      <c r="D183" s="28" t="s">
        <v>5119</v>
      </c>
      <c r="E183" s="290"/>
      <c r="F183" s="289">
        <v>2900</v>
      </c>
    </row>
    <row r="184" spans="1:6" ht="15" x14ac:dyDescent="0.3">
      <c r="A184" s="105">
        <v>45946</v>
      </c>
      <c r="B184" s="11" t="s">
        <v>5120</v>
      </c>
      <c r="C184" s="54" t="s">
        <v>2308</v>
      </c>
      <c r="D184" s="28" t="s">
        <v>5121</v>
      </c>
      <c r="E184" s="290"/>
      <c r="F184" s="289">
        <v>23000000</v>
      </c>
    </row>
    <row r="185" spans="1:6" ht="15" x14ac:dyDescent="0.3">
      <c r="A185" s="105">
        <v>45946</v>
      </c>
      <c r="B185" s="11" t="s">
        <v>5122</v>
      </c>
      <c r="C185" s="54" t="s">
        <v>2308</v>
      </c>
      <c r="D185" s="28" t="s">
        <v>5123</v>
      </c>
      <c r="E185" s="290"/>
      <c r="F185" s="289">
        <v>2600000</v>
      </c>
    </row>
    <row r="186" spans="1:6" ht="15" x14ac:dyDescent="0.3">
      <c r="A186" s="105">
        <v>45946</v>
      </c>
      <c r="B186" s="11" t="s">
        <v>5122</v>
      </c>
      <c r="C186" s="54" t="s">
        <v>2308</v>
      </c>
      <c r="D186" s="28" t="s">
        <v>5124</v>
      </c>
      <c r="E186" s="290"/>
      <c r="F186" s="289">
        <v>286000</v>
      </c>
    </row>
    <row r="187" spans="1:6" ht="15" x14ac:dyDescent="0.3">
      <c r="A187" s="105">
        <v>45947</v>
      </c>
      <c r="B187" s="11" t="s">
        <v>5125</v>
      </c>
      <c r="C187" s="54" t="s">
        <v>2308</v>
      </c>
      <c r="D187" s="28" t="s">
        <v>5126</v>
      </c>
      <c r="E187" s="290"/>
      <c r="F187" s="289">
        <v>50000</v>
      </c>
    </row>
    <row r="188" spans="1:6" ht="15" x14ac:dyDescent="0.3">
      <c r="A188" s="105">
        <v>45947</v>
      </c>
      <c r="B188" s="11" t="s">
        <v>5125</v>
      </c>
      <c r="C188" s="54" t="s">
        <v>2308</v>
      </c>
      <c r="D188" s="28" t="s">
        <v>5127</v>
      </c>
      <c r="E188" s="290"/>
      <c r="F188" s="289">
        <v>34000</v>
      </c>
    </row>
    <row r="189" spans="1:6" ht="15" x14ac:dyDescent="0.3">
      <c r="A189" s="105">
        <v>45947</v>
      </c>
      <c r="B189" s="11" t="s">
        <v>5128</v>
      </c>
      <c r="C189" s="54" t="s">
        <v>2308</v>
      </c>
      <c r="D189" s="28" t="s">
        <v>5129</v>
      </c>
      <c r="E189" s="290"/>
      <c r="F189" s="289">
        <v>82000</v>
      </c>
    </row>
    <row r="190" spans="1:6" ht="15" x14ac:dyDescent="0.3">
      <c r="A190" s="105">
        <v>45947</v>
      </c>
      <c r="B190" s="11" t="s">
        <v>5130</v>
      </c>
      <c r="C190" s="54" t="s">
        <v>2308</v>
      </c>
      <c r="D190" s="28" t="s">
        <v>446</v>
      </c>
      <c r="E190" s="290"/>
      <c r="F190" s="289">
        <v>295004</v>
      </c>
    </row>
    <row r="191" spans="1:6" ht="15" x14ac:dyDescent="0.3">
      <c r="A191" s="105">
        <v>45947</v>
      </c>
      <c r="B191" s="11" t="s">
        <v>5130</v>
      </c>
      <c r="C191" s="54" t="s">
        <v>2308</v>
      </c>
      <c r="D191" s="28" t="s">
        <v>2018</v>
      </c>
      <c r="E191" s="290"/>
      <c r="F191" s="289">
        <v>2900</v>
      </c>
    </row>
    <row r="192" spans="1:6" ht="15" x14ac:dyDescent="0.3">
      <c r="A192" s="105">
        <v>45954</v>
      </c>
      <c r="B192" s="11" t="s">
        <v>5131</v>
      </c>
      <c r="C192" s="54" t="s">
        <v>2308</v>
      </c>
      <c r="D192" s="28" t="s">
        <v>404</v>
      </c>
      <c r="E192" s="290"/>
      <c r="F192" s="289">
        <v>37000</v>
      </c>
    </row>
    <row r="193" spans="1:6" ht="15" x14ac:dyDescent="0.3">
      <c r="A193" s="105">
        <v>45954</v>
      </c>
      <c r="B193" s="11" t="s">
        <v>5131</v>
      </c>
      <c r="C193" s="54" t="s">
        <v>2308</v>
      </c>
      <c r="D193" s="28" t="s">
        <v>405</v>
      </c>
      <c r="E193" s="290"/>
      <c r="F193" s="289">
        <v>300000</v>
      </c>
    </row>
    <row r="194" spans="1:6" ht="15" x14ac:dyDescent="0.3">
      <c r="A194" s="105">
        <v>45954</v>
      </c>
      <c r="B194" s="11" t="s">
        <v>5132</v>
      </c>
      <c r="C194" s="54" t="s">
        <v>2308</v>
      </c>
      <c r="D194" s="28" t="s">
        <v>5133</v>
      </c>
      <c r="E194" s="290"/>
      <c r="F194" s="289">
        <v>182000</v>
      </c>
    </row>
    <row r="195" spans="1:6" ht="15" x14ac:dyDescent="0.3">
      <c r="A195" s="105">
        <v>45954</v>
      </c>
      <c r="B195" s="11" t="s">
        <v>5132</v>
      </c>
      <c r="C195" s="54" t="s">
        <v>2308</v>
      </c>
      <c r="D195" s="28" t="s">
        <v>4617</v>
      </c>
      <c r="E195" s="290"/>
      <c r="F195" s="289">
        <v>30000</v>
      </c>
    </row>
    <row r="196" spans="1:6" ht="15" x14ac:dyDescent="0.3">
      <c r="A196" s="105">
        <v>45954</v>
      </c>
      <c r="B196" s="11" t="s">
        <v>5132</v>
      </c>
      <c r="C196" s="54" t="s">
        <v>2308</v>
      </c>
      <c r="D196" s="234" t="s">
        <v>5134</v>
      </c>
      <c r="E196" s="290"/>
      <c r="F196" s="370">
        <v>202500</v>
      </c>
    </row>
    <row r="197" spans="1:6" ht="15" x14ac:dyDescent="0.3">
      <c r="A197" s="105">
        <v>45954</v>
      </c>
      <c r="B197" s="11" t="s">
        <v>5082</v>
      </c>
      <c r="C197" s="54" t="s">
        <v>2308</v>
      </c>
      <c r="D197" s="234" t="s">
        <v>5135</v>
      </c>
      <c r="E197" s="290"/>
      <c r="F197" s="370">
        <v>137000</v>
      </c>
    </row>
    <row r="198" spans="1:6" ht="15" x14ac:dyDescent="0.3">
      <c r="A198" s="33">
        <v>45973</v>
      </c>
      <c r="B198" s="31" t="s">
        <v>5802</v>
      </c>
      <c r="C198" s="31" t="s">
        <v>5803</v>
      </c>
      <c r="D198" s="516" t="s">
        <v>5804</v>
      </c>
      <c r="E198" s="431"/>
      <c r="F198" s="520">
        <v>6179750</v>
      </c>
    </row>
    <row r="199" spans="1:6" ht="15" x14ac:dyDescent="0.3">
      <c r="A199" s="33">
        <v>45973</v>
      </c>
      <c r="B199" s="31" t="s">
        <v>5802</v>
      </c>
      <c r="C199" s="31" t="s">
        <v>5803</v>
      </c>
      <c r="D199" s="516" t="s">
        <v>650</v>
      </c>
      <c r="E199" s="431"/>
      <c r="F199" s="429">
        <v>2500</v>
      </c>
    </row>
    <row r="200" spans="1:6" ht="15" x14ac:dyDescent="0.3">
      <c r="A200" s="33">
        <v>45966</v>
      </c>
      <c r="B200" s="11" t="s">
        <v>5805</v>
      </c>
      <c r="C200" s="11" t="s">
        <v>2308</v>
      </c>
      <c r="D200" s="517" t="s">
        <v>5806</v>
      </c>
      <c r="E200" s="289"/>
      <c r="F200" s="416">
        <v>7864794</v>
      </c>
    </row>
    <row r="201" spans="1:6" ht="15" x14ac:dyDescent="0.3">
      <c r="A201" s="33">
        <v>45966</v>
      </c>
      <c r="B201" s="11" t="s">
        <v>5805</v>
      </c>
      <c r="C201" s="11" t="s">
        <v>2308</v>
      </c>
      <c r="D201" s="517" t="s">
        <v>5807</v>
      </c>
      <c r="E201" s="289"/>
      <c r="F201" s="416">
        <v>421750</v>
      </c>
    </row>
    <row r="202" spans="1:6" ht="15" x14ac:dyDescent="0.3">
      <c r="A202" s="33">
        <v>45978</v>
      </c>
      <c r="B202" s="11" t="s">
        <v>5808</v>
      </c>
      <c r="C202" s="11" t="s">
        <v>2308</v>
      </c>
      <c r="D202" s="517" t="s">
        <v>5809</v>
      </c>
      <c r="E202" s="289"/>
      <c r="F202" s="416">
        <v>18340308</v>
      </c>
    </row>
    <row r="203" spans="1:6" ht="15" x14ac:dyDescent="0.3">
      <c r="A203" s="33">
        <v>45978</v>
      </c>
      <c r="B203" s="11" t="s">
        <v>5808</v>
      </c>
      <c r="C203" s="11" t="s">
        <v>2308</v>
      </c>
      <c r="D203" s="517" t="s">
        <v>5810</v>
      </c>
      <c r="E203" s="289"/>
      <c r="F203" s="416">
        <v>421500</v>
      </c>
    </row>
    <row r="204" spans="1:6" ht="15" x14ac:dyDescent="0.3">
      <c r="A204" s="33">
        <v>45995</v>
      </c>
      <c r="B204" s="11" t="s">
        <v>5811</v>
      </c>
      <c r="C204" s="11" t="s">
        <v>2308</v>
      </c>
      <c r="D204" s="234" t="s">
        <v>5812</v>
      </c>
      <c r="E204" s="289"/>
      <c r="F204" s="416">
        <v>39520256</v>
      </c>
    </row>
    <row r="205" spans="1:6" ht="15" x14ac:dyDescent="0.3">
      <c r="A205" s="33">
        <v>45995</v>
      </c>
      <c r="B205" s="11" t="s">
        <v>5811</v>
      </c>
      <c r="C205" s="11" t="s">
        <v>2308</v>
      </c>
      <c r="D205" s="234" t="s">
        <v>5813</v>
      </c>
      <c r="E205" s="289"/>
      <c r="F205" s="416">
        <v>419500</v>
      </c>
    </row>
    <row r="206" spans="1:6" ht="15.6" x14ac:dyDescent="0.3">
      <c r="A206" s="105">
        <v>46003</v>
      </c>
      <c r="B206" s="11" t="s">
        <v>5814</v>
      </c>
      <c r="C206" s="253" t="s">
        <v>2308</v>
      </c>
      <c r="D206" s="515" t="s">
        <v>5815</v>
      </c>
      <c r="E206" s="501"/>
      <c r="F206" s="311">
        <v>60000</v>
      </c>
    </row>
    <row r="207" spans="1:6" ht="15.6" x14ac:dyDescent="0.3">
      <c r="A207" s="105">
        <v>46003</v>
      </c>
      <c r="B207" s="11" t="s">
        <v>5814</v>
      </c>
      <c r="C207" s="253" t="s">
        <v>2308</v>
      </c>
      <c r="D207" s="515" t="s">
        <v>5816</v>
      </c>
      <c r="E207" s="501"/>
      <c r="F207" s="311">
        <v>15000</v>
      </c>
    </row>
    <row r="208" spans="1:6" ht="15.6" x14ac:dyDescent="0.3">
      <c r="A208" s="105">
        <v>46003</v>
      </c>
      <c r="B208" s="11" t="s">
        <v>5817</v>
      </c>
      <c r="C208" s="253" t="s">
        <v>2308</v>
      </c>
      <c r="D208" s="515" t="s">
        <v>5818</v>
      </c>
      <c r="E208" s="501"/>
      <c r="F208" s="311">
        <v>250000</v>
      </c>
    </row>
    <row r="209" spans="1:6" ht="15.6" x14ac:dyDescent="0.3">
      <c r="A209" s="105">
        <v>46003</v>
      </c>
      <c r="B209" s="130" t="s">
        <v>5817</v>
      </c>
      <c r="C209" s="253" t="s">
        <v>2308</v>
      </c>
      <c r="D209" s="514" t="s">
        <v>5744</v>
      </c>
      <c r="E209" s="501"/>
      <c r="F209" s="311">
        <v>51000</v>
      </c>
    </row>
    <row r="210" spans="1:6" ht="15.6" x14ac:dyDescent="0.3">
      <c r="A210" s="105">
        <v>46003</v>
      </c>
      <c r="B210" s="130" t="s">
        <v>5817</v>
      </c>
      <c r="C210" s="253" t="s">
        <v>2308</v>
      </c>
      <c r="D210" s="514" t="s">
        <v>5819</v>
      </c>
      <c r="E210" s="501"/>
      <c r="F210" s="311">
        <v>426000</v>
      </c>
    </row>
    <row r="211" spans="1:6" ht="15.6" x14ac:dyDescent="0.3">
      <c r="A211" s="105">
        <v>46008</v>
      </c>
      <c r="B211" s="112" t="s">
        <v>5820</v>
      </c>
      <c r="C211" s="253" t="s">
        <v>2308</v>
      </c>
      <c r="D211" s="513" t="s">
        <v>5821</v>
      </c>
      <c r="E211" s="501"/>
      <c r="F211" s="311">
        <v>2150000</v>
      </c>
    </row>
    <row r="212" spans="1:6" ht="15.6" x14ac:dyDescent="0.3">
      <c r="A212" s="105">
        <v>46008</v>
      </c>
      <c r="B212" s="112" t="s">
        <v>5820</v>
      </c>
      <c r="C212" s="253" t="s">
        <v>2308</v>
      </c>
      <c r="D212" s="513" t="s">
        <v>5822</v>
      </c>
      <c r="E212" s="501"/>
      <c r="F212" s="311">
        <v>236500</v>
      </c>
    </row>
    <row r="213" spans="1:6" ht="15.6" x14ac:dyDescent="0.3">
      <c r="A213" s="33">
        <v>46008</v>
      </c>
      <c r="B213" s="351" t="s">
        <v>5820</v>
      </c>
      <c r="C213" s="352" t="s">
        <v>2308</v>
      </c>
      <c r="D213" s="513" t="s">
        <v>5823</v>
      </c>
      <c r="E213" s="502"/>
      <c r="F213" s="350">
        <v>2900</v>
      </c>
    </row>
    <row r="214" spans="1:6" ht="15.6" x14ac:dyDescent="0.3">
      <c r="A214" s="634" t="s">
        <v>6146</v>
      </c>
      <c r="B214" s="589" t="s">
        <v>6187</v>
      </c>
      <c r="C214" s="635" t="s">
        <v>2308</v>
      </c>
      <c r="D214" s="589" t="s">
        <v>6188</v>
      </c>
      <c r="E214" s="632"/>
      <c r="F214" s="582">
        <v>173500</v>
      </c>
    </row>
    <row r="215" spans="1:6" ht="15.6" x14ac:dyDescent="0.3">
      <c r="A215" s="634" t="s">
        <v>6146</v>
      </c>
      <c r="B215" s="589" t="s">
        <v>6187</v>
      </c>
      <c r="C215" s="635" t="s">
        <v>2308</v>
      </c>
      <c r="D215" s="589" t="s">
        <v>6189</v>
      </c>
      <c r="E215" s="632"/>
      <c r="F215" s="582">
        <v>300000</v>
      </c>
    </row>
    <row r="216" spans="1:6" ht="15.6" x14ac:dyDescent="0.3">
      <c r="A216" s="634" t="s">
        <v>6146</v>
      </c>
      <c r="B216" s="589" t="s">
        <v>6187</v>
      </c>
      <c r="C216" s="635" t="s">
        <v>2308</v>
      </c>
      <c r="D216" s="589" t="s">
        <v>6190</v>
      </c>
      <c r="E216" s="632"/>
      <c r="F216" s="582">
        <v>109000</v>
      </c>
    </row>
    <row r="217" spans="1:6" ht="15.6" x14ac:dyDescent="0.3">
      <c r="A217" s="634" t="s">
        <v>6143</v>
      </c>
      <c r="B217" s="589" t="s">
        <v>6191</v>
      </c>
      <c r="C217" s="635" t="s">
        <v>2308</v>
      </c>
      <c r="D217" s="589" t="s">
        <v>6192</v>
      </c>
      <c r="E217" s="632"/>
      <c r="F217" s="582">
        <v>350000</v>
      </c>
    </row>
    <row r="218" spans="1:6" ht="15.6" x14ac:dyDescent="0.3">
      <c r="A218" s="634" t="s">
        <v>6143</v>
      </c>
      <c r="B218" s="589" t="s">
        <v>6191</v>
      </c>
      <c r="C218" s="635" t="s">
        <v>2308</v>
      </c>
      <c r="D218" s="589" t="s">
        <v>6193</v>
      </c>
      <c r="E218" s="632"/>
      <c r="F218" s="582">
        <v>64000</v>
      </c>
    </row>
    <row r="219" spans="1:6" ht="15.6" x14ac:dyDescent="0.3">
      <c r="A219" s="634" t="s">
        <v>6143</v>
      </c>
      <c r="B219" s="589" t="s">
        <v>6191</v>
      </c>
      <c r="C219" s="635" t="s">
        <v>2308</v>
      </c>
      <c r="D219" s="589" t="s">
        <v>6194</v>
      </c>
      <c r="E219" s="632"/>
      <c r="F219" s="582">
        <v>6500</v>
      </c>
    </row>
    <row r="220" spans="1:6" ht="15.6" x14ac:dyDescent="0.3">
      <c r="A220" s="634" t="s">
        <v>6143</v>
      </c>
      <c r="B220" s="589" t="s">
        <v>6147</v>
      </c>
      <c r="C220" s="635" t="s">
        <v>2308</v>
      </c>
      <c r="D220" s="589" t="s">
        <v>6195</v>
      </c>
      <c r="E220" s="632"/>
      <c r="F220" s="582">
        <v>166000</v>
      </c>
    </row>
    <row r="221" spans="1:6" ht="15.6" x14ac:dyDescent="0.3">
      <c r="A221" s="634" t="s">
        <v>6143</v>
      </c>
      <c r="B221" s="589" t="s">
        <v>6147</v>
      </c>
      <c r="C221" s="635" t="s">
        <v>2308</v>
      </c>
      <c r="D221" s="589" t="s">
        <v>6195</v>
      </c>
      <c r="E221" s="632"/>
      <c r="F221" s="582">
        <v>51000</v>
      </c>
    </row>
    <row r="222" spans="1:6" ht="15.6" x14ac:dyDescent="0.3">
      <c r="A222" s="634" t="s">
        <v>6143</v>
      </c>
      <c r="B222" s="589" t="s">
        <v>6147</v>
      </c>
      <c r="C222" s="635" t="s">
        <v>2308</v>
      </c>
      <c r="D222" s="589" t="s">
        <v>6196</v>
      </c>
      <c r="E222" s="632"/>
      <c r="F222" s="582">
        <v>189000</v>
      </c>
    </row>
    <row r="223" spans="1:6" ht="15.6" x14ac:dyDescent="0.3">
      <c r="A223" s="634" t="s">
        <v>6143</v>
      </c>
      <c r="B223" s="589" t="s">
        <v>6147</v>
      </c>
      <c r="C223" s="635" t="s">
        <v>2308</v>
      </c>
      <c r="D223" s="589" t="s">
        <v>6197</v>
      </c>
      <c r="E223" s="632"/>
      <c r="F223" s="582">
        <v>78000</v>
      </c>
    </row>
    <row r="224" spans="1:6" ht="15.6" x14ac:dyDescent="0.3">
      <c r="A224" s="634" t="s">
        <v>6143</v>
      </c>
      <c r="B224" s="589" t="s">
        <v>6147</v>
      </c>
      <c r="C224" s="635" t="s">
        <v>2308</v>
      </c>
      <c r="D224" s="589" t="s">
        <v>6152</v>
      </c>
      <c r="E224" s="632"/>
      <c r="F224" s="582">
        <v>2500</v>
      </c>
    </row>
    <row r="225" spans="1:6" ht="15.6" x14ac:dyDescent="0.3">
      <c r="A225" s="634" t="s">
        <v>6143</v>
      </c>
      <c r="B225" s="589" t="s">
        <v>6147</v>
      </c>
      <c r="C225" s="635" t="s">
        <v>2308</v>
      </c>
      <c r="D225" s="589" t="s">
        <v>6152</v>
      </c>
      <c r="E225" s="632"/>
      <c r="F225" s="582">
        <v>2500</v>
      </c>
    </row>
    <row r="226" spans="1:6" ht="15.6" x14ac:dyDescent="0.3">
      <c r="A226" s="634" t="s">
        <v>6144</v>
      </c>
      <c r="B226" s="589" t="s">
        <v>6149</v>
      </c>
      <c r="C226" s="635" t="s">
        <v>2308</v>
      </c>
      <c r="D226" s="589" t="s">
        <v>6198</v>
      </c>
      <c r="E226" s="632"/>
      <c r="F226" s="582">
        <v>1200000</v>
      </c>
    </row>
    <row r="227" spans="1:6" ht="15.6" x14ac:dyDescent="0.3">
      <c r="A227" s="634" t="s">
        <v>6144</v>
      </c>
      <c r="B227" s="589" t="s">
        <v>6149</v>
      </c>
      <c r="C227" s="635" t="s">
        <v>2308</v>
      </c>
      <c r="D227" s="589" t="s">
        <v>6152</v>
      </c>
      <c r="E227" s="632"/>
      <c r="F227" s="582">
        <v>2500</v>
      </c>
    </row>
    <row r="228" spans="1:6" ht="15.6" x14ac:dyDescent="0.3">
      <c r="A228" s="634" t="s">
        <v>6199</v>
      </c>
      <c r="B228" s="589" t="s">
        <v>6200</v>
      </c>
      <c r="C228" s="635" t="s">
        <v>2308</v>
      </c>
      <c r="D228" s="589" t="s">
        <v>6201</v>
      </c>
      <c r="E228" s="632"/>
      <c r="F228" s="582">
        <v>202500</v>
      </c>
    </row>
    <row r="229" spans="1:6" ht="15.6" x14ac:dyDescent="0.3">
      <c r="A229" s="634" t="s">
        <v>6199</v>
      </c>
      <c r="B229" s="589" t="s">
        <v>6200</v>
      </c>
      <c r="C229" s="635" t="s">
        <v>2308</v>
      </c>
      <c r="D229" s="589" t="s">
        <v>6202</v>
      </c>
      <c r="E229" s="632"/>
      <c r="F229" s="582">
        <v>2804000</v>
      </c>
    </row>
    <row r="230" spans="1:6" ht="15.6" x14ac:dyDescent="0.3">
      <c r="A230" s="634" t="s">
        <v>6199</v>
      </c>
      <c r="B230" s="589" t="s">
        <v>6200</v>
      </c>
      <c r="C230" s="635" t="s">
        <v>2308</v>
      </c>
      <c r="D230" s="589" t="s">
        <v>6203</v>
      </c>
      <c r="E230" s="632"/>
      <c r="F230" s="582">
        <v>246500</v>
      </c>
    </row>
    <row r="231" spans="1:6" ht="15.6" x14ac:dyDescent="0.3">
      <c r="A231" s="634" t="s">
        <v>6199</v>
      </c>
      <c r="B231" s="589" t="s">
        <v>6200</v>
      </c>
      <c r="C231" s="635" t="s">
        <v>2308</v>
      </c>
      <c r="D231" s="589" t="s">
        <v>6204</v>
      </c>
      <c r="E231" s="632"/>
      <c r="F231" s="582">
        <v>350000</v>
      </c>
    </row>
    <row r="232" spans="1:6" ht="15.6" x14ac:dyDescent="0.3">
      <c r="A232" s="634" t="s">
        <v>6199</v>
      </c>
      <c r="B232" s="589" t="s">
        <v>6200</v>
      </c>
      <c r="C232" s="635" t="s">
        <v>2308</v>
      </c>
      <c r="D232" s="589" t="s">
        <v>6205</v>
      </c>
      <c r="E232" s="632"/>
      <c r="F232" s="582">
        <v>108570</v>
      </c>
    </row>
    <row r="233" spans="1:6" ht="15.6" x14ac:dyDescent="0.3">
      <c r="A233" s="634" t="s">
        <v>6145</v>
      </c>
      <c r="B233" s="589" t="s">
        <v>6153</v>
      </c>
      <c r="C233" s="635" t="s">
        <v>2308</v>
      </c>
      <c r="D233" s="589" t="s">
        <v>6206</v>
      </c>
      <c r="E233" s="632"/>
      <c r="F233" s="582">
        <v>2500000</v>
      </c>
    </row>
    <row r="234" spans="1:6" ht="15.6" x14ac:dyDescent="0.3">
      <c r="A234" s="634" t="s">
        <v>6145</v>
      </c>
      <c r="B234" s="589" t="s">
        <v>6153</v>
      </c>
      <c r="C234" s="635" t="s">
        <v>2308</v>
      </c>
      <c r="D234" s="589" t="s">
        <v>6207</v>
      </c>
      <c r="E234" s="632"/>
      <c r="F234" s="582">
        <v>190000</v>
      </c>
    </row>
    <row r="235" spans="1:6" ht="15.6" x14ac:dyDescent="0.3">
      <c r="A235" s="634" t="s">
        <v>6145</v>
      </c>
      <c r="B235" s="589" t="s">
        <v>6153</v>
      </c>
      <c r="C235" s="635" t="s">
        <v>2308</v>
      </c>
      <c r="D235" s="589" t="s">
        <v>105</v>
      </c>
      <c r="E235" s="632"/>
      <c r="F235" s="582">
        <v>2500</v>
      </c>
    </row>
    <row r="236" spans="1:6" ht="15.6" x14ac:dyDescent="0.3">
      <c r="A236" s="634" t="s">
        <v>6145</v>
      </c>
      <c r="B236" s="589" t="s">
        <v>6153</v>
      </c>
      <c r="C236" s="635" t="s">
        <v>2308</v>
      </c>
      <c r="D236" s="589" t="s">
        <v>105</v>
      </c>
      <c r="E236" s="632"/>
      <c r="F236" s="582">
        <v>2500</v>
      </c>
    </row>
    <row r="237" spans="1:6" ht="15.6" x14ac:dyDescent="0.3">
      <c r="A237" s="634" t="s">
        <v>6208</v>
      </c>
      <c r="B237" s="589" t="s">
        <v>6209</v>
      </c>
      <c r="C237" s="635" t="s">
        <v>2308</v>
      </c>
      <c r="D237" s="589" t="s">
        <v>6210</v>
      </c>
      <c r="E237" s="632"/>
      <c r="F237" s="582">
        <v>27000</v>
      </c>
    </row>
    <row r="238" spans="1:6" ht="15.6" x14ac:dyDescent="0.3">
      <c r="A238" s="634" t="s">
        <v>6208</v>
      </c>
      <c r="B238" s="589" t="s">
        <v>6209</v>
      </c>
      <c r="C238" s="635" t="s">
        <v>2308</v>
      </c>
      <c r="D238" s="589" t="s">
        <v>6211</v>
      </c>
      <c r="E238" s="632"/>
      <c r="F238" s="582">
        <v>65000</v>
      </c>
    </row>
    <row r="239" spans="1:6" ht="15.6" x14ac:dyDescent="0.3">
      <c r="A239" s="634" t="s">
        <v>6208</v>
      </c>
      <c r="B239" s="589" t="s">
        <v>6212</v>
      </c>
      <c r="C239" s="635" t="s">
        <v>2308</v>
      </c>
      <c r="D239" s="589" t="s">
        <v>6213</v>
      </c>
      <c r="E239" s="632"/>
      <c r="F239" s="582">
        <v>800000</v>
      </c>
    </row>
    <row r="240" spans="1:6" ht="15.6" x14ac:dyDescent="0.3">
      <c r="A240" s="634" t="s">
        <v>6208</v>
      </c>
      <c r="B240" s="589" t="s">
        <v>6212</v>
      </c>
      <c r="C240" s="635" t="s">
        <v>2308</v>
      </c>
      <c r="D240" s="589" t="s">
        <v>6152</v>
      </c>
      <c r="E240" s="632"/>
      <c r="F240" s="582">
        <v>2500</v>
      </c>
    </row>
    <row r="241" spans="1:6" ht="15.6" x14ac:dyDescent="0.3">
      <c r="A241" s="634" t="s">
        <v>6214</v>
      </c>
      <c r="B241" s="589" t="s">
        <v>6215</v>
      </c>
      <c r="C241" s="635" t="s">
        <v>2308</v>
      </c>
      <c r="D241" s="589" t="s">
        <v>6216</v>
      </c>
      <c r="E241" s="632"/>
      <c r="F241" s="582">
        <v>2250000</v>
      </c>
    </row>
    <row r="242" spans="1:6" ht="15.6" x14ac:dyDescent="0.3">
      <c r="A242" s="634" t="s">
        <v>6214</v>
      </c>
      <c r="B242" s="589" t="s">
        <v>6215</v>
      </c>
      <c r="C242" s="635" t="s">
        <v>2308</v>
      </c>
      <c r="D242" s="589" t="s">
        <v>6152</v>
      </c>
      <c r="E242" s="632"/>
      <c r="F242" s="582">
        <v>2500</v>
      </c>
    </row>
    <row r="243" spans="1:6" ht="15.6" x14ac:dyDescent="0.3">
      <c r="A243" s="634" t="s">
        <v>6217</v>
      </c>
      <c r="B243" s="589" t="s">
        <v>6218</v>
      </c>
      <c r="C243" s="635" t="s">
        <v>2308</v>
      </c>
      <c r="D243" s="589" t="s">
        <v>6219</v>
      </c>
      <c r="E243" s="632"/>
      <c r="F243" s="582">
        <v>34000</v>
      </c>
    </row>
    <row r="244" spans="1:6" ht="15.6" x14ac:dyDescent="0.3">
      <c r="A244" s="634" t="s">
        <v>6217</v>
      </c>
      <c r="B244" s="589" t="s">
        <v>6218</v>
      </c>
      <c r="C244" s="635" t="s">
        <v>2308</v>
      </c>
      <c r="D244" s="589" t="s">
        <v>6220</v>
      </c>
      <c r="E244" s="632"/>
      <c r="F244" s="582">
        <v>263000</v>
      </c>
    </row>
    <row r="245" spans="1:6" ht="15.6" x14ac:dyDescent="0.3">
      <c r="A245" s="634" t="s">
        <v>6217</v>
      </c>
      <c r="B245" s="589" t="s">
        <v>6218</v>
      </c>
      <c r="C245" s="635" t="s">
        <v>2308</v>
      </c>
      <c r="D245" s="589" t="s">
        <v>6221</v>
      </c>
      <c r="E245" s="632"/>
      <c r="F245" s="582">
        <v>170000</v>
      </c>
    </row>
    <row r="246" spans="1:6" ht="15.6" x14ac:dyDescent="0.3">
      <c r="A246" s="634" t="s">
        <v>6217</v>
      </c>
      <c r="B246" s="589" t="s">
        <v>6218</v>
      </c>
      <c r="C246" s="635" t="s">
        <v>2308</v>
      </c>
      <c r="D246" s="589" t="s">
        <v>6222</v>
      </c>
      <c r="E246" s="632"/>
      <c r="F246" s="582">
        <v>63200</v>
      </c>
    </row>
    <row r="247" spans="1:6" ht="15.6" x14ac:dyDescent="0.3">
      <c r="A247" s="634" t="s">
        <v>6223</v>
      </c>
      <c r="B247" s="589" t="s">
        <v>6224</v>
      </c>
      <c r="C247" s="635" t="s">
        <v>2308</v>
      </c>
      <c r="D247" s="589" t="s">
        <v>6225</v>
      </c>
      <c r="E247" s="632"/>
      <c r="F247" s="582">
        <v>54000</v>
      </c>
    </row>
    <row r="248" spans="1:6" ht="15.6" x14ac:dyDescent="0.3">
      <c r="A248" s="634" t="s">
        <v>6223</v>
      </c>
      <c r="B248" s="589" t="s">
        <v>6224</v>
      </c>
      <c r="C248" s="635" t="s">
        <v>2308</v>
      </c>
      <c r="D248" s="589" t="s">
        <v>6226</v>
      </c>
      <c r="E248" s="632"/>
      <c r="F248" s="582">
        <v>94000</v>
      </c>
    </row>
    <row r="249" spans="1:6" ht="15.6" x14ac:dyDescent="0.3">
      <c r="A249" s="634" t="s">
        <v>6223</v>
      </c>
      <c r="B249" s="589" t="s">
        <v>6227</v>
      </c>
      <c r="C249" s="635" t="s">
        <v>2308</v>
      </c>
      <c r="D249" s="589" t="s">
        <v>6228</v>
      </c>
      <c r="E249" s="632"/>
      <c r="F249" s="582">
        <v>105000</v>
      </c>
    </row>
    <row r="250" spans="1:6" ht="15.6" x14ac:dyDescent="0.3">
      <c r="A250" s="634" t="s">
        <v>6223</v>
      </c>
      <c r="B250" s="589" t="s">
        <v>6227</v>
      </c>
      <c r="C250" s="635" t="s">
        <v>2308</v>
      </c>
      <c r="D250" s="589" t="s">
        <v>6229</v>
      </c>
      <c r="E250" s="632"/>
      <c r="F250" s="582">
        <v>114000</v>
      </c>
    </row>
    <row r="251" spans="1:6" ht="15.6" x14ac:dyDescent="0.3">
      <c r="A251" s="634" t="s">
        <v>6230</v>
      </c>
      <c r="B251" s="589" t="s">
        <v>6231</v>
      </c>
      <c r="C251" s="635" t="s">
        <v>2308</v>
      </c>
      <c r="D251" s="589" t="s">
        <v>6232</v>
      </c>
      <c r="E251" s="632"/>
      <c r="F251" s="582">
        <v>104000</v>
      </c>
    </row>
    <row r="252" spans="1:6" ht="15.6" x14ac:dyDescent="0.3">
      <c r="A252" s="634" t="s">
        <v>6233</v>
      </c>
      <c r="B252" s="589" t="s">
        <v>6234</v>
      </c>
      <c r="C252" s="635" t="s">
        <v>2308</v>
      </c>
      <c r="D252" s="589" t="s">
        <v>6235</v>
      </c>
      <c r="E252" s="632"/>
      <c r="F252" s="582">
        <v>119000</v>
      </c>
    </row>
    <row r="253" spans="1:6" ht="15.6" x14ac:dyDescent="0.3">
      <c r="A253" s="634" t="s">
        <v>6233</v>
      </c>
      <c r="B253" s="589" t="s">
        <v>6234</v>
      </c>
      <c r="C253" s="635" t="s">
        <v>2308</v>
      </c>
      <c r="D253" s="589" t="s">
        <v>6236</v>
      </c>
      <c r="E253" s="632"/>
      <c r="F253" s="582">
        <v>115000</v>
      </c>
    </row>
    <row r="254" spans="1:6" ht="15.6" x14ac:dyDescent="0.3">
      <c r="A254" s="634" t="s">
        <v>6233</v>
      </c>
      <c r="B254" s="589" t="s">
        <v>6234</v>
      </c>
      <c r="C254" s="635" t="s">
        <v>2308</v>
      </c>
      <c r="D254" s="589" t="s">
        <v>105</v>
      </c>
      <c r="E254" s="632"/>
      <c r="F254" s="582">
        <v>2500</v>
      </c>
    </row>
    <row r="255" spans="1:6" ht="15.6" x14ac:dyDescent="0.3">
      <c r="A255" s="634" t="s">
        <v>6233</v>
      </c>
      <c r="B255" s="589" t="s">
        <v>6234</v>
      </c>
      <c r="C255" s="635" t="s">
        <v>2308</v>
      </c>
      <c r="D255" s="589" t="s">
        <v>105</v>
      </c>
      <c r="E255" s="632"/>
      <c r="F255" s="582">
        <v>2500</v>
      </c>
    </row>
    <row r="256" spans="1:6" ht="15.6" x14ac:dyDescent="0.3">
      <c r="A256" s="634" t="s">
        <v>6146</v>
      </c>
      <c r="B256" s="589" t="s">
        <v>6161</v>
      </c>
      <c r="C256" s="635" t="s">
        <v>2308</v>
      </c>
      <c r="D256" s="589" t="s">
        <v>6237</v>
      </c>
      <c r="E256" s="632"/>
      <c r="F256" s="582">
        <v>19379999</v>
      </c>
    </row>
    <row r="257" spans="1:6" ht="15.6" x14ac:dyDescent="0.3">
      <c r="A257" s="634" t="s">
        <v>6146</v>
      </c>
      <c r="B257" s="589" t="s">
        <v>6161</v>
      </c>
      <c r="C257" s="635" t="s">
        <v>2308</v>
      </c>
      <c r="D257" s="589" t="s">
        <v>6238</v>
      </c>
      <c r="E257" s="632"/>
      <c r="F257" s="582">
        <v>699364</v>
      </c>
    </row>
    <row r="258" spans="1:6" ht="15.6" x14ac:dyDescent="0.3">
      <c r="A258" s="634" t="s">
        <v>6146</v>
      </c>
      <c r="B258" s="589" t="s">
        <v>6176</v>
      </c>
      <c r="C258" s="635" t="s">
        <v>2308</v>
      </c>
      <c r="D258" s="589" t="s">
        <v>6178</v>
      </c>
      <c r="E258" s="632"/>
      <c r="F258" s="582">
        <v>34000</v>
      </c>
    </row>
    <row r="259" spans="1:6" ht="15.6" x14ac:dyDescent="0.3">
      <c r="A259" s="634" t="s">
        <v>6146</v>
      </c>
      <c r="B259" s="589" t="s">
        <v>6176</v>
      </c>
      <c r="C259" s="590" t="s">
        <v>2308</v>
      </c>
      <c r="D259" s="589" t="s">
        <v>6179</v>
      </c>
      <c r="E259" s="632"/>
      <c r="F259" s="582">
        <v>150000</v>
      </c>
    </row>
    <row r="260" spans="1:6" ht="15" x14ac:dyDescent="0.3">
      <c r="A260" s="607">
        <v>46031</v>
      </c>
      <c r="B260" s="128" t="s">
        <v>6458</v>
      </c>
      <c r="C260" s="616" t="s">
        <v>2308</v>
      </c>
      <c r="D260" s="617" t="s">
        <v>6459</v>
      </c>
      <c r="E260" s="645"/>
      <c r="F260" s="620">
        <v>210000</v>
      </c>
    </row>
    <row r="261" spans="1:6" ht="15" x14ac:dyDescent="0.3">
      <c r="A261" s="600">
        <v>46031</v>
      </c>
      <c r="B261" s="126" t="s">
        <v>6458</v>
      </c>
      <c r="C261" s="614" t="s">
        <v>2308</v>
      </c>
      <c r="D261" s="615" t="s">
        <v>6460</v>
      </c>
      <c r="E261" s="356"/>
      <c r="F261" s="621">
        <v>251000</v>
      </c>
    </row>
    <row r="262" spans="1:6" ht="15" x14ac:dyDescent="0.3">
      <c r="A262" s="600">
        <v>46031</v>
      </c>
      <c r="B262" s="126" t="s">
        <v>6458</v>
      </c>
      <c r="C262" s="614" t="s">
        <v>2308</v>
      </c>
      <c r="D262" s="615" t="s">
        <v>6461</v>
      </c>
      <c r="E262" s="356"/>
      <c r="F262" s="621">
        <v>70600</v>
      </c>
    </row>
    <row r="263" spans="1:6" ht="15" x14ac:dyDescent="0.3">
      <c r="A263" s="600">
        <v>46031</v>
      </c>
      <c r="B263" s="126" t="s">
        <v>6458</v>
      </c>
      <c r="C263" s="614" t="s">
        <v>2308</v>
      </c>
      <c r="D263" s="615" t="s">
        <v>6462</v>
      </c>
      <c r="E263" s="356"/>
      <c r="F263" s="621">
        <v>111500</v>
      </c>
    </row>
    <row r="264" spans="1:6" ht="15" x14ac:dyDescent="0.3">
      <c r="A264" s="600">
        <v>46031</v>
      </c>
      <c r="B264" s="126" t="s">
        <v>6463</v>
      </c>
      <c r="C264" s="614" t="s">
        <v>2308</v>
      </c>
      <c r="D264" s="615" t="s">
        <v>6464</v>
      </c>
      <c r="E264" s="356"/>
      <c r="F264" s="621">
        <v>64000</v>
      </c>
    </row>
    <row r="265" spans="1:6" ht="15" x14ac:dyDescent="0.3">
      <c r="A265" s="600">
        <v>46041</v>
      </c>
      <c r="B265" s="126" t="s">
        <v>6465</v>
      </c>
      <c r="C265" s="608" t="s">
        <v>2308</v>
      </c>
      <c r="D265" s="617" t="s">
        <v>6466</v>
      </c>
      <c r="E265" s="645"/>
      <c r="F265" s="620">
        <v>160000</v>
      </c>
    </row>
    <row r="266" spans="1:6" ht="15" x14ac:dyDescent="0.3">
      <c r="A266" s="600">
        <v>46028</v>
      </c>
      <c r="B266" s="126" t="s">
        <v>6467</v>
      </c>
      <c r="C266" s="126" t="s">
        <v>2308</v>
      </c>
      <c r="D266" s="561" t="s">
        <v>6468</v>
      </c>
      <c r="E266" s="646"/>
      <c r="F266" s="647">
        <v>385073</v>
      </c>
    </row>
    <row r="267" spans="1:6" ht="15" x14ac:dyDescent="0.3">
      <c r="A267" s="600">
        <v>46028</v>
      </c>
      <c r="B267" s="126" t="s">
        <v>6467</v>
      </c>
      <c r="C267" s="126" t="s">
        <v>2308</v>
      </c>
      <c r="D267" s="636" t="s">
        <v>6469</v>
      </c>
      <c r="E267" s="646"/>
      <c r="F267" s="647">
        <v>177561</v>
      </c>
    </row>
    <row r="268" spans="1:6" ht="15" x14ac:dyDescent="0.3">
      <c r="A268" s="600">
        <v>46034</v>
      </c>
      <c r="B268" s="126" t="s">
        <v>6470</v>
      </c>
      <c r="C268" s="126" t="s">
        <v>2308</v>
      </c>
      <c r="D268" s="636" t="s">
        <v>6471</v>
      </c>
      <c r="E268" s="647"/>
      <c r="F268" s="647">
        <v>154000</v>
      </c>
    </row>
    <row r="269" spans="1:6" ht="15" x14ac:dyDescent="0.3">
      <c r="A269" s="600">
        <v>46034</v>
      </c>
      <c r="B269" s="126" t="s">
        <v>6470</v>
      </c>
      <c r="C269" s="126" t="s">
        <v>2308</v>
      </c>
      <c r="D269" s="636" t="s">
        <v>2372</v>
      </c>
      <c r="E269" s="647"/>
      <c r="F269" s="647">
        <v>4500</v>
      </c>
    </row>
    <row r="270" spans="1:6" ht="15" x14ac:dyDescent="0.3">
      <c r="A270" s="600">
        <v>46034</v>
      </c>
      <c r="B270" s="126" t="s">
        <v>6470</v>
      </c>
      <c r="C270" s="126" t="s">
        <v>2308</v>
      </c>
      <c r="D270" s="195" t="s">
        <v>6472</v>
      </c>
      <c r="E270" s="647"/>
      <c r="F270" s="647">
        <v>60000</v>
      </c>
    </row>
    <row r="271" spans="1:6" ht="15" x14ac:dyDescent="0.3">
      <c r="A271" s="600">
        <v>46037</v>
      </c>
      <c r="B271" s="126" t="s">
        <v>6473</v>
      </c>
      <c r="C271" s="126" t="s">
        <v>2308</v>
      </c>
      <c r="D271" s="637" t="s">
        <v>6474</v>
      </c>
      <c r="E271" s="647"/>
      <c r="F271" s="647">
        <v>90000</v>
      </c>
    </row>
    <row r="272" spans="1:6" ht="15" x14ac:dyDescent="0.3">
      <c r="A272" s="600">
        <v>46037</v>
      </c>
      <c r="B272" s="126" t="s">
        <v>6473</v>
      </c>
      <c r="C272" s="126" t="s">
        <v>2308</v>
      </c>
      <c r="D272" s="637" t="s">
        <v>6475</v>
      </c>
      <c r="E272" s="647"/>
      <c r="F272" s="647">
        <v>256000</v>
      </c>
    </row>
    <row r="273" spans="1:6" ht="15" x14ac:dyDescent="0.3">
      <c r="A273" s="600">
        <v>46037</v>
      </c>
      <c r="B273" s="126" t="s">
        <v>6473</v>
      </c>
      <c r="C273" s="126" t="s">
        <v>2308</v>
      </c>
      <c r="D273" s="637" t="s">
        <v>50</v>
      </c>
      <c r="E273" s="647"/>
      <c r="F273" s="647">
        <v>2500</v>
      </c>
    </row>
    <row r="274" spans="1:6" ht="30" x14ac:dyDescent="0.3">
      <c r="A274" s="600">
        <v>46039</v>
      </c>
      <c r="B274" s="126" t="s">
        <v>6476</v>
      </c>
      <c r="C274" s="126" t="s">
        <v>2308</v>
      </c>
      <c r="D274" s="637" t="s">
        <v>6477</v>
      </c>
      <c r="E274" s="647"/>
      <c r="F274" s="621">
        <v>842220</v>
      </c>
    </row>
    <row r="275" spans="1:6" ht="15" x14ac:dyDescent="0.3">
      <c r="A275" s="600">
        <v>46039</v>
      </c>
      <c r="B275" s="126" t="s">
        <v>6476</v>
      </c>
      <c r="C275" s="126" t="s">
        <v>2308</v>
      </c>
      <c r="D275" s="637" t="s">
        <v>6478</v>
      </c>
      <c r="E275" s="647"/>
      <c r="F275" s="621">
        <v>72000</v>
      </c>
    </row>
    <row r="276" spans="1:6" ht="15" x14ac:dyDescent="0.3">
      <c r="A276" s="600">
        <v>46039</v>
      </c>
      <c r="B276" s="126" t="s">
        <v>6476</v>
      </c>
      <c r="C276" s="126" t="s">
        <v>2308</v>
      </c>
      <c r="D276" s="637" t="s">
        <v>6479</v>
      </c>
      <c r="E276" s="647"/>
      <c r="F276" s="621">
        <v>123000</v>
      </c>
    </row>
    <row r="277" spans="1:6" ht="15" x14ac:dyDescent="0.3">
      <c r="A277" s="600">
        <v>46039</v>
      </c>
      <c r="B277" s="126" t="s">
        <v>6476</v>
      </c>
      <c r="C277" s="126" t="s">
        <v>2308</v>
      </c>
      <c r="D277" s="637" t="s">
        <v>6480</v>
      </c>
      <c r="E277" s="647"/>
      <c r="F277" s="621">
        <v>60000</v>
      </c>
    </row>
    <row r="278" spans="1:6" ht="15" x14ac:dyDescent="0.3">
      <c r="A278" s="600">
        <v>46039</v>
      </c>
      <c r="B278" s="126" t="s">
        <v>6476</v>
      </c>
      <c r="C278" s="126" t="s">
        <v>2308</v>
      </c>
      <c r="D278" s="637" t="s">
        <v>6479</v>
      </c>
      <c r="E278" s="647"/>
      <c r="F278" s="621">
        <v>979900</v>
      </c>
    </row>
    <row r="279" spans="1:6" ht="15" x14ac:dyDescent="0.3">
      <c r="A279" s="600">
        <v>46041</v>
      </c>
      <c r="B279" s="126" t="s">
        <v>6481</v>
      </c>
      <c r="C279" s="126" t="s">
        <v>2308</v>
      </c>
      <c r="D279" s="615" t="s">
        <v>6482</v>
      </c>
      <c r="E279" s="647"/>
      <c r="F279" s="647">
        <v>332500</v>
      </c>
    </row>
    <row r="280" spans="1:6" ht="15" x14ac:dyDescent="0.3">
      <c r="A280" s="600">
        <v>46042</v>
      </c>
      <c r="B280" s="126" t="s">
        <v>6483</v>
      </c>
      <c r="C280" s="601" t="s">
        <v>2308</v>
      </c>
      <c r="D280" s="638" t="s">
        <v>6484</v>
      </c>
      <c r="E280" s="647"/>
      <c r="F280" s="647">
        <v>89000</v>
      </c>
    </row>
    <row r="281" spans="1:6" ht="15" x14ac:dyDescent="0.3">
      <c r="A281" s="600">
        <v>46042</v>
      </c>
      <c r="B281" s="126" t="s">
        <v>6483</v>
      </c>
      <c r="C281" s="126" t="s">
        <v>2308</v>
      </c>
      <c r="D281" s="639" t="s">
        <v>6485</v>
      </c>
      <c r="E281" s="647"/>
      <c r="F281" s="647">
        <v>350000</v>
      </c>
    </row>
    <row r="282" spans="1:6" ht="15" x14ac:dyDescent="0.3">
      <c r="A282" s="600">
        <v>46042</v>
      </c>
      <c r="B282" s="126" t="s">
        <v>6483</v>
      </c>
      <c r="C282" s="126" t="s">
        <v>2308</v>
      </c>
      <c r="D282" s="639" t="s">
        <v>2372</v>
      </c>
      <c r="E282" s="647"/>
      <c r="F282" s="647">
        <v>2500</v>
      </c>
    </row>
    <row r="283" spans="1:6" ht="15" x14ac:dyDescent="0.3">
      <c r="A283" s="600">
        <v>46042</v>
      </c>
      <c r="B283" s="126" t="s">
        <v>6483</v>
      </c>
      <c r="C283" s="126" t="s">
        <v>2308</v>
      </c>
      <c r="D283" s="639" t="s">
        <v>6486</v>
      </c>
      <c r="E283" s="647"/>
      <c r="F283" s="647">
        <v>4500000</v>
      </c>
    </row>
    <row r="284" spans="1:6" ht="15" x14ac:dyDescent="0.3">
      <c r="A284" s="600">
        <v>46042</v>
      </c>
      <c r="B284" s="126" t="s">
        <v>6483</v>
      </c>
      <c r="C284" s="640" t="s">
        <v>2308</v>
      </c>
      <c r="D284" s="641" t="s">
        <v>2372</v>
      </c>
      <c r="E284" s="647"/>
      <c r="F284" s="647">
        <v>2500</v>
      </c>
    </row>
    <row r="285" spans="1:6" ht="15" x14ac:dyDescent="0.3">
      <c r="A285" s="600">
        <v>46043</v>
      </c>
      <c r="B285" s="126" t="s">
        <v>6487</v>
      </c>
      <c r="C285" s="642" t="s">
        <v>2308</v>
      </c>
      <c r="D285" s="639" t="s">
        <v>6488</v>
      </c>
      <c r="E285" s="647"/>
      <c r="F285" s="647">
        <v>149650</v>
      </c>
    </row>
    <row r="286" spans="1:6" ht="15" x14ac:dyDescent="0.3">
      <c r="A286" s="600">
        <v>46043</v>
      </c>
      <c r="B286" s="126" t="s">
        <v>6487</v>
      </c>
      <c r="C286" s="642" t="s">
        <v>2308</v>
      </c>
      <c r="D286" s="639" t="s">
        <v>6489</v>
      </c>
      <c r="E286" s="647"/>
      <c r="F286" s="647">
        <v>122000</v>
      </c>
    </row>
    <row r="287" spans="1:6" ht="15" x14ac:dyDescent="0.3">
      <c r="A287" s="600">
        <v>46043</v>
      </c>
      <c r="B287" s="126" t="s">
        <v>6487</v>
      </c>
      <c r="C287" s="642" t="s">
        <v>2308</v>
      </c>
      <c r="D287" s="639" t="s">
        <v>6489</v>
      </c>
      <c r="E287" s="647"/>
      <c r="F287" s="647">
        <v>23636</v>
      </c>
    </row>
    <row r="288" spans="1:6" ht="15" x14ac:dyDescent="0.3">
      <c r="A288" s="600">
        <v>46043</v>
      </c>
      <c r="B288" s="126" t="s">
        <v>6487</v>
      </c>
      <c r="C288" s="642" t="s">
        <v>2308</v>
      </c>
      <c r="D288" s="639" t="s">
        <v>6490</v>
      </c>
      <c r="E288" s="647"/>
      <c r="F288" s="647">
        <v>280600</v>
      </c>
    </row>
    <row r="289" spans="1:6" ht="15" x14ac:dyDescent="0.3">
      <c r="A289" s="600">
        <v>46043</v>
      </c>
      <c r="B289" s="126" t="s">
        <v>6487</v>
      </c>
      <c r="C289" s="642" t="s">
        <v>2308</v>
      </c>
      <c r="D289" s="639" t="s">
        <v>6491</v>
      </c>
      <c r="E289" s="647"/>
      <c r="F289" s="647">
        <v>2000</v>
      </c>
    </row>
    <row r="290" spans="1:6" ht="15" x14ac:dyDescent="0.3">
      <c r="A290" s="127">
        <v>46043</v>
      </c>
      <c r="B290" s="132" t="s">
        <v>6487</v>
      </c>
      <c r="C290" s="643" t="s">
        <v>2308</v>
      </c>
      <c r="D290" s="644" t="s">
        <v>6492</v>
      </c>
      <c r="E290" s="631"/>
      <c r="F290" s="631">
        <v>250000</v>
      </c>
    </row>
  </sheetData>
  <autoFilter ref="A2:F2" xr:uid="{AEFAEE9E-74C7-4772-89E5-0BB19469BE43}"/>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C7DD8-FFB8-4F63-9398-60377707947A}">
  <dimension ref="A2:F67"/>
  <sheetViews>
    <sheetView workbookViewId="0">
      <pane xSplit="3" ySplit="2" topLeftCell="D60" activePane="bottomRight" state="frozen"/>
      <selection pane="topRight" activeCell="D1" sqref="D1"/>
      <selection pane="bottomLeft" activeCell="A3" sqref="A3"/>
      <selection pane="bottomRight" activeCell="A66" sqref="A66"/>
    </sheetView>
  </sheetViews>
  <sheetFormatPr defaultRowHeight="14.4" x14ac:dyDescent="0.3"/>
  <cols>
    <col min="1" max="3" width="13.88671875" style="83" customWidth="1"/>
    <col min="4" max="4" width="111" style="83" customWidth="1"/>
    <col min="5" max="6" width="18.88671875" style="468" customWidth="1"/>
    <col min="7" max="16384" width="8.88671875" style="83"/>
  </cols>
  <sheetData>
    <row r="2" spans="1:6" ht="15.6" x14ac:dyDescent="0.3">
      <c r="A2" s="1" t="s">
        <v>0</v>
      </c>
      <c r="B2" s="2" t="s">
        <v>1</v>
      </c>
      <c r="C2" s="2" t="s">
        <v>2</v>
      </c>
      <c r="D2" s="2" t="s">
        <v>3</v>
      </c>
      <c r="E2" s="412" t="s">
        <v>4</v>
      </c>
      <c r="F2" s="397" t="s">
        <v>5</v>
      </c>
    </row>
    <row r="3" spans="1:6" ht="15" x14ac:dyDescent="0.3">
      <c r="A3" s="6">
        <v>45847</v>
      </c>
      <c r="B3" s="9" t="s">
        <v>2332</v>
      </c>
      <c r="C3" s="31" t="s">
        <v>2370</v>
      </c>
      <c r="D3" s="46" t="s">
        <v>2371</v>
      </c>
      <c r="E3" s="421"/>
      <c r="F3" s="289">
        <v>2066902</v>
      </c>
    </row>
    <row r="4" spans="1:6" ht="15" x14ac:dyDescent="0.3">
      <c r="A4" s="6">
        <v>45847</v>
      </c>
      <c r="B4" s="9" t="s">
        <v>2332</v>
      </c>
      <c r="C4" s="31" t="s">
        <v>2370</v>
      </c>
      <c r="D4" s="46" t="s">
        <v>2372</v>
      </c>
      <c r="E4" s="421"/>
      <c r="F4" s="289">
        <v>2500</v>
      </c>
    </row>
    <row r="5" spans="1:6" ht="15" x14ac:dyDescent="0.3">
      <c r="A5" s="6">
        <v>45847</v>
      </c>
      <c r="B5" s="9" t="s">
        <v>2332</v>
      </c>
      <c r="C5" s="31" t="s">
        <v>2370</v>
      </c>
      <c r="D5" s="46" t="s">
        <v>2373</v>
      </c>
      <c r="E5" s="421"/>
      <c r="F5" s="289">
        <v>235500</v>
      </c>
    </row>
    <row r="6" spans="1:6" ht="15" x14ac:dyDescent="0.3">
      <c r="A6" s="6">
        <v>45847</v>
      </c>
      <c r="B6" s="9" t="s">
        <v>2332</v>
      </c>
      <c r="C6" s="31" t="s">
        <v>2370</v>
      </c>
      <c r="D6" s="46" t="s">
        <v>2372</v>
      </c>
      <c r="E6" s="421"/>
      <c r="F6" s="289">
        <v>2500</v>
      </c>
    </row>
    <row r="7" spans="1:6" ht="15" x14ac:dyDescent="0.3">
      <c r="A7" s="6">
        <v>45847</v>
      </c>
      <c r="B7" s="9" t="s">
        <v>2332</v>
      </c>
      <c r="C7" s="31" t="s">
        <v>2370</v>
      </c>
      <c r="D7" s="46" t="s">
        <v>2374</v>
      </c>
      <c r="E7" s="421"/>
      <c r="F7" s="289">
        <v>1300000</v>
      </c>
    </row>
    <row r="8" spans="1:6" ht="15" x14ac:dyDescent="0.3">
      <c r="A8" s="6">
        <v>45847</v>
      </c>
      <c r="B8" s="9" t="s">
        <v>2332</v>
      </c>
      <c r="C8" s="31" t="s">
        <v>2370</v>
      </c>
      <c r="D8" s="46" t="s">
        <v>2375</v>
      </c>
      <c r="E8" s="421"/>
      <c r="F8" s="289">
        <v>200000</v>
      </c>
    </row>
    <row r="9" spans="1:6" ht="15" x14ac:dyDescent="0.3">
      <c r="A9" s="6">
        <v>45847</v>
      </c>
      <c r="B9" s="9" t="s">
        <v>2332</v>
      </c>
      <c r="C9" s="31" t="s">
        <v>2370</v>
      </c>
      <c r="D9" s="46" t="s">
        <v>2376</v>
      </c>
      <c r="E9" s="421"/>
      <c r="F9" s="289">
        <v>740000</v>
      </c>
    </row>
    <row r="10" spans="1:6" ht="15" x14ac:dyDescent="0.3">
      <c r="A10" s="6">
        <v>45847</v>
      </c>
      <c r="B10" s="9" t="s">
        <v>2332</v>
      </c>
      <c r="C10" s="31" t="s">
        <v>2370</v>
      </c>
      <c r="D10" s="46" t="s">
        <v>2372</v>
      </c>
      <c r="E10" s="421"/>
      <c r="F10" s="289">
        <v>2500</v>
      </c>
    </row>
    <row r="11" spans="1:6" ht="15" x14ac:dyDescent="0.3">
      <c r="A11" s="6">
        <v>45849</v>
      </c>
      <c r="B11" s="9" t="s">
        <v>2292</v>
      </c>
      <c r="C11" s="31" t="s">
        <v>2370</v>
      </c>
      <c r="D11" s="46" t="s">
        <v>2377</v>
      </c>
      <c r="E11" s="421"/>
      <c r="F11" s="289">
        <v>2000000</v>
      </c>
    </row>
    <row r="12" spans="1:6" ht="15" x14ac:dyDescent="0.3">
      <c r="A12" s="6">
        <v>45854</v>
      </c>
      <c r="B12" s="9" t="s">
        <v>2378</v>
      </c>
      <c r="C12" s="21" t="s">
        <v>2370</v>
      </c>
      <c r="D12" s="25" t="s">
        <v>2379</v>
      </c>
      <c r="E12" s="421"/>
      <c r="F12" s="289">
        <v>1180480</v>
      </c>
    </row>
    <row r="13" spans="1:6" ht="15" x14ac:dyDescent="0.3">
      <c r="A13" s="6">
        <v>45854</v>
      </c>
      <c r="B13" s="9" t="s">
        <v>2378</v>
      </c>
      <c r="C13" s="21" t="s">
        <v>2370</v>
      </c>
      <c r="D13" s="25" t="s">
        <v>2305</v>
      </c>
      <c r="E13" s="421"/>
      <c r="F13" s="289">
        <v>2500</v>
      </c>
    </row>
    <row r="14" spans="1:6" ht="15" x14ac:dyDescent="0.3">
      <c r="A14" s="6">
        <v>45854</v>
      </c>
      <c r="B14" s="9" t="s">
        <v>2380</v>
      </c>
      <c r="C14" s="21" t="s">
        <v>2370</v>
      </c>
      <c r="D14" s="25" t="s">
        <v>2381</v>
      </c>
      <c r="E14" s="421"/>
      <c r="F14" s="289">
        <v>275000</v>
      </c>
    </row>
    <row r="15" spans="1:6" ht="15" x14ac:dyDescent="0.3">
      <c r="A15" s="6">
        <v>45854</v>
      </c>
      <c r="B15" s="9" t="s">
        <v>2382</v>
      </c>
      <c r="C15" s="138" t="s">
        <v>2370</v>
      </c>
      <c r="D15" s="136" t="s">
        <v>2383</v>
      </c>
      <c r="E15" s="421"/>
      <c r="F15" s="414">
        <v>2000000</v>
      </c>
    </row>
    <row r="16" spans="1:6" ht="15" x14ac:dyDescent="0.3">
      <c r="A16" s="6">
        <v>45854</v>
      </c>
      <c r="B16" s="9" t="s">
        <v>2382</v>
      </c>
      <c r="C16" s="138" t="s">
        <v>2370</v>
      </c>
      <c r="D16" s="136" t="s">
        <v>2384</v>
      </c>
      <c r="E16" s="421"/>
      <c r="F16" s="414">
        <v>242500</v>
      </c>
    </row>
    <row r="17" spans="1:6" ht="15" x14ac:dyDescent="0.3">
      <c r="A17" s="6">
        <v>45854</v>
      </c>
      <c r="B17" s="9" t="s">
        <v>2382</v>
      </c>
      <c r="C17" s="138" t="s">
        <v>2370</v>
      </c>
      <c r="D17" s="136" t="s">
        <v>2385</v>
      </c>
      <c r="E17" s="421"/>
      <c r="F17" s="414">
        <v>2500000</v>
      </c>
    </row>
    <row r="18" spans="1:6" ht="15" x14ac:dyDescent="0.3">
      <c r="A18" s="6">
        <v>45854</v>
      </c>
      <c r="B18" s="9" t="s">
        <v>2382</v>
      </c>
      <c r="C18" s="138" t="s">
        <v>2370</v>
      </c>
      <c r="D18" s="136" t="s">
        <v>2386</v>
      </c>
      <c r="E18" s="421"/>
      <c r="F18" s="414">
        <v>-50000</v>
      </c>
    </row>
    <row r="19" spans="1:6" ht="15" x14ac:dyDescent="0.3">
      <c r="A19" s="6">
        <v>45854</v>
      </c>
      <c r="B19" s="9" t="s">
        <v>2382</v>
      </c>
      <c r="C19" s="138" t="s">
        <v>2370</v>
      </c>
      <c r="D19" s="136" t="s">
        <v>2387</v>
      </c>
      <c r="E19" s="421"/>
      <c r="F19" s="414">
        <v>2500</v>
      </c>
    </row>
    <row r="20" spans="1:6" ht="15" x14ac:dyDescent="0.3">
      <c r="A20" s="6">
        <v>45854</v>
      </c>
      <c r="B20" s="9" t="s">
        <v>2388</v>
      </c>
      <c r="C20" s="11" t="s">
        <v>2370</v>
      </c>
      <c r="D20" s="17" t="s">
        <v>2389</v>
      </c>
      <c r="E20" s="421"/>
      <c r="F20" s="299">
        <v>1480000</v>
      </c>
    </row>
    <row r="21" spans="1:6" ht="15" x14ac:dyDescent="0.3">
      <c r="A21" s="6">
        <v>45854</v>
      </c>
      <c r="B21" s="9" t="s">
        <v>2388</v>
      </c>
      <c r="C21" s="11" t="s">
        <v>2370</v>
      </c>
      <c r="D21" s="17" t="s">
        <v>2390</v>
      </c>
      <c r="E21" s="421"/>
      <c r="F21" s="299">
        <v>268300</v>
      </c>
    </row>
    <row r="22" spans="1:6" ht="15" x14ac:dyDescent="0.3">
      <c r="A22" s="6">
        <v>45854</v>
      </c>
      <c r="B22" s="9" t="s">
        <v>2388</v>
      </c>
      <c r="C22" s="11" t="s">
        <v>2370</v>
      </c>
      <c r="D22" s="17" t="s">
        <v>2391</v>
      </c>
      <c r="E22" s="421"/>
      <c r="F22" s="299">
        <v>4042300</v>
      </c>
    </row>
    <row r="23" spans="1:6" ht="15" x14ac:dyDescent="0.3">
      <c r="A23" s="6">
        <v>45854</v>
      </c>
      <c r="B23" s="9" t="s">
        <v>2388</v>
      </c>
      <c r="C23" s="11" t="s">
        <v>2370</v>
      </c>
      <c r="D23" s="17" t="s">
        <v>2392</v>
      </c>
      <c r="E23" s="421"/>
      <c r="F23" s="299">
        <v>825000</v>
      </c>
    </row>
    <row r="24" spans="1:6" ht="15" x14ac:dyDescent="0.3">
      <c r="A24" s="6">
        <v>45854</v>
      </c>
      <c r="B24" s="9" t="s">
        <v>2388</v>
      </c>
      <c r="C24" s="11" t="s">
        <v>2370</v>
      </c>
      <c r="D24" s="17" t="s">
        <v>2393</v>
      </c>
      <c r="E24" s="421"/>
      <c r="F24" s="299">
        <v>94000</v>
      </c>
    </row>
    <row r="25" spans="1:6" ht="15" x14ac:dyDescent="0.3">
      <c r="A25" s="6">
        <v>45854</v>
      </c>
      <c r="B25" s="9" t="s">
        <v>2388</v>
      </c>
      <c r="C25" s="11" t="s">
        <v>2370</v>
      </c>
      <c r="D25" s="17" t="s">
        <v>2394</v>
      </c>
      <c r="E25" s="421"/>
      <c r="F25" s="299">
        <v>1130000</v>
      </c>
    </row>
    <row r="26" spans="1:6" ht="15" x14ac:dyDescent="0.3">
      <c r="A26" s="6">
        <v>45854</v>
      </c>
      <c r="B26" s="9" t="s">
        <v>2388</v>
      </c>
      <c r="C26" s="11" t="s">
        <v>2370</v>
      </c>
      <c r="D26" s="17" t="s">
        <v>2395</v>
      </c>
      <c r="E26" s="421"/>
      <c r="F26" s="299">
        <v>256400</v>
      </c>
    </row>
    <row r="27" spans="1:6" ht="15" x14ac:dyDescent="0.3">
      <c r="A27" s="6">
        <v>45854</v>
      </c>
      <c r="B27" s="9" t="s">
        <v>2388</v>
      </c>
      <c r="C27" s="11" t="s">
        <v>2370</v>
      </c>
      <c r="D27" s="17" t="s">
        <v>2396</v>
      </c>
      <c r="E27" s="421"/>
      <c r="F27" s="299">
        <v>40000</v>
      </c>
    </row>
    <row r="28" spans="1:6" ht="15" x14ac:dyDescent="0.3">
      <c r="A28" s="6">
        <v>45854</v>
      </c>
      <c r="B28" s="9" t="s">
        <v>2388</v>
      </c>
      <c r="C28" s="11" t="s">
        <v>2370</v>
      </c>
      <c r="D28" s="17" t="s">
        <v>2268</v>
      </c>
      <c r="E28" s="421"/>
      <c r="F28" s="299">
        <v>2500</v>
      </c>
    </row>
    <row r="29" spans="1:6" ht="15" x14ac:dyDescent="0.3">
      <c r="A29" s="6">
        <v>45854</v>
      </c>
      <c r="B29" s="9" t="s">
        <v>2388</v>
      </c>
      <c r="C29" s="11" t="s">
        <v>2370</v>
      </c>
      <c r="D29" s="17" t="s">
        <v>2390</v>
      </c>
      <c r="E29" s="421"/>
      <c r="F29" s="299">
        <v>250900</v>
      </c>
    </row>
    <row r="30" spans="1:6" ht="15" x14ac:dyDescent="0.3">
      <c r="A30" s="6">
        <v>45854</v>
      </c>
      <c r="B30" s="9" t="s">
        <v>2266</v>
      </c>
      <c r="C30" s="11" t="s">
        <v>2370</v>
      </c>
      <c r="D30" s="17" t="s">
        <v>2397</v>
      </c>
      <c r="E30" s="421"/>
      <c r="F30" s="299">
        <v>2700000</v>
      </c>
    </row>
    <row r="31" spans="1:6" ht="15" x14ac:dyDescent="0.3">
      <c r="A31" s="6">
        <v>45854</v>
      </c>
      <c r="B31" s="9" t="s">
        <v>2266</v>
      </c>
      <c r="C31" s="11" t="s">
        <v>2370</v>
      </c>
      <c r="D31" s="17" t="s">
        <v>2398</v>
      </c>
      <c r="E31" s="421"/>
      <c r="F31" s="299">
        <v>-54000</v>
      </c>
    </row>
    <row r="32" spans="1:6" ht="15" x14ac:dyDescent="0.3">
      <c r="A32" s="6">
        <v>45854</v>
      </c>
      <c r="B32" s="9" t="s">
        <v>2266</v>
      </c>
      <c r="C32" s="11" t="s">
        <v>2370</v>
      </c>
      <c r="D32" s="17" t="s">
        <v>2268</v>
      </c>
      <c r="E32" s="421"/>
      <c r="F32" s="299">
        <v>2500</v>
      </c>
    </row>
    <row r="33" spans="1:6" ht="15" x14ac:dyDescent="0.3">
      <c r="A33" s="6">
        <v>45854</v>
      </c>
      <c r="B33" s="9" t="s">
        <v>2266</v>
      </c>
      <c r="C33" s="11" t="s">
        <v>2370</v>
      </c>
      <c r="D33" s="17" t="s">
        <v>2394</v>
      </c>
      <c r="E33" s="421"/>
      <c r="F33" s="299">
        <v>529836</v>
      </c>
    </row>
    <row r="34" spans="1:6" ht="15" x14ac:dyDescent="0.3">
      <c r="A34" s="6">
        <v>45854</v>
      </c>
      <c r="B34" s="9" t="s">
        <v>2266</v>
      </c>
      <c r="C34" s="11" t="s">
        <v>2370</v>
      </c>
      <c r="D34" s="17" t="s">
        <v>2390</v>
      </c>
      <c r="E34" s="421"/>
      <c r="F34" s="299">
        <v>948850</v>
      </c>
    </row>
    <row r="35" spans="1:6" ht="15" x14ac:dyDescent="0.3">
      <c r="A35" s="6">
        <v>45854</v>
      </c>
      <c r="B35" s="9" t="s">
        <v>2266</v>
      </c>
      <c r="C35" s="11" t="s">
        <v>2370</v>
      </c>
      <c r="D35" s="17" t="s">
        <v>2389</v>
      </c>
      <c r="E35" s="421"/>
      <c r="F35" s="299">
        <v>1480000</v>
      </c>
    </row>
    <row r="36" spans="1:6" ht="15" x14ac:dyDescent="0.3">
      <c r="A36" s="6">
        <v>45854</v>
      </c>
      <c r="B36" s="9" t="s">
        <v>2266</v>
      </c>
      <c r="C36" s="11" t="s">
        <v>2370</v>
      </c>
      <c r="D36" s="17" t="s">
        <v>2399</v>
      </c>
      <c r="E36" s="421"/>
      <c r="F36" s="299">
        <v>10000000</v>
      </c>
    </row>
    <row r="37" spans="1:6" ht="15" x14ac:dyDescent="0.3">
      <c r="A37" s="6">
        <v>45859</v>
      </c>
      <c r="B37" s="9" t="s">
        <v>2400</v>
      </c>
      <c r="C37" s="31" t="s">
        <v>2401</v>
      </c>
      <c r="D37" s="136" t="s">
        <v>447</v>
      </c>
      <c r="E37" s="421"/>
      <c r="F37" s="289">
        <v>122500</v>
      </c>
    </row>
    <row r="38" spans="1:6" ht="15" x14ac:dyDescent="0.3">
      <c r="A38" s="6">
        <v>45859</v>
      </c>
      <c r="B38" s="9" t="s">
        <v>2400</v>
      </c>
      <c r="C38" s="31" t="s">
        <v>2401</v>
      </c>
      <c r="D38" s="136" t="s">
        <v>2030</v>
      </c>
      <c r="E38" s="421"/>
      <c r="F38" s="289">
        <v>10000</v>
      </c>
    </row>
    <row r="39" spans="1:6" ht="15" x14ac:dyDescent="0.3">
      <c r="A39" s="6">
        <v>45859</v>
      </c>
      <c r="B39" s="9" t="s">
        <v>2400</v>
      </c>
      <c r="C39" s="31" t="s">
        <v>2401</v>
      </c>
      <c r="D39" s="136" t="s">
        <v>2018</v>
      </c>
      <c r="E39" s="421"/>
      <c r="F39" s="289">
        <v>2900</v>
      </c>
    </row>
    <row r="40" spans="1:6" ht="15" x14ac:dyDescent="0.3">
      <c r="A40" s="6">
        <v>45859</v>
      </c>
      <c r="B40" s="9" t="s">
        <v>2402</v>
      </c>
      <c r="C40" s="31" t="s">
        <v>2370</v>
      </c>
      <c r="D40" s="12" t="s">
        <v>2403</v>
      </c>
      <c r="E40" s="421"/>
      <c r="F40" s="414">
        <v>7400000</v>
      </c>
    </row>
    <row r="41" spans="1:6" ht="15" x14ac:dyDescent="0.3">
      <c r="A41" s="6">
        <v>45860</v>
      </c>
      <c r="B41" s="9" t="s">
        <v>2404</v>
      </c>
      <c r="C41" s="31" t="s">
        <v>2370</v>
      </c>
      <c r="D41" s="25" t="s">
        <v>2405</v>
      </c>
      <c r="E41" s="421"/>
      <c r="F41" s="481">
        <v>410000</v>
      </c>
    </row>
    <row r="42" spans="1:6" ht="15" x14ac:dyDescent="0.3">
      <c r="A42" s="6">
        <v>45860</v>
      </c>
      <c r="B42" s="9" t="s">
        <v>2404</v>
      </c>
      <c r="C42" s="31" t="s">
        <v>2370</v>
      </c>
      <c r="D42" s="25" t="s">
        <v>2406</v>
      </c>
      <c r="E42" s="421"/>
      <c r="F42" s="481">
        <v>300000</v>
      </c>
    </row>
    <row r="43" spans="1:6" ht="15" x14ac:dyDescent="0.3">
      <c r="A43" s="6">
        <v>45860</v>
      </c>
      <c r="B43" s="9" t="s">
        <v>2404</v>
      </c>
      <c r="C43" s="31" t="s">
        <v>2370</v>
      </c>
      <c r="D43" s="25" t="s">
        <v>2407</v>
      </c>
      <c r="E43" s="421"/>
      <c r="F43" s="481">
        <v>12000</v>
      </c>
    </row>
    <row r="44" spans="1:6" ht="15" x14ac:dyDescent="0.3">
      <c r="A44" s="6">
        <v>45860</v>
      </c>
      <c r="B44" s="9" t="s">
        <v>2404</v>
      </c>
      <c r="C44" s="31" t="s">
        <v>2370</v>
      </c>
      <c r="D44" s="25" t="s">
        <v>2408</v>
      </c>
      <c r="E44" s="421"/>
      <c r="F44" s="481">
        <v>867000</v>
      </c>
    </row>
    <row r="45" spans="1:6" ht="15" x14ac:dyDescent="0.3">
      <c r="A45" s="6">
        <v>45860</v>
      </c>
      <c r="B45" s="9" t="s">
        <v>2404</v>
      </c>
      <c r="C45" s="31" t="s">
        <v>2370</v>
      </c>
      <c r="D45" s="25" t="s">
        <v>2409</v>
      </c>
      <c r="E45" s="421"/>
      <c r="F45" s="481">
        <v>70500</v>
      </c>
    </row>
    <row r="46" spans="1:6" ht="15" x14ac:dyDescent="0.3">
      <c r="A46" s="6">
        <v>45860</v>
      </c>
      <c r="B46" s="9" t="s">
        <v>2404</v>
      </c>
      <c r="C46" s="31" t="s">
        <v>2370</v>
      </c>
      <c r="D46" s="12" t="s">
        <v>2410</v>
      </c>
      <c r="E46" s="421"/>
      <c r="F46" s="301">
        <v>1811900</v>
      </c>
    </row>
    <row r="47" spans="1:6" ht="15" x14ac:dyDescent="0.3">
      <c r="A47" s="6">
        <v>45860</v>
      </c>
      <c r="B47" s="9" t="s">
        <v>2404</v>
      </c>
      <c r="C47" s="31" t="s">
        <v>2370</v>
      </c>
      <c r="D47" s="12" t="s">
        <v>2411</v>
      </c>
      <c r="E47" s="421"/>
      <c r="F47" s="301">
        <v>44000</v>
      </c>
    </row>
    <row r="48" spans="1:6" ht="15" x14ac:dyDescent="0.3">
      <c r="A48" s="6">
        <v>45861</v>
      </c>
      <c r="B48" s="9" t="s">
        <v>2285</v>
      </c>
      <c r="C48" s="21" t="s">
        <v>2370</v>
      </c>
      <c r="D48" s="25" t="s">
        <v>2412</v>
      </c>
      <c r="E48" s="421"/>
      <c r="F48" s="481">
        <v>1122449</v>
      </c>
    </row>
    <row r="49" spans="1:6" ht="15" x14ac:dyDescent="0.3">
      <c r="A49" s="6">
        <v>45861</v>
      </c>
      <c r="B49" s="9" t="s">
        <v>2285</v>
      </c>
      <c r="C49" s="21" t="s">
        <v>2370</v>
      </c>
      <c r="D49" s="25" t="s">
        <v>2413</v>
      </c>
      <c r="E49" s="421"/>
      <c r="F49" s="481">
        <v>-22449</v>
      </c>
    </row>
    <row r="50" spans="1:6" ht="15" x14ac:dyDescent="0.3">
      <c r="A50" s="6">
        <v>45861</v>
      </c>
      <c r="B50" s="9" t="s">
        <v>2285</v>
      </c>
      <c r="C50" s="21" t="s">
        <v>2370</v>
      </c>
      <c r="D50" s="25" t="s">
        <v>2359</v>
      </c>
      <c r="E50" s="421"/>
      <c r="F50" s="481">
        <v>2500</v>
      </c>
    </row>
    <row r="51" spans="1:6" ht="15" x14ac:dyDescent="0.3">
      <c r="A51" s="6">
        <v>45861</v>
      </c>
      <c r="B51" s="9" t="s">
        <v>2414</v>
      </c>
      <c r="C51" s="21" t="s">
        <v>2401</v>
      </c>
      <c r="D51" s="25" t="s">
        <v>2415</v>
      </c>
      <c r="E51" s="421"/>
      <c r="F51" s="481">
        <v>2000000</v>
      </c>
    </row>
    <row r="52" spans="1:6" ht="15" x14ac:dyDescent="0.3">
      <c r="A52" s="6">
        <v>45861</v>
      </c>
      <c r="B52" s="9" t="s">
        <v>2414</v>
      </c>
      <c r="C52" s="21" t="s">
        <v>2401</v>
      </c>
      <c r="D52" s="25" t="s">
        <v>2416</v>
      </c>
      <c r="E52" s="421"/>
      <c r="F52" s="481">
        <v>2500</v>
      </c>
    </row>
    <row r="53" spans="1:6" ht="15" x14ac:dyDescent="0.3">
      <c r="A53" s="6">
        <v>45863</v>
      </c>
      <c r="B53" s="9" t="s">
        <v>2417</v>
      </c>
      <c r="C53" s="21" t="s">
        <v>2370</v>
      </c>
      <c r="D53" s="25" t="s">
        <v>2418</v>
      </c>
      <c r="E53" s="421"/>
      <c r="F53" s="481">
        <v>900000</v>
      </c>
    </row>
    <row r="54" spans="1:6" ht="15" x14ac:dyDescent="0.3">
      <c r="A54" s="6">
        <v>45863</v>
      </c>
      <c r="B54" s="9" t="s">
        <v>2417</v>
      </c>
      <c r="C54" s="21" t="s">
        <v>2370</v>
      </c>
      <c r="D54" s="25" t="s">
        <v>1426</v>
      </c>
      <c r="E54" s="421"/>
      <c r="F54" s="481">
        <v>250000</v>
      </c>
    </row>
    <row r="55" spans="1:6" ht="15" x14ac:dyDescent="0.3">
      <c r="A55" s="6">
        <v>45863</v>
      </c>
      <c r="B55" s="9" t="s">
        <v>2417</v>
      </c>
      <c r="C55" s="21" t="s">
        <v>2370</v>
      </c>
      <c r="D55" s="12" t="s">
        <v>2419</v>
      </c>
      <c r="E55" s="421"/>
      <c r="F55" s="301">
        <v>20000</v>
      </c>
    </row>
    <row r="56" spans="1:6" ht="15" x14ac:dyDescent="0.3">
      <c r="A56" s="32">
        <v>45863</v>
      </c>
      <c r="B56" s="9" t="s">
        <v>2417</v>
      </c>
      <c r="C56" s="15" t="s">
        <v>2370</v>
      </c>
      <c r="D56" s="12" t="s">
        <v>2420</v>
      </c>
      <c r="E56" s="421"/>
      <c r="F56" s="301">
        <v>696100</v>
      </c>
    </row>
    <row r="57" spans="1:6" ht="15" x14ac:dyDescent="0.3">
      <c r="A57" s="105">
        <v>45894</v>
      </c>
      <c r="B57" s="11" t="s">
        <v>4171</v>
      </c>
      <c r="C57" s="11" t="s">
        <v>2370</v>
      </c>
      <c r="D57" s="200" t="s">
        <v>985</v>
      </c>
      <c r="E57" s="447"/>
      <c r="F57" s="289">
        <v>10000000</v>
      </c>
    </row>
    <row r="58" spans="1:6" ht="15" x14ac:dyDescent="0.3">
      <c r="A58" s="105">
        <v>45896</v>
      </c>
      <c r="B58" s="11" t="s">
        <v>4172</v>
      </c>
      <c r="C58" s="11" t="s">
        <v>2370</v>
      </c>
      <c r="D58" s="200" t="s">
        <v>2204</v>
      </c>
      <c r="E58" s="447"/>
      <c r="F58" s="289">
        <v>10000000</v>
      </c>
    </row>
    <row r="59" spans="1:6" ht="15" x14ac:dyDescent="0.3">
      <c r="A59" s="105">
        <v>45902</v>
      </c>
      <c r="B59" s="11" t="s">
        <v>4402</v>
      </c>
      <c r="C59" s="11" t="s">
        <v>4644</v>
      </c>
      <c r="D59" s="210" t="s">
        <v>4645</v>
      </c>
      <c r="E59" s="290"/>
      <c r="F59" s="289">
        <v>132000</v>
      </c>
    </row>
    <row r="60" spans="1:6" ht="15" x14ac:dyDescent="0.3">
      <c r="A60" s="105">
        <v>45902</v>
      </c>
      <c r="B60" s="11" t="s">
        <v>4532</v>
      </c>
      <c r="C60" s="11" t="s">
        <v>2370</v>
      </c>
      <c r="D60" s="210" t="s">
        <v>4646</v>
      </c>
      <c r="E60" s="290"/>
      <c r="F60" s="289">
        <v>7446006</v>
      </c>
    </row>
    <row r="61" spans="1:6" ht="15" x14ac:dyDescent="0.3">
      <c r="A61" s="105">
        <v>45902</v>
      </c>
      <c r="B61" s="11" t="s">
        <v>4532</v>
      </c>
      <c r="C61" s="11" t="s">
        <v>2370</v>
      </c>
      <c r="D61" s="210" t="s">
        <v>4647</v>
      </c>
      <c r="E61" s="290"/>
      <c r="F61" s="289">
        <v>586588</v>
      </c>
    </row>
    <row r="62" spans="1:6" ht="15" x14ac:dyDescent="0.3">
      <c r="A62" s="105">
        <v>45929</v>
      </c>
      <c r="B62" s="11" t="s">
        <v>4648</v>
      </c>
      <c r="C62" s="54" t="s">
        <v>2370</v>
      </c>
      <c r="D62" s="213" t="s">
        <v>4649</v>
      </c>
      <c r="E62" s="290">
        <v>153297340</v>
      </c>
      <c r="F62" s="289"/>
    </row>
    <row r="63" spans="1:6" ht="15" x14ac:dyDescent="0.3">
      <c r="A63" s="105">
        <v>45929</v>
      </c>
      <c r="B63" s="11" t="s">
        <v>4648</v>
      </c>
      <c r="C63" s="54" t="s">
        <v>2370</v>
      </c>
      <c r="D63" s="213" t="s">
        <v>4650</v>
      </c>
      <c r="E63" s="290">
        <v>16862707</v>
      </c>
      <c r="F63" s="289"/>
    </row>
    <row r="64" spans="1:6" ht="15" x14ac:dyDescent="0.3">
      <c r="A64" s="105">
        <v>45929</v>
      </c>
      <c r="B64" s="11" t="s">
        <v>4648</v>
      </c>
      <c r="C64" s="54" t="s">
        <v>2370</v>
      </c>
      <c r="D64" s="213" t="s">
        <v>4651</v>
      </c>
      <c r="E64" s="290">
        <v>-4062379.51</v>
      </c>
      <c r="F64" s="289"/>
    </row>
    <row r="65" spans="1:6" ht="15" x14ac:dyDescent="0.3">
      <c r="A65" s="105">
        <v>45943</v>
      </c>
      <c r="B65" s="11" t="s">
        <v>4951</v>
      </c>
      <c r="C65" s="54" t="s">
        <v>2370</v>
      </c>
      <c r="D65" s="213" t="s">
        <v>5136</v>
      </c>
      <c r="E65" s="290"/>
      <c r="F65" s="289">
        <v>20000</v>
      </c>
    </row>
    <row r="66" spans="1:6" ht="15" x14ac:dyDescent="0.3">
      <c r="A66" s="105">
        <v>45981</v>
      </c>
      <c r="B66" s="11" t="s">
        <v>5719</v>
      </c>
      <c r="C66" s="11" t="s">
        <v>2370</v>
      </c>
      <c r="D66" s="213" t="s">
        <v>5824</v>
      </c>
      <c r="E66" s="290"/>
      <c r="F66" s="290">
        <v>82500</v>
      </c>
    </row>
    <row r="67" spans="1:6" ht="15" x14ac:dyDescent="0.3">
      <c r="A67" s="523">
        <v>45981</v>
      </c>
      <c r="B67" s="524" t="s">
        <v>5719</v>
      </c>
      <c r="C67" s="524" t="s">
        <v>2370</v>
      </c>
      <c r="D67" s="525" t="s">
        <v>5825</v>
      </c>
      <c r="E67" s="526"/>
      <c r="F67" s="526">
        <v>178500</v>
      </c>
    </row>
  </sheetData>
  <autoFilter ref="A2:F2" xr:uid="{AEFAEE9E-74C7-4772-89E5-0BB19469BE43}"/>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7FA0C-40B4-433C-876B-67F52C8797B9}">
  <dimension ref="A2:F1502"/>
  <sheetViews>
    <sheetView workbookViewId="0">
      <pane xSplit="3" ySplit="2" topLeftCell="D1489" activePane="bottomRight" state="frozen"/>
      <selection pane="topRight" activeCell="D1" sqref="D1"/>
      <selection pane="bottomLeft" activeCell="A3" sqref="A3"/>
      <selection pane="bottomRight" activeCell="D1495" sqref="D1495"/>
    </sheetView>
  </sheetViews>
  <sheetFormatPr defaultRowHeight="14.4" x14ac:dyDescent="0.3"/>
  <cols>
    <col min="1" max="3" width="13.88671875" style="83" customWidth="1"/>
    <col min="4" max="4" width="111" style="83" customWidth="1"/>
    <col min="5" max="6" width="18.88671875" style="455" customWidth="1"/>
    <col min="7" max="16384" width="8.88671875" style="83"/>
  </cols>
  <sheetData>
    <row r="2" spans="1:6" ht="15.6" x14ac:dyDescent="0.3">
      <c r="A2" s="1" t="s">
        <v>0</v>
      </c>
      <c r="B2" s="382" t="s">
        <v>1</v>
      </c>
      <c r="C2" s="2" t="s">
        <v>2</v>
      </c>
      <c r="D2" s="382" t="s">
        <v>3</v>
      </c>
      <c r="E2" s="412" t="s">
        <v>4</v>
      </c>
      <c r="F2" s="397" t="s">
        <v>5</v>
      </c>
    </row>
    <row r="3" spans="1:6" ht="15" x14ac:dyDescent="0.3">
      <c r="A3" s="174">
        <v>45862</v>
      </c>
      <c r="B3" s="324" t="s">
        <v>2246</v>
      </c>
      <c r="C3" s="323" t="s">
        <v>2519</v>
      </c>
      <c r="D3" s="535" t="s">
        <v>2525</v>
      </c>
      <c r="E3" s="557"/>
      <c r="F3" s="332">
        <f>3592500+2500</f>
        <v>3595000</v>
      </c>
    </row>
    <row r="4" spans="1:6" ht="15" x14ac:dyDescent="0.3">
      <c r="A4" s="32">
        <v>45862</v>
      </c>
      <c r="B4" s="142" t="s">
        <v>2246</v>
      </c>
      <c r="C4" s="9" t="s">
        <v>2519</v>
      </c>
      <c r="D4" s="536" t="s">
        <v>2526</v>
      </c>
      <c r="E4" s="473"/>
      <c r="F4" s="305">
        <f>181000+390000</f>
        <v>571000</v>
      </c>
    </row>
    <row r="5" spans="1:6" ht="15" x14ac:dyDescent="0.3">
      <c r="A5" s="32">
        <v>45862</v>
      </c>
      <c r="B5" s="142" t="s">
        <v>2246</v>
      </c>
      <c r="C5" s="9" t="s">
        <v>2519</v>
      </c>
      <c r="D5" s="536" t="s">
        <v>2527</v>
      </c>
      <c r="E5" s="473"/>
      <c r="F5" s="305">
        <f>60500+60500+2500</f>
        <v>123500</v>
      </c>
    </row>
    <row r="6" spans="1:6" ht="15" x14ac:dyDescent="0.3">
      <c r="A6" s="105">
        <v>45861</v>
      </c>
      <c r="B6" s="112" t="s">
        <v>2528</v>
      </c>
      <c r="C6" s="11" t="s">
        <v>2519</v>
      </c>
      <c r="D6" s="363" t="s">
        <v>2529</v>
      </c>
      <c r="E6" s="289"/>
      <c r="F6" s="299">
        <v>5448125</v>
      </c>
    </row>
    <row r="7" spans="1:6" ht="15" x14ac:dyDescent="0.3">
      <c r="A7" s="105">
        <v>45869</v>
      </c>
      <c r="B7" s="112" t="s">
        <v>2518</v>
      </c>
      <c r="C7" s="11" t="s">
        <v>2519</v>
      </c>
      <c r="D7" s="537" t="s">
        <v>2520</v>
      </c>
      <c r="E7" s="289"/>
      <c r="F7" s="289">
        <v>2010000</v>
      </c>
    </row>
    <row r="8" spans="1:6" ht="15" x14ac:dyDescent="0.3">
      <c r="A8" s="105">
        <v>45869</v>
      </c>
      <c r="B8" s="112" t="s">
        <v>2518</v>
      </c>
      <c r="C8" s="11" t="s">
        <v>2519</v>
      </c>
      <c r="D8" s="537" t="s">
        <v>2521</v>
      </c>
      <c r="E8" s="289"/>
      <c r="F8" s="289">
        <v>276500</v>
      </c>
    </row>
    <row r="9" spans="1:6" ht="15" x14ac:dyDescent="0.3">
      <c r="A9" s="105">
        <v>45869</v>
      </c>
      <c r="B9" s="112" t="s">
        <v>2518</v>
      </c>
      <c r="C9" s="11" t="s">
        <v>2519</v>
      </c>
      <c r="D9" s="537" t="s">
        <v>2522</v>
      </c>
      <c r="E9" s="289"/>
      <c r="F9" s="289">
        <v>128500</v>
      </c>
    </row>
    <row r="10" spans="1:6" ht="15" x14ac:dyDescent="0.3">
      <c r="A10" s="105">
        <v>45869</v>
      </c>
      <c r="B10" s="112" t="s">
        <v>2518</v>
      </c>
      <c r="C10" s="11" t="s">
        <v>2519</v>
      </c>
      <c r="D10" s="537" t="s">
        <v>2523</v>
      </c>
      <c r="E10" s="289"/>
      <c r="F10" s="289">
        <v>2539000</v>
      </c>
    </row>
    <row r="11" spans="1:6" ht="15" x14ac:dyDescent="0.3">
      <c r="A11" s="105">
        <v>45869</v>
      </c>
      <c r="B11" s="112" t="s">
        <v>2518</v>
      </c>
      <c r="C11" s="11" t="s">
        <v>2519</v>
      </c>
      <c r="D11" s="537" t="s">
        <v>2524</v>
      </c>
      <c r="E11" s="289"/>
      <c r="F11" s="289">
        <v>2652500</v>
      </c>
    </row>
    <row r="12" spans="1:6" ht="15" x14ac:dyDescent="0.3">
      <c r="A12" s="32">
        <v>45870</v>
      </c>
      <c r="B12" s="142" t="s">
        <v>2530</v>
      </c>
      <c r="C12" s="11" t="s">
        <v>2519</v>
      </c>
      <c r="D12" s="538" t="s">
        <v>2531</v>
      </c>
      <c r="E12" s="289"/>
      <c r="F12" s="289">
        <v>131000</v>
      </c>
    </row>
    <row r="13" spans="1:6" ht="15" x14ac:dyDescent="0.3">
      <c r="A13" s="32">
        <v>45870</v>
      </c>
      <c r="B13" s="142" t="s">
        <v>2530</v>
      </c>
      <c r="C13" s="11" t="s">
        <v>2519</v>
      </c>
      <c r="D13" s="538" t="s">
        <v>2532</v>
      </c>
      <c r="E13" s="289"/>
      <c r="F13" s="289">
        <v>532000</v>
      </c>
    </row>
    <row r="14" spans="1:6" ht="15" x14ac:dyDescent="0.3">
      <c r="A14" s="32">
        <v>45870</v>
      </c>
      <c r="B14" s="142" t="s">
        <v>2533</v>
      </c>
      <c r="C14" s="11" t="s">
        <v>2519</v>
      </c>
      <c r="D14" s="538" t="s">
        <v>2534</v>
      </c>
      <c r="E14" s="289"/>
      <c r="F14" s="289">
        <v>63000</v>
      </c>
    </row>
    <row r="15" spans="1:6" ht="15" x14ac:dyDescent="0.3">
      <c r="A15" s="32">
        <v>45870</v>
      </c>
      <c r="B15" s="142" t="s">
        <v>2533</v>
      </c>
      <c r="C15" s="11" t="s">
        <v>2519</v>
      </c>
      <c r="D15" s="538" t="s">
        <v>2535</v>
      </c>
      <c r="E15" s="289"/>
      <c r="F15" s="289">
        <v>15500</v>
      </c>
    </row>
    <row r="16" spans="1:6" ht="15" x14ac:dyDescent="0.3">
      <c r="A16" s="32">
        <v>45870</v>
      </c>
      <c r="B16" s="142" t="s">
        <v>2533</v>
      </c>
      <c r="C16" s="11" t="s">
        <v>2519</v>
      </c>
      <c r="D16" s="538" t="s">
        <v>2536</v>
      </c>
      <c r="E16" s="289"/>
      <c r="F16" s="289">
        <v>40000</v>
      </c>
    </row>
    <row r="17" spans="1:6" ht="15" x14ac:dyDescent="0.3">
      <c r="A17" s="32">
        <v>45873</v>
      </c>
      <c r="B17" s="142" t="s">
        <v>2537</v>
      </c>
      <c r="C17" s="11" t="s">
        <v>2519</v>
      </c>
      <c r="D17" s="538" t="s">
        <v>2538</v>
      </c>
      <c r="E17" s="289"/>
      <c r="F17" s="289">
        <v>130000</v>
      </c>
    </row>
    <row r="18" spans="1:6" ht="15" x14ac:dyDescent="0.3">
      <c r="A18" s="32">
        <v>45873</v>
      </c>
      <c r="B18" s="142" t="s">
        <v>2537</v>
      </c>
      <c r="C18" s="11" t="s">
        <v>2519</v>
      </c>
      <c r="D18" s="538" t="s">
        <v>2539</v>
      </c>
      <c r="E18" s="289"/>
      <c r="F18" s="289">
        <v>2500</v>
      </c>
    </row>
    <row r="19" spans="1:6" ht="15" x14ac:dyDescent="0.3">
      <c r="A19" s="32">
        <v>45873</v>
      </c>
      <c r="B19" s="142" t="s">
        <v>2537</v>
      </c>
      <c r="C19" s="11" t="s">
        <v>2519</v>
      </c>
      <c r="D19" s="538" t="s">
        <v>2540</v>
      </c>
      <c r="E19" s="289"/>
      <c r="F19" s="289">
        <v>421200</v>
      </c>
    </row>
    <row r="20" spans="1:6" ht="15" x14ac:dyDescent="0.3">
      <c r="A20" s="32">
        <v>45873</v>
      </c>
      <c r="B20" s="142" t="s">
        <v>2537</v>
      </c>
      <c r="C20" s="11" t="s">
        <v>2519</v>
      </c>
      <c r="D20" s="538" t="s">
        <v>2541</v>
      </c>
      <c r="E20" s="289"/>
      <c r="F20" s="289">
        <v>1650000</v>
      </c>
    </row>
    <row r="21" spans="1:6" ht="15" x14ac:dyDescent="0.3">
      <c r="A21" s="32">
        <v>45873</v>
      </c>
      <c r="B21" s="142" t="s">
        <v>2537</v>
      </c>
      <c r="C21" s="11" t="s">
        <v>2519</v>
      </c>
      <c r="D21" s="538" t="s">
        <v>50</v>
      </c>
      <c r="E21" s="289"/>
      <c r="F21" s="289">
        <v>2500</v>
      </c>
    </row>
    <row r="22" spans="1:6" ht="15" x14ac:dyDescent="0.3">
      <c r="A22" s="32">
        <v>45873</v>
      </c>
      <c r="B22" s="142" t="s">
        <v>2537</v>
      </c>
      <c r="C22" s="11" t="s">
        <v>2519</v>
      </c>
      <c r="D22" s="538" t="s">
        <v>2542</v>
      </c>
      <c r="E22" s="289"/>
      <c r="F22" s="289">
        <v>50000</v>
      </c>
    </row>
    <row r="23" spans="1:6" ht="15" x14ac:dyDescent="0.3">
      <c r="A23" s="32">
        <v>45873</v>
      </c>
      <c r="B23" s="142" t="s">
        <v>2543</v>
      </c>
      <c r="C23" s="11" t="s">
        <v>2519</v>
      </c>
      <c r="D23" s="363" t="s">
        <v>2544</v>
      </c>
      <c r="E23" s="289"/>
      <c r="F23" s="299">
        <v>51600</v>
      </c>
    </row>
    <row r="24" spans="1:6" ht="15" x14ac:dyDescent="0.3">
      <c r="A24" s="32">
        <v>45873</v>
      </c>
      <c r="B24" s="142" t="s">
        <v>2543</v>
      </c>
      <c r="C24" s="11" t="s">
        <v>2519</v>
      </c>
      <c r="D24" s="363" t="s">
        <v>2545</v>
      </c>
      <c r="E24" s="289"/>
      <c r="F24" s="299">
        <v>2500</v>
      </c>
    </row>
    <row r="25" spans="1:6" ht="15" x14ac:dyDescent="0.3">
      <c r="A25" s="32">
        <v>45873</v>
      </c>
      <c r="B25" s="142" t="s">
        <v>2543</v>
      </c>
      <c r="C25" s="11" t="s">
        <v>2519</v>
      </c>
      <c r="D25" s="363" t="s">
        <v>2546</v>
      </c>
      <c r="E25" s="289"/>
      <c r="F25" s="299">
        <v>57900</v>
      </c>
    </row>
    <row r="26" spans="1:6" ht="15" x14ac:dyDescent="0.3">
      <c r="A26" s="32">
        <v>45873</v>
      </c>
      <c r="B26" s="142" t="s">
        <v>2543</v>
      </c>
      <c r="C26" s="11" t="s">
        <v>2519</v>
      </c>
      <c r="D26" s="363" t="s">
        <v>2545</v>
      </c>
      <c r="E26" s="289"/>
      <c r="F26" s="299">
        <v>2500</v>
      </c>
    </row>
    <row r="27" spans="1:6" ht="15" x14ac:dyDescent="0.3">
      <c r="A27" s="32">
        <v>45873</v>
      </c>
      <c r="B27" s="142" t="s">
        <v>2543</v>
      </c>
      <c r="C27" s="11" t="s">
        <v>2519</v>
      </c>
      <c r="D27" s="363" t="s">
        <v>2547</v>
      </c>
      <c r="E27" s="289"/>
      <c r="F27" s="299">
        <v>1400000</v>
      </c>
    </row>
    <row r="28" spans="1:6" ht="15" x14ac:dyDescent="0.3">
      <c r="A28" s="32">
        <v>45873</v>
      </c>
      <c r="B28" s="142" t="s">
        <v>2543</v>
      </c>
      <c r="C28" s="11" t="s">
        <v>2519</v>
      </c>
      <c r="D28" s="363" t="s">
        <v>2545</v>
      </c>
      <c r="E28" s="289"/>
      <c r="F28" s="299">
        <v>2500</v>
      </c>
    </row>
    <row r="29" spans="1:6" ht="15" x14ac:dyDescent="0.3">
      <c r="A29" s="32">
        <v>45873</v>
      </c>
      <c r="B29" s="142" t="s">
        <v>2543</v>
      </c>
      <c r="C29" s="11" t="s">
        <v>2519</v>
      </c>
      <c r="D29" s="363" t="s">
        <v>2548</v>
      </c>
      <c r="E29" s="289"/>
      <c r="F29" s="299">
        <v>166500</v>
      </c>
    </row>
    <row r="30" spans="1:6" ht="15" x14ac:dyDescent="0.3">
      <c r="A30" s="32">
        <v>45873</v>
      </c>
      <c r="B30" s="142" t="s">
        <v>2543</v>
      </c>
      <c r="C30" s="11" t="s">
        <v>2519</v>
      </c>
      <c r="D30" s="363" t="s">
        <v>2545</v>
      </c>
      <c r="E30" s="289"/>
      <c r="F30" s="299">
        <v>2500</v>
      </c>
    </row>
    <row r="31" spans="1:6" ht="30" x14ac:dyDescent="0.3">
      <c r="A31" s="32">
        <v>45873</v>
      </c>
      <c r="B31" s="142" t="s">
        <v>2549</v>
      </c>
      <c r="C31" s="11" t="s">
        <v>2519</v>
      </c>
      <c r="D31" s="538" t="s">
        <v>2550</v>
      </c>
      <c r="E31" s="289"/>
      <c r="F31" s="289">
        <v>2569257</v>
      </c>
    </row>
    <row r="32" spans="1:6" ht="15" x14ac:dyDescent="0.3">
      <c r="A32" s="32">
        <v>45873</v>
      </c>
      <c r="B32" s="142" t="s">
        <v>2549</v>
      </c>
      <c r="C32" s="11" t="s">
        <v>2519</v>
      </c>
      <c r="D32" s="538" t="s">
        <v>2551</v>
      </c>
      <c r="E32" s="289"/>
      <c r="F32" s="289">
        <v>79500</v>
      </c>
    </row>
    <row r="33" spans="1:6" ht="15" x14ac:dyDescent="0.3">
      <c r="A33" s="32">
        <v>45873</v>
      </c>
      <c r="B33" s="142" t="s">
        <v>2549</v>
      </c>
      <c r="C33" s="11" t="s">
        <v>2519</v>
      </c>
      <c r="D33" s="538" t="s">
        <v>2552</v>
      </c>
      <c r="E33" s="289"/>
      <c r="F33" s="289">
        <v>25000</v>
      </c>
    </row>
    <row r="34" spans="1:6" ht="15" x14ac:dyDescent="0.3">
      <c r="A34" s="32">
        <v>45873</v>
      </c>
      <c r="B34" s="142" t="s">
        <v>2549</v>
      </c>
      <c r="C34" s="11" t="s">
        <v>2519</v>
      </c>
      <c r="D34" s="538" t="s">
        <v>2553</v>
      </c>
      <c r="E34" s="289"/>
      <c r="F34" s="289">
        <v>721000</v>
      </c>
    </row>
    <row r="35" spans="1:6" ht="15" x14ac:dyDescent="0.3">
      <c r="A35" s="32">
        <v>45873</v>
      </c>
      <c r="B35" s="142" t="s">
        <v>2549</v>
      </c>
      <c r="C35" s="11" t="s">
        <v>2519</v>
      </c>
      <c r="D35" s="538" t="s">
        <v>202</v>
      </c>
      <c r="E35" s="289"/>
      <c r="F35" s="289">
        <v>5000</v>
      </c>
    </row>
    <row r="36" spans="1:6" ht="15" x14ac:dyDescent="0.3">
      <c r="A36" s="32">
        <v>45873</v>
      </c>
      <c r="B36" s="142" t="s">
        <v>2554</v>
      </c>
      <c r="C36" s="11" t="s">
        <v>2519</v>
      </c>
      <c r="D36" s="538" t="s">
        <v>2555</v>
      </c>
      <c r="E36" s="289"/>
      <c r="F36" s="289">
        <v>764500</v>
      </c>
    </row>
    <row r="37" spans="1:6" ht="15" x14ac:dyDescent="0.3">
      <c r="A37" s="32">
        <v>45873</v>
      </c>
      <c r="B37" s="142" t="s">
        <v>2554</v>
      </c>
      <c r="C37" s="11" t="s">
        <v>2519</v>
      </c>
      <c r="D37" s="538" t="s">
        <v>2556</v>
      </c>
      <c r="E37" s="289"/>
      <c r="F37" s="289">
        <v>2500</v>
      </c>
    </row>
    <row r="38" spans="1:6" ht="15" x14ac:dyDescent="0.3">
      <c r="A38" s="32">
        <v>45873</v>
      </c>
      <c r="B38" s="142" t="s">
        <v>2554</v>
      </c>
      <c r="C38" s="11" t="s">
        <v>2519</v>
      </c>
      <c r="D38" s="538" t="s">
        <v>2557</v>
      </c>
      <c r="E38" s="289"/>
      <c r="F38" s="289">
        <v>114000</v>
      </c>
    </row>
    <row r="39" spans="1:6" ht="15" x14ac:dyDescent="0.3">
      <c r="A39" s="32">
        <v>45877</v>
      </c>
      <c r="B39" s="142" t="s">
        <v>2558</v>
      </c>
      <c r="C39" s="11" t="s">
        <v>2519</v>
      </c>
      <c r="D39" s="538" t="s">
        <v>2559</v>
      </c>
      <c r="E39" s="289"/>
      <c r="F39" s="289">
        <v>690000</v>
      </c>
    </row>
    <row r="40" spans="1:6" ht="15" x14ac:dyDescent="0.3">
      <c r="A40" s="32">
        <v>45877</v>
      </c>
      <c r="B40" s="142" t="s">
        <v>2558</v>
      </c>
      <c r="C40" s="11" t="s">
        <v>2519</v>
      </c>
      <c r="D40" s="538" t="s">
        <v>2556</v>
      </c>
      <c r="E40" s="289"/>
      <c r="F40" s="289">
        <v>2500</v>
      </c>
    </row>
    <row r="41" spans="1:6" ht="15" x14ac:dyDescent="0.3">
      <c r="A41" s="32">
        <v>45877</v>
      </c>
      <c r="B41" s="142" t="s">
        <v>2558</v>
      </c>
      <c r="C41" s="11" t="s">
        <v>2519</v>
      </c>
      <c r="D41" s="538" t="s">
        <v>2560</v>
      </c>
      <c r="E41" s="289"/>
      <c r="F41" s="289">
        <v>54000</v>
      </c>
    </row>
    <row r="42" spans="1:6" ht="15" x14ac:dyDescent="0.3">
      <c r="A42" s="32">
        <v>45877</v>
      </c>
      <c r="B42" s="142" t="s">
        <v>2558</v>
      </c>
      <c r="C42" s="11" t="s">
        <v>2519</v>
      </c>
      <c r="D42" s="538" t="s">
        <v>2556</v>
      </c>
      <c r="E42" s="289"/>
      <c r="F42" s="289">
        <v>2500</v>
      </c>
    </row>
    <row r="43" spans="1:6" ht="15" x14ac:dyDescent="0.3">
      <c r="A43" s="32">
        <v>45877</v>
      </c>
      <c r="B43" s="142" t="s">
        <v>2558</v>
      </c>
      <c r="C43" s="11" t="s">
        <v>2519</v>
      </c>
      <c r="D43" s="538" t="s">
        <v>2561</v>
      </c>
      <c r="E43" s="289"/>
      <c r="F43" s="289">
        <v>46000</v>
      </c>
    </row>
    <row r="44" spans="1:6" ht="15" x14ac:dyDescent="0.3">
      <c r="A44" s="32">
        <v>45877</v>
      </c>
      <c r="B44" s="142" t="s">
        <v>2558</v>
      </c>
      <c r="C44" s="11" t="s">
        <v>2519</v>
      </c>
      <c r="D44" s="538" t="s">
        <v>2556</v>
      </c>
      <c r="E44" s="289"/>
      <c r="F44" s="289">
        <v>2500</v>
      </c>
    </row>
    <row r="45" spans="1:6" ht="15" x14ac:dyDescent="0.3">
      <c r="A45" s="32">
        <v>45877</v>
      </c>
      <c r="B45" s="142" t="s">
        <v>2558</v>
      </c>
      <c r="C45" s="11" t="s">
        <v>2519</v>
      </c>
      <c r="D45" s="538" t="s">
        <v>2562</v>
      </c>
      <c r="E45" s="289"/>
      <c r="F45" s="289">
        <v>2330000</v>
      </c>
    </row>
    <row r="46" spans="1:6" ht="15" x14ac:dyDescent="0.3">
      <c r="A46" s="32">
        <v>45877</v>
      </c>
      <c r="B46" s="142" t="s">
        <v>2558</v>
      </c>
      <c r="C46" s="11" t="s">
        <v>2519</v>
      </c>
      <c r="D46" s="538" t="s">
        <v>2563</v>
      </c>
      <c r="E46" s="289"/>
      <c r="F46" s="289">
        <v>256500</v>
      </c>
    </row>
    <row r="47" spans="1:6" ht="15" x14ac:dyDescent="0.3">
      <c r="A47" s="32">
        <v>45877</v>
      </c>
      <c r="B47" s="142" t="s">
        <v>2558</v>
      </c>
      <c r="C47" s="11" t="s">
        <v>2519</v>
      </c>
      <c r="D47" s="538" t="s">
        <v>2564</v>
      </c>
      <c r="E47" s="289"/>
      <c r="F47" s="289">
        <v>100000</v>
      </c>
    </row>
    <row r="48" spans="1:6" ht="15" x14ac:dyDescent="0.3">
      <c r="A48" s="32">
        <v>45877</v>
      </c>
      <c r="B48" s="142" t="s">
        <v>2558</v>
      </c>
      <c r="C48" s="11" t="s">
        <v>2519</v>
      </c>
      <c r="D48" s="538" t="s">
        <v>2556</v>
      </c>
      <c r="E48" s="289"/>
      <c r="F48" s="289">
        <v>2500</v>
      </c>
    </row>
    <row r="49" spans="1:6" ht="15" x14ac:dyDescent="0.3">
      <c r="A49" s="32">
        <v>45877</v>
      </c>
      <c r="B49" s="142" t="s">
        <v>2558</v>
      </c>
      <c r="C49" s="11" t="s">
        <v>2519</v>
      </c>
      <c r="D49" s="538" t="s">
        <v>2565</v>
      </c>
      <c r="E49" s="289"/>
      <c r="F49" s="289">
        <v>1400000</v>
      </c>
    </row>
    <row r="50" spans="1:6" ht="15" x14ac:dyDescent="0.3">
      <c r="A50" s="32">
        <v>45877</v>
      </c>
      <c r="B50" s="142" t="s">
        <v>2558</v>
      </c>
      <c r="C50" s="11" t="s">
        <v>2519</v>
      </c>
      <c r="D50" s="538" t="s">
        <v>2556</v>
      </c>
      <c r="E50" s="289"/>
      <c r="F50" s="289">
        <v>2500</v>
      </c>
    </row>
    <row r="51" spans="1:6" ht="15" x14ac:dyDescent="0.3">
      <c r="A51" s="32">
        <v>45877</v>
      </c>
      <c r="B51" s="142" t="s">
        <v>2558</v>
      </c>
      <c r="C51" s="11" t="s">
        <v>2519</v>
      </c>
      <c r="D51" s="538" t="s">
        <v>2566</v>
      </c>
      <c r="E51" s="289"/>
      <c r="F51" s="289">
        <v>53000</v>
      </c>
    </row>
    <row r="52" spans="1:6" ht="15" x14ac:dyDescent="0.3">
      <c r="A52" s="32">
        <v>45877</v>
      </c>
      <c r="B52" s="142" t="s">
        <v>2558</v>
      </c>
      <c r="C52" s="11" t="s">
        <v>2519</v>
      </c>
      <c r="D52" s="538" t="s">
        <v>2556</v>
      </c>
      <c r="E52" s="289"/>
      <c r="F52" s="289">
        <v>2500</v>
      </c>
    </row>
    <row r="53" spans="1:6" ht="15" x14ac:dyDescent="0.3">
      <c r="A53" s="32">
        <v>45877</v>
      </c>
      <c r="B53" s="142" t="s">
        <v>2558</v>
      </c>
      <c r="C53" s="11" t="s">
        <v>2519</v>
      </c>
      <c r="D53" s="538" t="s">
        <v>2567</v>
      </c>
      <c r="E53" s="289"/>
      <c r="F53" s="289">
        <v>1780000</v>
      </c>
    </row>
    <row r="54" spans="1:6" ht="15" x14ac:dyDescent="0.3">
      <c r="A54" s="32">
        <v>45877</v>
      </c>
      <c r="B54" s="142" t="s">
        <v>2558</v>
      </c>
      <c r="C54" s="11" t="s">
        <v>2519</v>
      </c>
      <c r="D54" s="538" t="s">
        <v>2556</v>
      </c>
      <c r="E54" s="289"/>
      <c r="F54" s="289">
        <v>5000</v>
      </c>
    </row>
    <row r="55" spans="1:6" ht="15" x14ac:dyDescent="0.3">
      <c r="A55" s="32">
        <v>45877</v>
      </c>
      <c r="B55" s="142" t="s">
        <v>2558</v>
      </c>
      <c r="C55" s="11" t="s">
        <v>2519</v>
      </c>
      <c r="D55" s="538" t="s">
        <v>2557</v>
      </c>
      <c r="E55" s="289"/>
      <c r="F55" s="289">
        <v>1071035</v>
      </c>
    </row>
    <row r="56" spans="1:6" ht="15" x14ac:dyDescent="0.3">
      <c r="A56" s="32">
        <v>45877</v>
      </c>
      <c r="B56" s="142" t="s">
        <v>2558</v>
      </c>
      <c r="C56" s="11" t="s">
        <v>2519</v>
      </c>
      <c r="D56" s="538" t="s">
        <v>2556</v>
      </c>
      <c r="E56" s="289"/>
      <c r="F56" s="289">
        <v>7500</v>
      </c>
    </row>
    <row r="57" spans="1:6" ht="15" x14ac:dyDescent="0.3">
      <c r="A57" s="221">
        <v>45884</v>
      </c>
      <c r="B57" s="529" t="s">
        <v>4173</v>
      </c>
      <c r="C57" s="222" t="s">
        <v>2519</v>
      </c>
      <c r="D57" s="539" t="s">
        <v>4174</v>
      </c>
      <c r="E57" s="521"/>
      <c r="F57" s="558">
        <v>1000000</v>
      </c>
    </row>
    <row r="58" spans="1:6" ht="15" x14ac:dyDescent="0.3">
      <c r="A58" s="221">
        <v>45884</v>
      </c>
      <c r="B58" s="529" t="s">
        <v>4173</v>
      </c>
      <c r="C58" s="222" t="s">
        <v>2519</v>
      </c>
      <c r="D58" s="539" t="s">
        <v>4175</v>
      </c>
      <c r="E58" s="521"/>
      <c r="F58" s="558">
        <v>836500</v>
      </c>
    </row>
    <row r="59" spans="1:6" ht="15" x14ac:dyDescent="0.3">
      <c r="A59" s="221">
        <v>45884</v>
      </c>
      <c r="B59" s="529" t="s">
        <v>4173</v>
      </c>
      <c r="C59" s="222" t="s">
        <v>2519</v>
      </c>
      <c r="D59" s="539" t="s">
        <v>4176</v>
      </c>
      <c r="E59" s="521"/>
      <c r="F59" s="558">
        <v>1103988</v>
      </c>
    </row>
    <row r="60" spans="1:6" ht="15" x14ac:dyDescent="0.3">
      <c r="A60" s="221">
        <v>45884</v>
      </c>
      <c r="B60" s="529" t="s">
        <v>4173</v>
      </c>
      <c r="C60" s="222" t="s">
        <v>2519</v>
      </c>
      <c r="D60" s="539" t="s">
        <v>4177</v>
      </c>
      <c r="E60" s="521"/>
      <c r="F60" s="558">
        <v>1776500</v>
      </c>
    </row>
    <row r="61" spans="1:6" ht="15" x14ac:dyDescent="0.3">
      <c r="A61" s="221">
        <v>45884</v>
      </c>
      <c r="B61" s="529" t="s">
        <v>4173</v>
      </c>
      <c r="C61" s="222" t="s">
        <v>2519</v>
      </c>
      <c r="D61" s="539" t="s">
        <v>4178</v>
      </c>
      <c r="E61" s="521"/>
      <c r="F61" s="558">
        <v>404200</v>
      </c>
    </row>
    <row r="62" spans="1:6" ht="15" x14ac:dyDescent="0.3">
      <c r="A62" s="221">
        <v>45884</v>
      </c>
      <c r="B62" s="529" t="s">
        <v>4173</v>
      </c>
      <c r="C62" s="222" t="s">
        <v>2519</v>
      </c>
      <c r="D62" s="539" t="s">
        <v>4179</v>
      </c>
      <c r="E62" s="521"/>
      <c r="F62" s="558">
        <v>2715000</v>
      </c>
    </row>
    <row r="63" spans="1:6" ht="15" x14ac:dyDescent="0.3">
      <c r="A63" s="105">
        <v>45880</v>
      </c>
      <c r="B63" s="112" t="s">
        <v>4180</v>
      </c>
      <c r="C63" s="11" t="s">
        <v>2519</v>
      </c>
      <c r="D63" s="540" t="s">
        <v>4181</v>
      </c>
      <c r="E63" s="289"/>
      <c r="F63" s="289">
        <v>2000000</v>
      </c>
    </row>
    <row r="64" spans="1:6" ht="15" x14ac:dyDescent="0.3">
      <c r="A64" s="105">
        <v>45880</v>
      </c>
      <c r="B64" s="112" t="s">
        <v>4180</v>
      </c>
      <c r="C64" s="11" t="s">
        <v>2519</v>
      </c>
      <c r="D64" s="540" t="s">
        <v>210</v>
      </c>
      <c r="E64" s="289"/>
      <c r="F64" s="289">
        <v>2500</v>
      </c>
    </row>
    <row r="65" spans="1:6" ht="15" x14ac:dyDescent="0.3">
      <c r="A65" s="105">
        <v>45880</v>
      </c>
      <c r="B65" s="112" t="s">
        <v>4180</v>
      </c>
      <c r="C65" s="11" t="s">
        <v>2519</v>
      </c>
      <c r="D65" s="540" t="s">
        <v>4182</v>
      </c>
      <c r="E65" s="289"/>
      <c r="F65" s="289">
        <v>500000</v>
      </c>
    </row>
    <row r="66" spans="1:6" ht="15" x14ac:dyDescent="0.3">
      <c r="A66" s="105">
        <v>45880</v>
      </c>
      <c r="B66" s="112" t="s">
        <v>4180</v>
      </c>
      <c r="C66" s="11" t="s">
        <v>2519</v>
      </c>
      <c r="D66" s="540" t="s">
        <v>210</v>
      </c>
      <c r="E66" s="289"/>
      <c r="F66" s="289">
        <v>2500</v>
      </c>
    </row>
    <row r="67" spans="1:6" ht="15" x14ac:dyDescent="0.3">
      <c r="A67" s="105">
        <v>45880</v>
      </c>
      <c r="B67" s="112" t="s">
        <v>4180</v>
      </c>
      <c r="C67" s="11" t="s">
        <v>2519</v>
      </c>
      <c r="D67" s="540" t="s">
        <v>4183</v>
      </c>
      <c r="E67" s="289"/>
      <c r="F67" s="289">
        <v>570869</v>
      </c>
    </row>
    <row r="68" spans="1:6" ht="15" x14ac:dyDescent="0.3">
      <c r="A68" s="105">
        <v>45880</v>
      </c>
      <c r="B68" s="112" t="s">
        <v>4180</v>
      </c>
      <c r="C68" s="11" t="s">
        <v>2519</v>
      </c>
      <c r="D68" s="540" t="s">
        <v>4184</v>
      </c>
      <c r="E68" s="289"/>
      <c r="F68" s="289">
        <v>1722950</v>
      </c>
    </row>
    <row r="69" spans="1:6" ht="15" x14ac:dyDescent="0.3">
      <c r="A69" s="105">
        <v>45880</v>
      </c>
      <c r="B69" s="112" t="s">
        <v>4180</v>
      </c>
      <c r="C69" s="11" t="s">
        <v>2519</v>
      </c>
      <c r="D69" s="540" t="s">
        <v>210</v>
      </c>
      <c r="E69" s="289"/>
      <c r="F69" s="289">
        <v>2500</v>
      </c>
    </row>
    <row r="70" spans="1:6" ht="15" x14ac:dyDescent="0.3">
      <c r="A70" s="105">
        <v>45880</v>
      </c>
      <c r="B70" s="112" t="s">
        <v>4185</v>
      </c>
      <c r="C70" s="11" t="s">
        <v>2519</v>
      </c>
      <c r="D70" s="540" t="s">
        <v>4186</v>
      </c>
      <c r="E70" s="289"/>
      <c r="F70" s="289">
        <v>207000</v>
      </c>
    </row>
    <row r="71" spans="1:6" ht="15" x14ac:dyDescent="0.3">
      <c r="A71" s="105">
        <v>45880</v>
      </c>
      <c r="B71" s="112" t="s">
        <v>4185</v>
      </c>
      <c r="C71" s="11" t="s">
        <v>2519</v>
      </c>
      <c r="D71" s="540" t="s">
        <v>4187</v>
      </c>
      <c r="E71" s="289"/>
      <c r="F71" s="289">
        <v>202500</v>
      </c>
    </row>
    <row r="72" spans="1:6" ht="15" x14ac:dyDescent="0.3">
      <c r="A72" s="105">
        <v>45880</v>
      </c>
      <c r="B72" s="112" t="s">
        <v>4185</v>
      </c>
      <c r="C72" s="11" t="s">
        <v>2519</v>
      </c>
      <c r="D72" s="540" t="s">
        <v>4188</v>
      </c>
      <c r="E72" s="289"/>
      <c r="F72" s="289">
        <v>500000</v>
      </c>
    </row>
    <row r="73" spans="1:6" ht="15" x14ac:dyDescent="0.3">
      <c r="A73" s="105">
        <v>45880</v>
      </c>
      <c r="B73" s="112" t="s">
        <v>4185</v>
      </c>
      <c r="C73" s="11" t="s">
        <v>2519</v>
      </c>
      <c r="D73" s="540" t="s">
        <v>4189</v>
      </c>
      <c r="E73" s="289"/>
      <c r="F73" s="289">
        <v>235000</v>
      </c>
    </row>
    <row r="74" spans="1:6" ht="15" x14ac:dyDescent="0.3">
      <c r="A74" s="105">
        <v>45880</v>
      </c>
      <c r="B74" s="112" t="s">
        <v>4185</v>
      </c>
      <c r="C74" s="11" t="s">
        <v>2519</v>
      </c>
      <c r="D74" s="540" t="s">
        <v>4190</v>
      </c>
      <c r="E74" s="289"/>
      <c r="F74" s="289">
        <v>1752500</v>
      </c>
    </row>
    <row r="75" spans="1:6" ht="15" x14ac:dyDescent="0.3">
      <c r="A75" s="105">
        <v>45880</v>
      </c>
      <c r="B75" s="112" t="s">
        <v>4185</v>
      </c>
      <c r="C75" s="11" t="s">
        <v>2519</v>
      </c>
      <c r="D75" s="540" t="s">
        <v>4191</v>
      </c>
      <c r="E75" s="289"/>
      <c r="F75" s="289">
        <v>5000</v>
      </c>
    </row>
    <row r="76" spans="1:6" ht="15" x14ac:dyDescent="0.3">
      <c r="A76" s="105">
        <v>45880</v>
      </c>
      <c r="B76" s="112" t="s">
        <v>4185</v>
      </c>
      <c r="C76" s="11" t="s">
        <v>2519</v>
      </c>
      <c r="D76" s="540" t="s">
        <v>4192</v>
      </c>
      <c r="E76" s="289"/>
      <c r="F76" s="289">
        <v>209100</v>
      </c>
    </row>
    <row r="77" spans="1:6" ht="15" x14ac:dyDescent="0.3">
      <c r="A77" s="105">
        <v>45880</v>
      </c>
      <c r="B77" s="112" t="s">
        <v>4185</v>
      </c>
      <c r="C77" s="11" t="s">
        <v>2519</v>
      </c>
      <c r="D77" s="540" t="s">
        <v>4193</v>
      </c>
      <c r="E77" s="289"/>
      <c r="F77" s="289">
        <v>42500</v>
      </c>
    </row>
    <row r="78" spans="1:6" ht="15" x14ac:dyDescent="0.3">
      <c r="A78" s="105">
        <v>45880</v>
      </c>
      <c r="B78" s="112" t="s">
        <v>4185</v>
      </c>
      <c r="C78" s="11" t="s">
        <v>2519</v>
      </c>
      <c r="D78" s="540" t="s">
        <v>4194</v>
      </c>
      <c r="E78" s="289"/>
      <c r="F78" s="289">
        <v>1407502</v>
      </c>
    </row>
    <row r="79" spans="1:6" ht="15" x14ac:dyDescent="0.3">
      <c r="A79" s="105">
        <v>45880</v>
      </c>
      <c r="B79" s="112" t="s">
        <v>4185</v>
      </c>
      <c r="C79" s="11" t="s">
        <v>2519</v>
      </c>
      <c r="D79" s="540" t="s">
        <v>4195</v>
      </c>
      <c r="E79" s="289"/>
      <c r="F79" s="289">
        <v>918367</v>
      </c>
    </row>
    <row r="80" spans="1:6" ht="15" x14ac:dyDescent="0.3">
      <c r="A80" s="105">
        <v>45880</v>
      </c>
      <c r="B80" s="112" t="s">
        <v>4185</v>
      </c>
      <c r="C80" s="11" t="s">
        <v>2519</v>
      </c>
      <c r="D80" s="540" t="s">
        <v>4196</v>
      </c>
      <c r="E80" s="289"/>
      <c r="F80" s="289">
        <v>-18367</v>
      </c>
    </row>
    <row r="81" spans="1:6" ht="15" x14ac:dyDescent="0.3">
      <c r="A81" s="105">
        <v>45880</v>
      </c>
      <c r="B81" s="112" t="s">
        <v>4185</v>
      </c>
      <c r="C81" s="11" t="s">
        <v>2519</v>
      </c>
      <c r="D81" s="540" t="s">
        <v>3488</v>
      </c>
      <c r="E81" s="289"/>
      <c r="F81" s="289">
        <v>2500</v>
      </c>
    </row>
    <row r="82" spans="1:6" ht="15" x14ac:dyDescent="0.3">
      <c r="A82" s="105">
        <v>45880</v>
      </c>
      <c r="B82" s="112" t="s">
        <v>4185</v>
      </c>
      <c r="C82" s="11" t="s">
        <v>2519</v>
      </c>
      <c r="D82" s="540" t="s">
        <v>4197</v>
      </c>
      <c r="E82" s="289"/>
      <c r="F82" s="289">
        <v>48166</v>
      </c>
    </row>
    <row r="83" spans="1:6" ht="15" x14ac:dyDescent="0.3">
      <c r="A83" s="105">
        <v>45880</v>
      </c>
      <c r="B83" s="112" t="s">
        <v>4185</v>
      </c>
      <c r="C83" s="11" t="s">
        <v>2519</v>
      </c>
      <c r="D83" s="540" t="s">
        <v>4198</v>
      </c>
      <c r="E83" s="289"/>
      <c r="F83" s="289">
        <v>22500</v>
      </c>
    </row>
    <row r="84" spans="1:6" ht="15" x14ac:dyDescent="0.3">
      <c r="A84" s="105">
        <v>45880</v>
      </c>
      <c r="B84" s="112" t="s">
        <v>4185</v>
      </c>
      <c r="C84" s="11" t="s">
        <v>2519</v>
      </c>
      <c r="D84" s="540" t="s">
        <v>4199</v>
      </c>
      <c r="E84" s="289"/>
      <c r="F84" s="289">
        <v>60000</v>
      </c>
    </row>
    <row r="85" spans="1:6" ht="15" x14ac:dyDescent="0.3">
      <c r="A85" s="105">
        <v>45881</v>
      </c>
      <c r="B85" s="112" t="s">
        <v>4200</v>
      </c>
      <c r="C85" s="11" t="s">
        <v>2519</v>
      </c>
      <c r="D85" s="540" t="s">
        <v>4201</v>
      </c>
      <c r="E85" s="289"/>
      <c r="F85" s="289">
        <v>821020</v>
      </c>
    </row>
    <row r="86" spans="1:6" ht="15" x14ac:dyDescent="0.3">
      <c r="A86" s="105">
        <v>45881</v>
      </c>
      <c r="B86" s="112" t="s">
        <v>4202</v>
      </c>
      <c r="C86" s="11" t="s">
        <v>2519</v>
      </c>
      <c r="D86" s="540" t="s">
        <v>4203</v>
      </c>
      <c r="E86" s="289"/>
      <c r="F86" s="289">
        <v>126000</v>
      </c>
    </row>
    <row r="87" spans="1:6" ht="15" x14ac:dyDescent="0.3">
      <c r="A87" s="105">
        <v>45881</v>
      </c>
      <c r="B87" s="112" t="s">
        <v>4202</v>
      </c>
      <c r="C87" s="11" t="s">
        <v>2519</v>
      </c>
      <c r="D87" s="540" t="s">
        <v>4204</v>
      </c>
      <c r="E87" s="289"/>
      <c r="F87" s="289">
        <v>2900</v>
      </c>
    </row>
    <row r="88" spans="1:6" ht="15" x14ac:dyDescent="0.3">
      <c r="A88" s="105">
        <v>45881</v>
      </c>
      <c r="B88" s="112" t="s">
        <v>4205</v>
      </c>
      <c r="C88" s="11" t="s">
        <v>2519</v>
      </c>
      <c r="D88" s="540" t="s">
        <v>4206</v>
      </c>
      <c r="E88" s="289"/>
      <c r="F88" s="289">
        <v>70500</v>
      </c>
    </row>
    <row r="89" spans="1:6" ht="15" x14ac:dyDescent="0.3">
      <c r="A89" s="105">
        <v>45881</v>
      </c>
      <c r="B89" s="112" t="s">
        <v>4205</v>
      </c>
      <c r="C89" s="11" t="s">
        <v>2519</v>
      </c>
      <c r="D89" s="540" t="s">
        <v>4207</v>
      </c>
      <c r="E89" s="289"/>
      <c r="F89" s="289">
        <v>2900</v>
      </c>
    </row>
    <row r="90" spans="1:6" ht="15" x14ac:dyDescent="0.3">
      <c r="A90" s="105">
        <v>45881</v>
      </c>
      <c r="B90" s="112" t="s">
        <v>4134</v>
      </c>
      <c r="C90" s="11" t="s">
        <v>2519</v>
      </c>
      <c r="D90" s="540" t="s">
        <v>4208</v>
      </c>
      <c r="E90" s="289"/>
      <c r="F90" s="289">
        <v>75000</v>
      </c>
    </row>
    <row r="91" spans="1:6" ht="15" x14ac:dyDescent="0.3">
      <c r="A91" s="105">
        <v>45881</v>
      </c>
      <c r="B91" s="112" t="s">
        <v>4134</v>
      </c>
      <c r="C91" s="11" t="s">
        <v>2519</v>
      </c>
      <c r="D91" s="540" t="s">
        <v>4209</v>
      </c>
      <c r="E91" s="289"/>
      <c r="F91" s="289">
        <v>220000</v>
      </c>
    </row>
    <row r="92" spans="1:6" ht="15" x14ac:dyDescent="0.3">
      <c r="A92" s="105">
        <v>45881</v>
      </c>
      <c r="B92" s="112" t="s">
        <v>4210</v>
      </c>
      <c r="C92" s="11" t="s">
        <v>2519</v>
      </c>
      <c r="D92" s="117" t="s">
        <v>4211</v>
      </c>
      <c r="E92" s="289"/>
      <c r="F92" s="289">
        <v>55000</v>
      </c>
    </row>
    <row r="93" spans="1:6" ht="15" x14ac:dyDescent="0.3">
      <c r="A93" s="105">
        <v>45881</v>
      </c>
      <c r="B93" s="112" t="s">
        <v>4210</v>
      </c>
      <c r="C93" s="11" t="s">
        <v>2519</v>
      </c>
      <c r="D93" s="117" t="s">
        <v>4212</v>
      </c>
      <c r="E93" s="289"/>
      <c r="F93" s="289">
        <v>135000</v>
      </c>
    </row>
    <row r="94" spans="1:6" ht="15" x14ac:dyDescent="0.3">
      <c r="A94" s="105">
        <v>45881</v>
      </c>
      <c r="B94" s="112" t="s">
        <v>4210</v>
      </c>
      <c r="C94" s="11" t="s">
        <v>2519</v>
      </c>
      <c r="D94" s="117" t="s">
        <v>4213</v>
      </c>
      <c r="E94" s="289"/>
      <c r="F94" s="289">
        <v>52000</v>
      </c>
    </row>
    <row r="95" spans="1:6" ht="15" x14ac:dyDescent="0.3">
      <c r="A95" s="105">
        <v>45881</v>
      </c>
      <c r="B95" s="112" t="s">
        <v>4210</v>
      </c>
      <c r="C95" s="11" t="s">
        <v>2519</v>
      </c>
      <c r="D95" s="117" t="s">
        <v>4214</v>
      </c>
      <c r="E95" s="289"/>
      <c r="F95" s="289">
        <v>59500</v>
      </c>
    </row>
    <row r="96" spans="1:6" ht="15" x14ac:dyDescent="0.3">
      <c r="A96" s="105">
        <v>45881</v>
      </c>
      <c r="B96" s="112" t="s">
        <v>4210</v>
      </c>
      <c r="C96" s="11" t="s">
        <v>2519</v>
      </c>
      <c r="D96" s="117" t="s">
        <v>4215</v>
      </c>
      <c r="E96" s="289"/>
      <c r="F96" s="289">
        <v>25000</v>
      </c>
    </row>
    <row r="97" spans="1:6" ht="15" x14ac:dyDescent="0.3">
      <c r="A97" s="105">
        <v>45881</v>
      </c>
      <c r="B97" s="112" t="s">
        <v>4210</v>
      </c>
      <c r="C97" s="11" t="s">
        <v>2519</v>
      </c>
      <c r="D97" s="117" t="s">
        <v>3477</v>
      </c>
      <c r="E97" s="289"/>
      <c r="F97" s="289">
        <v>2500</v>
      </c>
    </row>
    <row r="98" spans="1:6" ht="15" x14ac:dyDescent="0.3">
      <c r="A98" s="105">
        <v>45881</v>
      </c>
      <c r="B98" s="112" t="s">
        <v>4210</v>
      </c>
      <c r="C98" s="11" t="s">
        <v>2519</v>
      </c>
      <c r="D98" s="117" t="s">
        <v>4216</v>
      </c>
      <c r="E98" s="289"/>
      <c r="F98" s="289">
        <v>595000</v>
      </c>
    </row>
    <row r="99" spans="1:6" ht="15" x14ac:dyDescent="0.3">
      <c r="A99" s="105">
        <v>45881</v>
      </c>
      <c r="B99" s="112" t="s">
        <v>4210</v>
      </c>
      <c r="C99" s="11" t="s">
        <v>2519</v>
      </c>
      <c r="D99" s="117" t="s">
        <v>3477</v>
      </c>
      <c r="E99" s="289"/>
      <c r="F99" s="289">
        <v>2500</v>
      </c>
    </row>
    <row r="100" spans="1:6" ht="15" x14ac:dyDescent="0.3">
      <c r="A100" s="105">
        <v>45881</v>
      </c>
      <c r="B100" s="112" t="s">
        <v>4210</v>
      </c>
      <c r="C100" s="11" t="s">
        <v>2519</v>
      </c>
      <c r="D100" s="117" t="s">
        <v>4217</v>
      </c>
      <c r="E100" s="289"/>
      <c r="F100" s="289">
        <v>1008200</v>
      </c>
    </row>
    <row r="101" spans="1:6" ht="15" x14ac:dyDescent="0.3">
      <c r="A101" s="105">
        <v>45881</v>
      </c>
      <c r="B101" s="112" t="s">
        <v>4210</v>
      </c>
      <c r="C101" s="11" t="s">
        <v>2519</v>
      </c>
      <c r="D101" s="117" t="s">
        <v>4218</v>
      </c>
      <c r="E101" s="289"/>
      <c r="F101" s="289">
        <v>30000</v>
      </c>
    </row>
    <row r="102" spans="1:6" ht="15" x14ac:dyDescent="0.3">
      <c r="A102" s="105">
        <v>45881</v>
      </c>
      <c r="B102" s="112" t="s">
        <v>4210</v>
      </c>
      <c r="C102" s="11" t="s">
        <v>2519</v>
      </c>
      <c r="D102" s="117" t="s">
        <v>4219</v>
      </c>
      <c r="E102" s="289"/>
      <c r="F102" s="289">
        <v>138500</v>
      </c>
    </row>
    <row r="103" spans="1:6" ht="15" x14ac:dyDescent="0.3">
      <c r="A103" s="105">
        <v>45881</v>
      </c>
      <c r="B103" s="112" t="s">
        <v>4210</v>
      </c>
      <c r="C103" s="11" t="s">
        <v>2519</v>
      </c>
      <c r="D103" s="117" t="s">
        <v>4215</v>
      </c>
      <c r="E103" s="289"/>
      <c r="F103" s="289">
        <v>22700</v>
      </c>
    </row>
    <row r="104" spans="1:6" ht="15" x14ac:dyDescent="0.3">
      <c r="A104" s="105">
        <v>45881</v>
      </c>
      <c r="B104" s="112" t="s">
        <v>4210</v>
      </c>
      <c r="C104" s="11" t="s">
        <v>2519</v>
      </c>
      <c r="D104" s="117" t="s">
        <v>4220</v>
      </c>
      <c r="E104" s="289"/>
      <c r="F104" s="289">
        <v>17000</v>
      </c>
    </row>
    <row r="105" spans="1:6" ht="15" x14ac:dyDescent="0.3">
      <c r="A105" s="105">
        <v>45881</v>
      </c>
      <c r="B105" s="112" t="s">
        <v>4210</v>
      </c>
      <c r="C105" s="11" t="s">
        <v>2519</v>
      </c>
      <c r="D105" s="117" t="s">
        <v>3477</v>
      </c>
      <c r="E105" s="289"/>
      <c r="F105" s="289">
        <v>2500</v>
      </c>
    </row>
    <row r="106" spans="1:6" ht="15" x14ac:dyDescent="0.3">
      <c r="A106" s="105">
        <v>45881</v>
      </c>
      <c r="B106" s="112" t="s">
        <v>4210</v>
      </c>
      <c r="C106" s="11" t="s">
        <v>2519</v>
      </c>
      <c r="D106" s="117" t="s">
        <v>4215</v>
      </c>
      <c r="E106" s="289"/>
      <c r="F106" s="289">
        <v>109000</v>
      </c>
    </row>
    <row r="107" spans="1:6" ht="15" x14ac:dyDescent="0.3">
      <c r="A107" s="105">
        <v>45881</v>
      </c>
      <c r="B107" s="112" t="s">
        <v>4210</v>
      </c>
      <c r="C107" s="11" t="s">
        <v>2519</v>
      </c>
      <c r="D107" s="117" t="s">
        <v>4221</v>
      </c>
      <c r="E107" s="289"/>
      <c r="F107" s="289">
        <v>25400</v>
      </c>
    </row>
    <row r="108" spans="1:6" ht="15" x14ac:dyDescent="0.3">
      <c r="A108" s="105">
        <v>45881</v>
      </c>
      <c r="B108" s="112" t="s">
        <v>4210</v>
      </c>
      <c r="C108" s="11" t="s">
        <v>2519</v>
      </c>
      <c r="D108" s="117" t="s">
        <v>4222</v>
      </c>
      <c r="E108" s="289"/>
      <c r="F108" s="289">
        <v>16000</v>
      </c>
    </row>
    <row r="109" spans="1:6" ht="15" x14ac:dyDescent="0.3">
      <c r="A109" s="105">
        <v>45881</v>
      </c>
      <c r="B109" s="112" t="s">
        <v>4223</v>
      </c>
      <c r="C109" s="15" t="s">
        <v>2519</v>
      </c>
      <c r="D109" s="118" t="s">
        <v>4224</v>
      </c>
      <c r="E109" s="296"/>
      <c r="F109" s="285">
        <v>4200000</v>
      </c>
    </row>
    <row r="110" spans="1:6" ht="15" x14ac:dyDescent="0.3">
      <c r="A110" s="105">
        <v>45881</v>
      </c>
      <c r="B110" s="112" t="s">
        <v>4223</v>
      </c>
      <c r="C110" s="15" t="s">
        <v>2519</v>
      </c>
      <c r="D110" s="118" t="s">
        <v>2539</v>
      </c>
      <c r="E110" s="296"/>
      <c r="F110" s="285">
        <v>2500</v>
      </c>
    </row>
    <row r="111" spans="1:6" ht="15" x14ac:dyDescent="0.3">
      <c r="A111" s="105">
        <v>45881</v>
      </c>
      <c r="B111" s="112" t="s">
        <v>4223</v>
      </c>
      <c r="C111" s="15" t="s">
        <v>2519</v>
      </c>
      <c r="D111" s="118" t="s">
        <v>4225</v>
      </c>
      <c r="E111" s="296"/>
      <c r="F111" s="285">
        <v>400000</v>
      </c>
    </row>
    <row r="112" spans="1:6" ht="15" x14ac:dyDescent="0.3">
      <c r="A112" s="105">
        <v>45881</v>
      </c>
      <c r="B112" s="112" t="s">
        <v>4223</v>
      </c>
      <c r="C112" s="15" t="s">
        <v>2519</v>
      </c>
      <c r="D112" s="118" t="s">
        <v>50</v>
      </c>
      <c r="E112" s="296"/>
      <c r="F112" s="285">
        <v>2500</v>
      </c>
    </row>
    <row r="113" spans="1:6" ht="15" x14ac:dyDescent="0.3">
      <c r="A113" s="105">
        <v>45881</v>
      </c>
      <c r="B113" s="112" t="s">
        <v>4223</v>
      </c>
      <c r="C113" s="15" t="s">
        <v>2519</v>
      </c>
      <c r="D113" s="118" t="s">
        <v>4226</v>
      </c>
      <c r="E113" s="296"/>
      <c r="F113" s="285">
        <v>119000</v>
      </c>
    </row>
    <row r="114" spans="1:6" ht="15" x14ac:dyDescent="0.3">
      <c r="A114" s="105">
        <v>45881</v>
      </c>
      <c r="B114" s="112" t="s">
        <v>4223</v>
      </c>
      <c r="C114" s="15" t="s">
        <v>2519</v>
      </c>
      <c r="D114" s="118" t="s">
        <v>4227</v>
      </c>
      <c r="E114" s="296"/>
      <c r="F114" s="285">
        <v>100000</v>
      </c>
    </row>
    <row r="115" spans="1:6" ht="15" x14ac:dyDescent="0.3">
      <c r="A115" s="105">
        <v>45881</v>
      </c>
      <c r="B115" s="112" t="s">
        <v>4223</v>
      </c>
      <c r="C115" s="15" t="s">
        <v>2519</v>
      </c>
      <c r="D115" s="118" t="s">
        <v>4228</v>
      </c>
      <c r="E115" s="296"/>
      <c r="F115" s="285">
        <v>4820513</v>
      </c>
    </row>
    <row r="116" spans="1:6" ht="15" x14ac:dyDescent="0.3">
      <c r="A116" s="105">
        <v>45881</v>
      </c>
      <c r="B116" s="112" t="s">
        <v>4223</v>
      </c>
      <c r="C116" s="15" t="s">
        <v>2519</v>
      </c>
      <c r="D116" s="118" t="s">
        <v>4229</v>
      </c>
      <c r="E116" s="296"/>
      <c r="F116" s="285">
        <v>-120513</v>
      </c>
    </row>
    <row r="117" spans="1:6" ht="15" x14ac:dyDescent="0.3">
      <c r="A117" s="105">
        <v>45881</v>
      </c>
      <c r="B117" s="112" t="s">
        <v>4223</v>
      </c>
      <c r="C117" s="15" t="s">
        <v>2519</v>
      </c>
      <c r="D117" s="118" t="s">
        <v>50</v>
      </c>
      <c r="E117" s="296"/>
      <c r="F117" s="285">
        <v>2500</v>
      </c>
    </row>
    <row r="118" spans="1:6" ht="15" x14ac:dyDescent="0.3">
      <c r="A118" s="105">
        <v>45881</v>
      </c>
      <c r="B118" s="112" t="s">
        <v>4223</v>
      </c>
      <c r="C118" s="15" t="s">
        <v>2519</v>
      </c>
      <c r="D118" s="118" t="s">
        <v>4230</v>
      </c>
      <c r="E118" s="296"/>
      <c r="F118" s="285">
        <v>100000</v>
      </c>
    </row>
    <row r="119" spans="1:6" ht="15" x14ac:dyDescent="0.3">
      <c r="A119" s="105">
        <v>45881</v>
      </c>
      <c r="B119" s="112" t="s">
        <v>4223</v>
      </c>
      <c r="C119" s="15" t="s">
        <v>2519</v>
      </c>
      <c r="D119" s="118" t="s">
        <v>4231</v>
      </c>
      <c r="E119" s="296"/>
      <c r="F119" s="285">
        <v>20000</v>
      </c>
    </row>
    <row r="120" spans="1:6" ht="15" x14ac:dyDescent="0.3">
      <c r="A120" s="105">
        <v>45881</v>
      </c>
      <c r="B120" s="112" t="s">
        <v>4223</v>
      </c>
      <c r="C120" s="15" t="s">
        <v>2519</v>
      </c>
      <c r="D120" s="118" t="s">
        <v>4232</v>
      </c>
      <c r="E120" s="296"/>
      <c r="F120" s="285">
        <v>147000</v>
      </c>
    </row>
    <row r="121" spans="1:6" ht="15" x14ac:dyDescent="0.3">
      <c r="A121" s="105">
        <v>45881</v>
      </c>
      <c r="B121" s="112" t="s">
        <v>4223</v>
      </c>
      <c r="C121" s="15" t="s">
        <v>2519</v>
      </c>
      <c r="D121" s="118" t="s">
        <v>50</v>
      </c>
      <c r="E121" s="296"/>
      <c r="F121" s="285">
        <v>2500</v>
      </c>
    </row>
    <row r="122" spans="1:6" ht="15" x14ac:dyDescent="0.3">
      <c r="A122" s="105">
        <v>45881</v>
      </c>
      <c r="B122" s="112" t="s">
        <v>4223</v>
      </c>
      <c r="C122" s="15" t="s">
        <v>2519</v>
      </c>
      <c r="D122" s="118" t="s">
        <v>4233</v>
      </c>
      <c r="E122" s="296"/>
      <c r="F122" s="285">
        <v>101500</v>
      </c>
    </row>
    <row r="123" spans="1:6" ht="15" x14ac:dyDescent="0.3">
      <c r="A123" s="105">
        <v>45881</v>
      </c>
      <c r="B123" s="112" t="s">
        <v>4223</v>
      </c>
      <c r="C123" s="15" t="s">
        <v>2519</v>
      </c>
      <c r="D123" s="118" t="s">
        <v>2539</v>
      </c>
      <c r="E123" s="296"/>
      <c r="F123" s="285">
        <v>2500</v>
      </c>
    </row>
    <row r="124" spans="1:6" ht="15" x14ac:dyDescent="0.3">
      <c r="A124" s="105">
        <v>45882</v>
      </c>
      <c r="B124" s="112" t="s">
        <v>4234</v>
      </c>
      <c r="C124" s="11" t="s">
        <v>2519</v>
      </c>
      <c r="D124" s="540" t="s">
        <v>4235</v>
      </c>
      <c r="E124" s="289"/>
      <c r="F124" s="289">
        <v>13569231</v>
      </c>
    </row>
    <row r="125" spans="1:6" ht="15" x14ac:dyDescent="0.3">
      <c r="A125" s="105">
        <v>45882</v>
      </c>
      <c r="B125" s="112" t="s">
        <v>4236</v>
      </c>
      <c r="C125" s="11" t="s">
        <v>2519</v>
      </c>
      <c r="D125" s="540" t="s">
        <v>4237</v>
      </c>
      <c r="E125" s="289"/>
      <c r="F125" s="289">
        <v>50000000</v>
      </c>
    </row>
    <row r="126" spans="1:6" ht="15" x14ac:dyDescent="0.3">
      <c r="A126" s="105">
        <v>45882</v>
      </c>
      <c r="B126" s="112" t="s">
        <v>4236</v>
      </c>
      <c r="C126" s="11" t="s">
        <v>2519</v>
      </c>
      <c r="D126" s="540" t="s">
        <v>4238</v>
      </c>
      <c r="E126" s="289"/>
      <c r="F126" s="289">
        <v>2900</v>
      </c>
    </row>
    <row r="127" spans="1:6" ht="15" x14ac:dyDescent="0.3">
      <c r="A127" s="105">
        <v>45884</v>
      </c>
      <c r="B127" s="112" t="s">
        <v>4095</v>
      </c>
      <c r="C127" s="11" t="s">
        <v>2519</v>
      </c>
      <c r="D127" s="540" t="s">
        <v>4239</v>
      </c>
      <c r="E127" s="289"/>
      <c r="F127" s="289">
        <v>850000</v>
      </c>
    </row>
    <row r="128" spans="1:6" ht="15" x14ac:dyDescent="0.3">
      <c r="A128" s="105">
        <v>45884</v>
      </c>
      <c r="B128" s="112" t="s">
        <v>4095</v>
      </c>
      <c r="C128" s="11" t="s">
        <v>2519</v>
      </c>
      <c r="D128" s="540" t="s">
        <v>4240</v>
      </c>
      <c r="E128" s="289"/>
      <c r="F128" s="289">
        <v>248028</v>
      </c>
    </row>
    <row r="129" spans="1:6" ht="15" x14ac:dyDescent="0.3">
      <c r="A129" s="105">
        <v>45884</v>
      </c>
      <c r="B129" s="112" t="s">
        <v>4095</v>
      </c>
      <c r="C129" s="11" t="s">
        <v>2519</v>
      </c>
      <c r="D129" s="540" t="s">
        <v>4241</v>
      </c>
      <c r="E129" s="289"/>
      <c r="F129" s="289">
        <v>23000</v>
      </c>
    </row>
    <row r="130" spans="1:6" ht="15" x14ac:dyDescent="0.3">
      <c r="A130" s="105">
        <v>45884</v>
      </c>
      <c r="B130" s="112" t="s">
        <v>4242</v>
      </c>
      <c r="C130" s="11" t="s">
        <v>2519</v>
      </c>
      <c r="D130" s="540" t="s">
        <v>4243</v>
      </c>
      <c r="E130" s="289"/>
      <c r="F130" s="289">
        <v>414000</v>
      </c>
    </row>
    <row r="131" spans="1:6" ht="15" x14ac:dyDescent="0.3">
      <c r="A131" s="105">
        <v>45884</v>
      </c>
      <c r="B131" s="112" t="s">
        <v>4242</v>
      </c>
      <c r="C131" s="11" t="s">
        <v>2519</v>
      </c>
      <c r="D131" s="540" t="s">
        <v>4244</v>
      </c>
      <c r="E131" s="289"/>
      <c r="F131" s="289">
        <v>402076</v>
      </c>
    </row>
    <row r="132" spans="1:6" ht="15" x14ac:dyDescent="0.3">
      <c r="A132" s="105">
        <v>45884</v>
      </c>
      <c r="B132" s="112" t="s">
        <v>4242</v>
      </c>
      <c r="C132" s="11" t="s">
        <v>2519</v>
      </c>
      <c r="D132" s="540" t="s">
        <v>4245</v>
      </c>
      <c r="E132" s="289"/>
      <c r="F132" s="289">
        <v>260000</v>
      </c>
    </row>
    <row r="133" spans="1:6" ht="15" x14ac:dyDescent="0.3">
      <c r="A133" s="105">
        <v>45884</v>
      </c>
      <c r="B133" s="112" t="s">
        <v>4242</v>
      </c>
      <c r="C133" s="11" t="s">
        <v>2519</v>
      </c>
      <c r="D133" s="540" t="s">
        <v>4246</v>
      </c>
      <c r="E133" s="289"/>
      <c r="F133" s="289">
        <v>2900</v>
      </c>
    </row>
    <row r="134" spans="1:6" ht="15" x14ac:dyDescent="0.3">
      <c r="A134" s="105">
        <v>45884</v>
      </c>
      <c r="B134" s="112" t="s">
        <v>4247</v>
      </c>
      <c r="C134" s="11" t="s">
        <v>2519</v>
      </c>
      <c r="D134" s="540" t="s">
        <v>4248</v>
      </c>
      <c r="E134" s="289">
        <v>10000000</v>
      </c>
      <c r="F134" s="289"/>
    </row>
    <row r="135" spans="1:6" ht="15" x14ac:dyDescent="0.3">
      <c r="A135" s="105">
        <v>45884</v>
      </c>
      <c r="B135" s="112" t="s">
        <v>4247</v>
      </c>
      <c r="C135" s="11" t="s">
        <v>2519</v>
      </c>
      <c r="D135" s="540" t="s">
        <v>4249</v>
      </c>
      <c r="E135" s="289"/>
      <c r="F135" s="289">
        <v>2267000</v>
      </c>
    </row>
    <row r="136" spans="1:6" ht="15" x14ac:dyDescent="0.3">
      <c r="A136" s="105">
        <v>45884</v>
      </c>
      <c r="B136" s="112" t="s">
        <v>4247</v>
      </c>
      <c r="C136" s="11" t="s">
        <v>2519</v>
      </c>
      <c r="D136" s="540" t="s">
        <v>4250</v>
      </c>
      <c r="E136" s="289"/>
      <c r="F136" s="289">
        <v>81000</v>
      </c>
    </row>
    <row r="137" spans="1:6" ht="15" x14ac:dyDescent="0.3">
      <c r="A137" s="105">
        <v>45884</v>
      </c>
      <c r="B137" s="112" t="s">
        <v>4247</v>
      </c>
      <c r="C137" s="11" t="s">
        <v>2519</v>
      </c>
      <c r="D137" s="540" t="s">
        <v>4251</v>
      </c>
      <c r="E137" s="289"/>
      <c r="F137" s="289">
        <v>2579166</v>
      </c>
    </row>
    <row r="138" spans="1:6" ht="15" x14ac:dyDescent="0.3">
      <c r="A138" s="105">
        <v>45884</v>
      </c>
      <c r="B138" s="112" t="s">
        <v>4247</v>
      </c>
      <c r="C138" s="11" t="s">
        <v>2519</v>
      </c>
      <c r="D138" s="540" t="s">
        <v>4252</v>
      </c>
      <c r="E138" s="289"/>
      <c r="F138" s="289">
        <v>5803342</v>
      </c>
    </row>
    <row r="139" spans="1:6" ht="15" x14ac:dyDescent="0.3">
      <c r="A139" s="105">
        <v>45884</v>
      </c>
      <c r="B139" s="112" t="s">
        <v>4247</v>
      </c>
      <c r="C139" s="11" t="s">
        <v>2519</v>
      </c>
      <c r="D139" s="540" t="s">
        <v>4253</v>
      </c>
      <c r="E139" s="289"/>
      <c r="F139" s="289">
        <v>40000</v>
      </c>
    </row>
    <row r="140" spans="1:6" ht="15" x14ac:dyDescent="0.3">
      <c r="A140" s="105">
        <v>45884</v>
      </c>
      <c r="B140" s="112" t="s">
        <v>4254</v>
      </c>
      <c r="C140" s="11" t="s">
        <v>2519</v>
      </c>
      <c r="D140" s="540" t="s">
        <v>4255</v>
      </c>
      <c r="E140" s="289"/>
      <c r="F140" s="289">
        <v>33000</v>
      </c>
    </row>
    <row r="141" spans="1:6" ht="15" x14ac:dyDescent="0.3">
      <c r="A141" s="105">
        <v>45884</v>
      </c>
      <c r="B141" s="112" t="s">
        <v>4254</v>
      </c>
      <c r="C141" s="11" t="s">
        <v>2519</v>
      </c>
      <c r="D141" s="540" t="s">
        <v>4204</v>
      </c>
      <c r="E141" s="289"/>
      <c r="F141" s="289">
        <v>2900</v>
      </c>
    </row>
    <row r="142" spans="1:6" ht="15" x14ac:dyDescent="0.3">
      <c r="A142" s="105">
        <v>45884</v>
      </c>
      <c r="B142" s="112" t="s">
        <v>3443</v>
      </c>
      <c r="C142" s="11" t="s">
        <v>2519</v>
      </c>
      <c r="D142" s="540" t="s">
        <v>4256</v>
      </c>
      <c r="E142" s="289"/>
      <c r="F142" s="289">
        <v>120000</v>
      </c>
    </row>
    <row r="143" spans="1:6" ht="15" x14ac:dyDescent="0.3">
      <c r="A143" s="105">
        <v>45884</v>
      </c>
      <c r="B143" s="112" t="s">
        <v>4257</v>
      </c>
      <c r="C143" s="11" t="s">
        <v>2519</v>
      </c>
      <c r="D143" s="540" t="s">
        <v>4258</v>
      </c>
      <c r="E143" s="289"/>
      <c r="F143" s="289">
        <v>11397671</v>
      </c>
    </row>
    <row r="144" spans="1:6" ht="15" x14ac:dyDescent="0.3">
      <c r="A144" s="105">
        <v>45884</v>
      </c>
      <c r="B144" s="112" t="s">
        <v>4111</v>
      </c>
      <c r="C144" s="11" t="s">
        <v>2519</v>
      </c>
      <c r="D144" s="540" t="s">
        <v>4259</v>
      </c>
      <c r="E144" s="289"/>
      <c r="F144" s="289">
        <v>1228000</v>
      </c>
    </row>
    <row r="145" spans="1:6" ht="15" x14ac:dyDescent="0.3">
      <c r="A145" s="105">
        <v>45884</v>
      </c>
      <c r="B145" s="112" t="s">
        <v>4111</v>
      </c>
      <c r="C145" s="11" t="s">
        <v>2519</v>
      </c>
      <c r="D145" s="540" t="s">
        <v>210</v>
      </c>
      <c r="E145" s="289"/>
      <c r="F145" s="289">
        <v>5000</v>
      </c>
    </row>
    <row r="146" spans="1:6" ht="15" x14ac:dyDescent="0.3">
      <c r="A146" s="105">
        <v>45884</v>
      </c>
      <c r="B146" s="112" t="s">
        <v>4260</v>
      </c>
      <c r="C146" s="11" t="s">
        <v>2519</v>
      </c>
      <c r="D146" s="117" t="s">
        <v>4261</v>
      </c>
      <c r="E146" s="289"/>
      <c r="F146" s="289">
        <v>780000</v>
      </c>
    </row>
    <row r="147" spans="1:6" ht="15" x14ac:dyDescent="0.3">
      <c r="A147" s="105">
        <v>45884</v>
      </c>
      <c r="B147" s="112" t="s">
        <v>4260</v>
      </c>
      <c r="C147" s="11" t="s">
        <v>2519</v>
      </c>
      <c r="D147" s="117" t="s">
        <v>981</v>
      </c>
      <c r="E147" s="289"/>
      <c r="F147" s="289">
        <v>2500</v>
      </c>
    </row>
    <row r="148" spans="1:6" ht="15" x14ac:dyDescent="0.3">
      <c r="A148" s="105">
        <v>45884</v>
      </c>
      <c r="B148" s="112" t="s">
        <v>4260</v>
      </c>
      <c r="C148" s="11" t="s">
        <v>2519</v>
      </c>
      <c r="D148" s="117" t="s">
        <v>4262</v>
      </c>
      <c r="E148" s="289"/>
      <c r="F148" s="289">
        <v>71000</v>
      </c>
    </row>
    <row r="149" spans="1:6" ht="15" x14ac:dyDescent="0.3">
      <c r="A149" s="105">
        <v>45884</v>
      </c>
      <c r="B149" s="112" t="s">
        <v>4260</v>
      </c>
      <c r="C149" s="11" t="s">
        <v>2519</v>
      </c>
      <c r="D149" s="117" t="s">
        <v>981</v>
      </c>
      <c r="E149" s="289"/>
      <c r="F149" s="289">
        <v>2500</v>
      </c>
    </row>
    <row r="150" spans="1:6" ht="15" x14ac:dyDescent="0.3">
      <c r="A150" s="105">
        <v>45884</v>
      </c>
      <c r="B150" s="112" t="s">
        <v>4260</v>
      </c>
      <c r="C150" s="11" t="s">
        <v>2519</v>
      </c>
      <c r="D150" s="117" t="s">
        <v>4263</v>
      </c>
      <c r="E150" s="289"/>
      <c r="F150" s="289">
        <v>116000</v>
      </c>
    </row>
    <row r="151" spans="1:6" ht="15" x14ac:dyDescent="0.3">
      <c r="A151" s="105">
        <v>45884</v>
      </c>
      <c r="B151" s="112" t="s">
        <v>4260</v>
      </c>
      <c r="C151" s="11" t="s">
        <v>2519</v>
      </c>
      <c r="D151" s="117" t="s">
        <v>4264</v>
      </c>
      <c r="E151" s="289"/>
      <c r="F151" s="289">
        <v>34770</v>
      </c>
    </row>
    <row r="152" spans="1:6" ht="15" x14ac:dyDescent="0.3">
      <c r="A152" s="105">
        <v>45884</v>
      </c>
      <c r="B152" s="112" t="s">
        <v>4260</v>
      </c>
      <c r="C152" s="11" t="s">
        <v>2519</v>
      </c>
      <c r="D152" s="117" t="s">
        <v>981</v>
      </c>
      <c r="E152" s="289"/>
      <c r="F152" s="289">
        <v>2500</v>
      </c>
    </row>
    <row r="153" spans="1:6" ht="15" x14ac:dyDescent="0.3">
      <c r="A153" s="105">
        <v>45884</v>
      </c>
      <c r="B153" s="112" t="s">
        <v>4260</v>
      </c>
      <c r="C153" s="11" t="s">
        <v>2519</v>
      </c>
      <c r="D153" s="117" t="s">
        <v>4265</v>
      </c>
      <c r="E153" s="289"/>
      <c r="F153" s="289">
        <v>25000</v>
      </c>
    </row>
    <row r="154" spans="1:6" ht="15" x14ac:dyDescent="0.3">
      <c r="A154" s="105">
        <v>45884</v>
      </c>
      <c r="B154" s="112" t="s">
        <v>4260</v>
      </c>
      <c r="C154" s="11" t="s">
        <v>2519</v>
      </c>
      <c r="D154" s="117" t="s">
        <v>4266</v>
      </c>
      <c r="E154" s="289"/>
      <c r="F154" s="289">
        <v>79100</v>
      </c>
    </row>
    <row r="155" spans="1:6" ht="15" x14ac:dyDescent="0.3">
      <c r="A155" s="105">
        <v>45884</v>
      </c>
      <c r="B155" s="112" t="s">
        <v>4260</v>
      </c>
      <c r="C155" s="11" t="s">
        <v>2519</v>
      </c>
      <c r="D155" s="117" t="s">
        <v>981</v>
      </c>
      <c r="E155" s="289"/>
      <c r="F155" s="289">
        <v>2500</v>
      </c>
    </row>
    <row r="156" spans="1:6" ht="15" x14ac:dyDescent="0.3">
      <c r="A156" s="105">
        <v>45888</v>
      </c>
      <c r="B156" s="112" t="s">
        <v>3445</v>
      </c>
      <c r="C156" s="11" t="s">
        <v>2519</v>
      </c>
      <c r="D156" s="118" t="s">
        <v>4267</v>
      </c>
      <c r="E156" s="289"/>
      <c r="F156" s="285">
        <v>300000</v>
      </c>
    </row>
    <row r="157" spans="1:6" ht="15" x14ac:dyDescent="0.3">
      <c r="A157" s="105">
        <v>45888</v>
      </c>
      <c r="B157" s="112" t="s">
        <v>3445</v>
      </c>
      <c r="C157" s="11" t="s">
        <v>2519</v>
      </c>
      <c r="D157" s="118" t="s">
        <v>3448</v>
      </c>
      <c r="E157" s="289"/>
      <c r="F157" s="285">
        <v>6500</v>
      </c>
    </row>
    <row r="158" spans="1:6" ht="15" x14ac:dyDescent="0.3">
      <c r="A158" s="105">
        <v>45888</v>
      </c>
      <c r="B158" s="112" t="s">
        <v>3445</v>
      </c>
      <c r="C158" s="11" t="s">
        <v>2519</v>
      </c>
      <c r="D158" s="118" t="s">
        <v>4268</v>
      </c>
      <c r="E158" s="289"/>
      <c r="F158" s="285">
        <v>80000</v>
      </c>
    </row>
    <row r="159" spans="1:6" ht="15" x14ac:dyDescent="0.3">
      <c r="A159" s="105">
        <v>45888</v>
      </c>
      <c r="B159" s="112" t="s">
        <v>3445</v>
      </c>
      <c r="C159" s="11" t="s">
        <v>2519</v>
      </c>
      <c r="D159" s="118" t="s">
        <v>3448</v>
      </c>
      <c r="E159" s="289"/>
      <c r="F159" s="285">
        <v>2500</v>
      </c>
    </row>
    <row r="160" spans="1:6" ht="15" x14ac:dyDescent="0.3">
      <c r="A160" s="105">
        <v>45888</v>
      </c>
      <c r="B160" s="112" t="s">
        <v>3445</v>
      </c>
      <c r="C160" s="11" t="s">
        <v>2519</v>
      </c>
      <c r="D160" s="118" t="s">
        <v>4269</v>
      </c>
      <c r="E160" s="289"/>
      <c r="F160" s="285">
        <v>253040</v>
      </c>
    </row>
    <row r="161" spans="1:6" ht="15" x14ac:dyDescent="0.3">
      <c r="A161" s="105">
        <v>45888</v>
      </c>
      <c r="B161" s="112" t="s">
        <v>3445</v>
      </c>
      <c r="C161" s="11" t="s">
        <v>2519</v>
      </c>
      <c r="D161" s="118" t="s">
        <v>3448</v>
      </c>
      <c r="E161" s="289"/>
      <c r="F161" s="285">
        <v>2500</v>
      </c>
    </row>
    <row r="162" spans="1:6" ht="15" x14ac:dyDescent="0.3">
      <c r="A162" s="105">
        <v>45888</v>
      </c>
      <c r="B162" s="112" t="s">
        <v>3445</v>
      </c>
      <c r="C162" s="11" t="s">
        <v>2519</v>
      </c>
      <c r="D162" s="118" t="s">
        <v>4270</v>
      </c>
      <c r="E162" s="289"/>
      <c r="F162" s="285">
        <v>118500</v>
      </c>
    </row>
    <row r="163" spans="1:6" ht="15" x14ac:dyDescent="0.3">
      <c r="A163" s="105">
        <v>45888</v>
      </c>
      <c r="B163" s="112" t="s">
        <v>3445</v>
      </c>
      <c r="C163" s="11" t="s">
        <v>2519</v>
      </c>
      <c r="D163" s="118" t="s">
        <v>3448</v>
      </c>
      <c r="E163" s="289"/>
      <c r="F163" s="285">
        <v>2500</v>
      </c>
    </row>
    <row r="164" spans="1:6" ht="15" x14ac:dyDescent="0.3">
      <c r="A164" s="105">
        <v>45888</v>
      </c>
      <c r="B164" s="112" t="s">
        <v>3445</v>
      </c>
      <c r="C164" s="11" t="s">
        <v>2519</v>
      </c>
      <c r="D164" s="118" t="s">
        <v>4271</v>
      </c>
      <c r="E164" s="289"/>
      <c r="F164" s="285">
        <v>109000</v>
      </c>
    </row>
    <row r="165" spans="1:6" ht="15" x14ac:dyDescent="0.3">
      <c r="A165" s="105">
        <v>45888</v>
      </c>
      <c r="B165" s="112" t="s">
        <v>3445</v>
      </c>
      <c r="C165" s="11" t="s">
        <v>2519</v>
      </c>
      <c r="D165" s="118" t="s">
        <v>3448</v>
      </c>
      <c r="E165" s="289"/>
      <c r="F165" s="285">
        <v>6500</v>
      </c>
    </row>
    <row r="166" spans="1:6" ht="15" x14ac:dyDescent="0.3">
      <c r="A166" s="105">
        <v>45888</v>
      </c>
      <c r="B166" s="112" t="s">
        <v>3445</v>
      </c>
      <c r="C166" s="11" t="s">
        <v>2519</v>
      </c>
      <c r="D166" s="118" t="s">
        <v>4272</v>
      </c>
      <c r="E166" s="289"/>
      <c r="F166" s="285">
        <v>125000</v>
      </c>
    </row>
    <row r="167" spans="1:6" ht="15" x14ac:dyDescent="0.3">
      <c r="A167" s="105">
        <v>45888</v>
      </c>
      <c r="B167" s="112" t="s">
        <v>3445</v>
      </c>
      <c r="C167" s="11" t="s">
        <v>2519</v>
      </c>
      <c r="D167" s="118" t="s">
        <v>3448</v>
      </c>
      <c r="E167" s="289"/>
      <c r="F167" s="285">
        <v>6500</v>
      </c>
    </row>
    <row r="168" spans="1:6" ht="15" x14ac:dyDescent="0.3">
      <c r="A168" s="105">
        <v>45888</v>
      </c>
      <c r="B168" s="112" t="s">
        <v>3451</v>
      </c>
      <c r="C168" s="168" t="s">
        <v>2519</v>
      </c>
      <c r="D168" s="541" t="s">
        <v>4273</v>
      </c>
      <c r="E168" s="296"/>
      <c r="F168" s="289">
        <v>25000</v>
      </c>
    </row>
    <row r="169" spans="1:6" ht="15" x14ac:dyDescent="0.3">
      <c r="A169" s="105">
        <v>45888</v>
      </c>
      <c r="B169" s="112" t="s">
        <v>3451</v>
      </c>
      <c r="C169" s="168" t="s">
        <v>2519</v>
      </c>
      <c r="D169" s="541" t="s">
        <v>4274</v>
      </c>
      <c r="E169" s="296"/>
      <c r="F169" s="289">
        <v>42000</v>
      </c>
    </row>
    <row r="170" spans="1:6" ht="15" x14ac:dyDescent="0.3">
      <c r="A170" s="105">
        <v>45888</v>
      </c>
      <c r="B170" s="112" t="s">
        <v>3451</v>
      </c>
      <c r="C170" s="168" t="s">
        <v>2519</v>
      </c>
      <c r="D170" s="541" t="s">
        <v>2372</v>
      </c>
      <c r="E170" s="296"/>
      <c r="F170" s="289">
        <v>6500</v>
      </c>
    </row>
    <row r="171" spans="1:6" ht="15" x14ac:dyDescent="0.3">
      <c r="A171" s="105">
        <v>45888</v>
      </c>
      <c r="B171" s="112" t="s">
        <v>3453</v>
      </c>
      <c r="C171" s="168" t="s">
        <v>2519</v>
      </c>
      <c r="D171" s="541" t="s">
        <v>4275</v>
      </c>
      <c r="E171" s="296"/>
      <c r="F171" s="289">
        <v>14000000</v>
      </c>
    </row>
    <row r="172" spans="1:6" ht="15" x14ac:dyDescent="0.3">
      <c r="A172" s="105">
        <v>45888</v>
      </c>
      <c r="B172" s="112" t="s">
        <v>3453</v>
      </c>
      <c r="C172" s="168" t="s">
        <v>2519</v>
      </c>
      <c r="D172" s="541" t="s">
        <v>2372</v>
      </c>
      <c r="E172" s="296"/>
      <c r="F172" s="289">
        <v>6500</v>
      </c>
    </row>
    <row r="173" spans="1:6" ht="15" x14ac:dyDescent="0.3">
      <c r="A173" s="105">
        <v>45888</v>
      </c>
      <c r="B173" s="112" t="s">
        <v>3453</v>
      </c>
      <c r="C173" s="168" t="s">
        <v>2519</v>
      </c>
      <c r="D173" s="541" t="s">
        <v>4276</v>
      </c>
      <c r="E173" s="296"/>
      <c r="F173" s="289">
        <v>55900</v>
      </c>
    </row>
    <row r="174" spans="1:6" ht="15" x14ac:dyDescent="0.3">
      <c r="A174" s="105">
        <v>45888</v>
      </c>
      <c r="B174" s="112" t="s">
        <v>3453</v>
      </c>
      <c r="C174" s="168" t="s">
        <v>2519</v>
      </c>
      <c r="D174" s="541" t="s">
        <v>105</v>
      </c>
      <c r="E174" s="296"/>
      <c r="F174" s="289">
        <v>6500</v>
      </c>
    </row>
    <row r="175" spans="1:6" ht="15" x14ac:dyDescent="0.3">
      <c r="A175" s="105">
        <v>45888</v>
      </c>
      <c r="B175" s="112" t="s">
        <v>3453</v>
      </c>
      <c r="C175" s="168" t="s">
        <v>2519</v>
      </c>
      <c r="D175" s="541" t="s">
        <v>4277</v>
      </c>
      <c r="E175" s="296"/>
      <c r="F175" s="289">
        <v>20000000</v>
      </c>
    </row>
    <row r="176" spans="1:6" ht="15" x14ac:dyDescent="0.3">
      <c r="A176" s="105">
        <v>45888</v>
      </c>
      <c r="B176" s="112" t="s">
        <v>3453</v>
      </c>
      <c r="C176" s="168" t="s">
        <v>2519</v>
      </c>
      <c r="D176" s="541" t="s">
        <v>4278</v>
      </c>
      <c r="E176" s="296"/>
      <c r="F176" s="289">
        <v>180000</v>
      </c>
    </row>
    <row r="177" spans="1:6" ht="15" x14ac:dyDescent="0.3">
      <c r="A177" s="105">
        <v>45888</v>
      </c>
      <c r="B177" s="112" t="s">
        <v>3453</v>
      </c>
      <c r="C177" s="168" t="s">
        <v>2519</v>
      </c>
      <c r="D177" s="541" t="s">
        <v>4279</v>
      </c>
      <c r="E177" s="296"/>
      <c r="F177" s="289">
        <v>500000</v>
      </c>
    </row>
    <row r="178" spans="1:6" ht="15" x14ac:dyDescent="0.3">
      <c r="A178" s="105">
        <v>45888</v>
      </c>
      <c r="B178" s="112" t="s">
        <v>3453</v>
      </c>
      <c r="C178" s="168" t="s">
        <v>2519</v>
      </c>
      <c r="D178" s="541" t="s">
        <v>105</v>
      </c>
      <c r="E178" s="296"/>
      <c r="F178" s="289">
        <v>2500</v>
      </c>
    </row>
    <row r="179" spans="1:6" ht="15" x14ac:dyDescent="0.3">
      <c r="A179" s="105">
        <v>45889</v>
      </c>
      <c r="B179" s="112" t="s">
        <v>4280</v>
      </c>
      <c r="C179" s="11" t="s">
        <v>2519</v>
      </c>
      <c r="D179" s="540" t="s">
        <v>4281</v>
      </c>
      <c r="E179" s="289"/>
      <c r="F179" s="289">
        <v>30436000</v>
      </c>
    </row>
    <row r="180" spans="1:6" ht="15" x14ac:dyDescent="0.3">
      <c r="A180" s="105">
        <v>45889</v>
      </c>
      <c r="B180" s="112" t="s">
        <v>4280</v>
      </c>
      <c r="C180" s="11" t="s">
        <v>2519</v>
      </c>
      <c r="D180" s="540" t="s">
        <v>4282</v>
      </c>
      <c r="E180" s="289"/>
      <c r="F180" s="289">
        <v>3347960</v>
      </c>
    </row>
    <row r="181" spans="1:6" ht="15" x14ac:dyDescent="0.3">
      <c r="A181" s="105">
        <v>45889</v>
      </c>
      <c r="B181" s="112" t="s">
        <v>4280</v>
      </c>
      <c r="C181" s="11" t="s">
        <v>2519</v>
      </c>
      <c r="D181" s="540" t="s">
        <v>4283</v>
      </c>
      <c r="E181" s="289"/>
      <c r="F181" s="289">
        <v>2900</v>
      </c>
    </row>
    <row r="182" spans="1:6" ht="15" x14ac:dyDescent="0.3">
      <c r="A182" s="105">
        <v>45890</v>
      </c>
      <c r="B182" s="112" t="s">
        <v>4284</v>
      </c>
      <c r="C182" s="11" t="s">
        <v>2519</v>
      </c>
      <c r="D182" s="542" t="s">
        <v>4285</v>
      </c>
      <c r="E182" s="289"/>
      <c r="F182" s="289">
        <v>40000000</v>
      </c>
    </row>
    <row r="183" spans="1:6" ht="15" x14ac:dyDescent="0.3">
      <c r="A183" s="105">
        <v>45890</v>
      </c>
      <c r="B183" s="112" t="s">
        <v>4284</v>
      </c>
      <c r="C183" s="11" t="s">
        <v>2519</v>
      </c>
      <c r="D183" s="542" t="s">
        <v>4286</v>
      </c>
      <c r="E183" s="289"/>
      <c r="F183" s="289">
        <v>2900</v>
      </c>
    </row>
    <row r="184" spans="1:6" ht="15" x14ac:dyDescent="0.3">
      <c r="A184" s="105">
        <v>45890</v>
      </c>
      <c r="B184" s="112" t="s">
        <v>4147</v>
      </c>
      <c r="C184" s="11" t="s">
        <v>2519</v>
      </c>
      <c r="D184" s="543" t="s">
        <v>4287</v>
      </c>
      <c r="E184" s="296"/>
      <c r="F184" s="283">
        <v>682500</v>
      </c>
    </row>
    <row r="185" spans="1:6" ht="15" x14ac:dyDescent="0.3">
      <c r="A185" s="105">
        <v>45890</v>
      </c>
      <c r="B185" s="112" t="s">
        <v>4147</v>
      </c>
      <c r="C185" s="11" t="s">
        <v>2519</v>
      </c>
      <c r="D185" s="543" t="s">
        <v>4288</v>
      </c>
      <c r="E185" s="296"/>
      <c r="F185" s="283">
        <v>120000</v>
      </c>
    </row>
    <row r="186" spans="1:6" ht="15" x14ac:dyDescent="0.3">
      <c r="A186" s="105">
        <v>45890</v>
      </c>
      <c r="B186" s="112" t="s">
        <v>4147</v>
      </c>
      <c r="C186" s="11" t="s">
        <v>2519</v>
      </c>
      <c r="D186" s="543" t="s">
        <v>4289</v>
      </c>
      <c r="E186" s="296"/>
      <c r="F186" s="283">
        <v>215000</v>
      </c>
    </row>
    <row r="187" spans="1:6" ht="15" x14ac:dyDescent="0.3">
      <c r="A187" s="105">
        <v>45890</v>
      </c>
      <c r="B187" s="112" t="s">
        <v>4147</v>
      </c>
      <c r="C187" s="11" t="s">
        <v>2519</v>
      </c>
      <c r="D187" s="543" t="s">
        <v>4290</v>
      </c>
      <c r="E187" s="296"/>
      <c r="F187" s="283">
        <v>121000</v>
      </c>
    </row>
    <row r="188" spans="1:6" ht="15" x14ac:dyDescent="0.3">
      <c r="A188" s="105">
        <v>45890</v>
      </c>
      <c r="B188" s="112" t="s">
        <v>4147</v>
      </c>
      <c r="C188" s="11" t="s">
        <v>2519</v>
      </c>
      <c r="D188" s="543" t="s">
        <v>4291</v>
      </c>
      <c r="E188" s="296"/>
      <c r="F188" s="283">
        <v>10000000</v>
      </c>
    </row>
    <row r="189" spans="1:6" ht="15" x14ac:dyDescent="0.3">
      <c r="A189" s="105">
        <v>45890</v>
      </c>
      <c r="B189" s="112" t="s">
        <v>4147</v>
      </c>
      <c r="C189" s="11" t="s">
        <v>2519</v>
      </c>
      <c r="D189" s="543" t="s">
        <v>3488</v>
      </c>
      <c r="E189" s="296"/>
      <c r="F189" s="283">
        <v>2500</v>
      </c>
    </row>
    <row r="190" spans="1:6" ht="15" x14ac:dyDescent="0.3">
      <c r="A190" s="105">
        <v>45890</v>
      </c>
      <c r="B190" s="112" t="s">
        <v>4147</v>
      </c>
      <c r="C190" s="11" t="s">
        <v>2519</v>
      </c>
      <c r="D190" s="543" t="s">
        <v>4292</v>
      </c>
      <c r="E190" s="296"/>
      <c r="F190" s="283">
        <v>1202500</v>
      </c>
    </row>
    <row r="191" spans="1:6" ht="15" x14ac:dyDescent="0.3">
      <c r="A191" s="105">
        <v>45890</v>
      </c>
      <c r="B191" s="112" t="s">
        <v>4147</v>
      </c>
      <c r="C191" s="11" t="s">
        <v>2519</v>
      </c>
      <c r="D191" s="543" t="s">
        <v>4293</v>
      </c>
      <c r="E191" s="296"/>
      <c r="F191" s="283">
        <v>76000</v>
      </c>
    </row>
    <row r="192" spans="1:6" ht="15" x14ac:dyDescent="0.3">
      <c r="A192" s="105">
        <v>45890</v>
      </c>
      <c r="B192" s="112" t="s">
        <v>4294</v>
      </c>
      <c r="C192" s="11" t="s">
        <v>2519</v>
      </c>
      <c r="D192" s="117" t="s">
        <v>4295</v>
      </c>
      <c r="E192" s="289"/>
      <c r="F192" s="289">
        <v>87000</v>
      </c>
    </row>
    <row r="193" spans="1:6" ht="15" x14ac:dyDescent="0.3">
      <c r="A193" s="105">
        <v>45890</v>
      </c>
      <c r="B193" s="112" t="s">
        <v>4294</v>
      </c>
      <c r="C193" s="11" t="s">
        <v>2519</v>
      </c>
      <c r="D193" s="117" t="s">
        <v>2539</v>
      </c>
      <c r="E193" s="289"/>
      <c r="F193" s="289">
        <v>2500</v>
      </c>
    </row>
    <row r="194" spans="1:6" ht="15" x14ac:dyDescent="0.3">
      <c r="A194" s="105">
        <v>45890</v>
      </c>
      <c r="B194" s="112" t="s">
        <v>4294</v>
      </c>
      <c r="C194" s="11" t="s">
        <v>2519</v>
      </c>
      <c r="D194" s="117" t="s">
        <v>4296</v>
      </c>
      <c r="E194" s="289"/>
      <c r="F194" s="289">
        <v>225000</v>
      </c>
    </row>
    <row r="195" spans="1:6" ht="15" x14ac:dyDescent="0.3">
      <c r="A195" s="105">
        <v>45890</v>
      </c>
      <c r="B195" s="112" t="s">
        <v>4294</v>
      </c>
      <c r="C195" s="11" t="s">
        <v>2519</v>
      </c>
      <c r="D195" s="117" t="s">
        <v>2539</v>
      </c>
      <c r="E195" s="289"/>
      <c r="F195" s="289">
        <v>2500</v>
      </c>
    </row>
    <row r="196" spans="1:6" ht="15" x14ac:dyDescent="0.3">
      <c r="A196" s="105">
        <v>45890</v>
      </c>
      <c r="B196" s="112" t="s">
        <v>4294</v>
      </c>
      <c r="C196" s="11" t="s">
        <v>2519</v>
      </c>
      <c r="D196" s="117" t="s">
        <v>4297</v>
      </c>
      <c r="E196" s="289"/>
      <c r="F196" s="289">
        <v>290000</v>
      </c>
    </row>
    <row r="197" spans="1:6" ht="15" x14ac:dyDescent="0.3">
      <c r="A197" s="105">
        <v>45890</v>
      </c>
      <c r="B197" s="112" t="s">
        <v>4294</v>
      </c>
      <c r="C197" s="11" t="s">
        <v>2519</v>
      </c>
      <c r="D197" s="117" t="s">
        <v>50</v>
      </c>
      <c r="E197" s="289"/>
      <c r="F197" s="289">
        <v>2500</v>
      </c>
    </row>
    <row r="198" spans="1:6" ht="15" x14ac:dyDescent="0.3">
      <c r="A198" s="105">
        <v>45890</v>
      </c>
      <c r="B198" s="112" t="s">
        <v>4294</v>
      </c>
      <c r="C198" s="11" t="s">
        <v>2519</v>
      </c>
      <c r="D198" s="117" t="s">
        <v>4298</v>
      </c>
      <c r="E198" s="289"/>
      <c r="F198" s="289">
        <v>899510</v>
      </c>
    </row>
    <row r="199" spans="1:6" ht="15" x14ac:dyDescent="0.3">
      <c r="A199" s="105">
        <v>45890</v>
      </c>
      <c r="B199" s="112" t="s">
        <v>4294</v>
      </c>
      <c r="C199" s="11" t="s">
        <v>2519</v>
      </c>
      <c r="D199" s="117" t="s">
        <v>4299</v>
      </c>
      <c r="E199" s="289"/>
      <c r="F199" s="289">
        <v>133700</v>
      </c>
    </row>
    <row r="200" spans="1:6" ht="15" x14ac:dyDescent="0.3">
      <c r="A200" s="105">
        <v>45890</v>
      </c>
      <c r="B200" s="112" t="s">
        <v>4294</v>
      </c>
      <c r="C200" s="11" t="s">
        <v>2519</v>
      </c>
      <c r="D200" s="117" t="s">
        <v>50</v>
      </c>
      <c r="E200" s="289"/>
      <c r="F200" s="289">
        <v>2500</v>
      </c>
    </row>
    <row r="201" spans="1:6" ht="15" x14ac:dyDescent="0.3">
      <c r="A201" s="105">
        <v>45890</v>
      </c>
      <c r="B201" s="112" t="s">
        <v>4294</v>
      </c>
      <c r="C201" s="11" t="s">
        <v>2519</v>
      </c>
      <c r="D201" s="117" t="s">
        <v>4300</v>
      </c>
      <c r="E201" s="289"/>
      <c r="F201" s="289">
        <v>1750000</v>
      </c>
    </row>
    <row r="202" spans="1:6" ht="15" x14ac:dyDescent="0.3">
      <c r="A202" s="105">
        <v>45890</v>
      </c>
      <c r="B202" s="112" t="s">
        <v>4294</v>
      </c>
      <c r="C202" s="11" t="s">
        <v>2519</v>
      </c>
      <c r="D202" s="117" t="s">
        <v>50</v>
      </c>
      <c r="E202" s="289"/>
      <c r="F202" s="289">
        <v>2500</v>
      </c>
    </row>
    <row r="203" spans="1:6" ht="15" x14ac:dyDescent="0.3">
      <c r="A203" s="105">
        <v>45890</v>
      </c>
      <c r="B203" s="112" t="s">
        <v>4294</v>
      </c>
      <c r="C203" s="11" t="s">
        <v>2519</v>
      </c>
      <c r="D203" s="117" t="s">
        <v>4301</v>
      </c>
      <c r="E203" s="289"/>
      <c r="F203" s="289">
        <v>65000</v>
      </c>
    </row>
    <row r="204" spans="1:6" ht="15" x14ac:dyDescent="0.3">
      <c r="A204" s="108">
        <v>45891</v>
      </c>
      <c r="B204" s="113" t="s">
        <v>3455</v>
      </c>
      <c r="C204" s="15" t="s">
        <v>2519</v>
      </c>
      <c r="D204" s="544" t="s">
        <v>4302</v>
      </c>
      <c r="E204" s="285"/>
      <c r="F204" s="285">
        <v>2021776</v>
      </c>
    </row>
    <row r="205" spans="1:6" ht="15" x14ac:dyDescent="0.3">
      <c r="A205" s="108">
        <v>45891</v>
      </c>
      <c r="B205" s="113" t="s">
        <v>3455</v>
      </c>
      <c r="C205" s="15" t="s">
        <v>2519</v>
      </c>
      <c r="D205" s="544" t="s">
        <v>210</v>
      </c>
      <c r="E205" s="285"/>
      <c r="F205" s="285">
        <v>2500</v>
      </c>
    </row>
    <row r="206" spans="1:6" ht="15" x14ac:dyDescent="0.3">
      <c r="A206" s="108">
        <v>45891</v>
      </c>
      <c r="B206" s="113" t="s">
        <v>3455</v>
      </c>
      <c r="C206" s="15" t="s">
        <v>2519</v>
      </c>
      <c r="D206" s="544" t="s">
        <v>4303</v>
      </c>
      <c r="E206" s="285"/>
      <c r="F206" s="285">
        <v>4700000</v>
      </c>
    </row>
    <row r="207" spans="1:6" ht="15" x14ac:dyDescent="0.3">
      <c r="A207" s="108">
        <v>45891</v>
      </c>
      <c r="B207" s="113" t="s">
        <v>3455</v>
      </c>
      <c r="C207" s="15" t="s">
        <v>2519</v>
      </c>
      <c r="D207" s="544" t="s">
        <v>210</v>
      </c>
      <c r="E207" s="285"/>
      <c r="F207" s="285">
        <v>2500</v>
      </c>
    </row>
    <row r="208" spans="1:6" ht="15" x14ac:dyDescent="0.3">
      <c r="A208" s="108">
        <v>45891</v>
      </c>
      <c r="B208" s="113" t="s">
        <v>3455</v>
      </c>
      <c r="C208" s="15" t="s">
        <v>2519</v>
      </c>
      <c r="D208" s="540" t="s">
        <v>4304</v>
      </c>
      <c r="E208" s="289"/>
      <c r="F208" s="289">
        <v>36000</v>
      </c>
    </row>
    <row r="209" spans="1:6" ht="15" x14ac:dyDescent="0.3">
      <c r="A209" s="108">
        <v>45891</v>
      </c>
      <c r="B209" s="113" t="s">
        <v>3455</v>
      </c>
      <c r="C209" s="15" t="s">
        <v>2519</v>
      </c>
      <c r="D209" s="540" t="s">
        <v>4305</v>
      </c>
      <c r="E209" s="289"/>
      <c r="F209" s="289">
        <v>192000</v>
      </c>
    </row>
    <row r="210" spans="1:6" ht="15" x14ac:dyDescent="0.3">
      <c r="A210" s="108">
        <v>45891</v>
      </c>
      <c r="B210" s="113" t="s">
        <v>3455</v>
      </c>
      <c r="C210" s="15" t="s">
        <v>2519</v>
      </c>
      <c r="D210" s="540" t="s">
        <v>202</v>
      </c>
      <c r="E210" s="289"/>
      <c r="F210" s="289">
        <v>5000</v>
      </c>
    </row>
    <row r="211" spans="1:6" ht="15" x14ac:dyDescent="0.3">
      <c r="A211" s="108">
        <v>45891</v>
      </c>
      <c r="B211" s="113" t="s">
        <v>3455</v>
      </c>
      <c r="C211" s="15" t="s">
        <v>2519</v>
      </c>
      <c r="D211" s="540" t="s">
        <v>4306</v>
      </c>
      <c r="E211" s="289"/>
      <c r="F211" s="289">
        <v>68300</v>
      </c>
    </row>
    <row r="212" spans="1:6" ht="15" x14ac:dyDescent="0.3">
      <c r="A212" s="108">
        <v>45891</v>
      </c>
      <c r="B212" s="113" t="s">
        <v>3455</v>
      </c>
      <c r="C212" s="15" t="s">
        <v>2519</v>
      </c>
      <c r="D212" s="540" t="s">
        <v>202</v>
      </c>
      <c r="E212" s="289"/>
      <c r="F212" s="289">
        <v>2500</v>
      </c>
    </row>
    <row r="213" spans="1:6" ht="15" x14ac:dyDescent="0.3">
      <c r="A213" s="108">
        <v>45891</v>
      </c>
      <c r="B213" s="113" t="s">
        <v>3455</v>
      </c>
      <c r="C213" s="15" t="s">
        <v>2519</v>
      </c>
      <c r="D213" s="540" t="s">
        <v>4307</v>
      </c>
      <c r="E213" s="289"/>
      <c r="F213" s="289">
        <v>120000</v>
      </c>
    </row>
    <row r="214" spans="1:6" ht="15" x14ac:dyDescent="0.3">
      <c r="A214" s="108">
        <v>45891</v>
      </c>
      <c r="B214" s="113" t="s">
        <v>3455</v>
      </c>
      <c r="C214" s="15" t="s">
        <v>2519</v>
      </c>
      <c r="D214" s="540" t="s">
        <v>202</v>
      </c>
      <c r="E214" s="289"/>
      <c r="F214" s="289">
        <v>2500</v>
      </c>
    </row>
    <row r="215" spans="1:6" ht="15" x14ac:dyDescent="0.3">
      <c r="A215" s="108">
        <v>45891</v>
      </c>
      <c r="B215" s="113" t="s">
        <v>3455</v>
      </c>
      <c r="C215" s="15" t="s">
        <v>2519</v>
      </c>
      <c r="D215" s="540" t="s">
        <v>4308</v>
      </c>
      <c r="E215" s="289"/>
      <c r="F215" s="289">
        <v>160000</v>
      </c>
    </row>
    <row r="216" spans="1:6" ht="15" x14ac:dyDescent="0.3">
      <c r="A216" s="108">
        <v>45891</v>
      </c>
      <c r="B216" s="113" t="s">
        <v>3455</v>
      </c>
      <c r="C216" s="15" t="s">
        <v>2519</v>
      </c>
      <c r="D216" s="540" t="s">
        <v>202</v>
      </c>
      <c r="E216" s="289"/>
      <c r="F216" s="289">
        <v>2500</v>
      </c>
    </row>
    <row r="217" spans="1:6" ht="15" x14ac:dyDescent="0.3">
      <c r="A217" s="108">
        <v>45891</v>
      </c>
      <c r="B217" s="113" t="s">
        <v>3455</v>
      </c>
      <c r="C217" s="15" t="s">
        <v>2519</v>
      </c>
      <c r="D217" s="540" t="s">
        <v>4309</v>
      </c>
      <c r="E217" s="289"/>
      <c r="F217" s="289">
        <v>101000</v>
      </c>
    </row>
    <row r="218" spans="1:6" ht="15" x14ac:dyDescent="0.3">
      <c r="A218" s="108">
        <v>45891</v>
      </c>
      <c r="B218" s="113" t="s">
        <v>3455</v>
      </c>
      <c r="C218" s="15" t="s">
        <v>2519</v>
      </c>
      <c r="D218" s="540" t="s">
        <v>4310</v>
      </c>
      <c r="E218" s="289"/>
      <c r="F218" s="289">
        <v>11000</v>
      </c>
    </row>
    <row r="219" spans="1:6" ht="15" x14ac:dyDescent="0.3">
      <c r="A219" s="105">
        <v>45894</v>
      </c>
      <c r="B219" s="112" t="s">
        <v>3457</v>
      </c>
      <c r="C219" s="15" t="s">
        <v>2519</v>
      </c>
      <c r="D219" s="540" t="s">
        <v>4311</v>
      </c>
      <c r="E219" s="518"/>
      <c r="F219" s="285">
        <v>56200</v>
      </c>
    </row>
    <row r="220" spans="1:6" ht="15" x14ac:dyDescent="0.3">
      <c r="A220" s="105">
        <v>45894</v>
      </c>
      <c r="B220" s="112" t="s">
        <v>3457</v>
      </c>
      <c r="C220" s="15" t="s">
        <v>2519</v>
      </c>
      <c r="D220" s="540" t="s">
        <v>4312</v>
      </c>
      <c r="E220" s="518"/>
      <c r="F220" s="285">
        <v>150000</v>
      </c>
    </row>
    <row r="221" spans="1:6" ht="15" x14ac:dyDescent="0.3">
      <c r="A221" s="105">
        <v>45894</v>
      </c>
      <c r="B221" s="112" t="s">
        <v>3457</v>
      </c>
      <c r="C221" s="15" t="s">
        <v>2519</v>
      </c>
      <c r="D221" s="540" t="s">
        <v>3448</v>
      </c>
      <c r="E221" s="518"/>
      <c r="F221" s="285">
        <v>2500</v>
      </c>
    </row>
    <row r="222" spans="1:6" ht="15" x14ac:dyDescent="0.3">
      <c r="A222" s="105">
        <v>45894</v>
      </c>
      <c r="B222" s="112" t="s">
        <v>3457</v>
      </c>
      <c r="C222" s="15" t="s">
        <v>2519</v>
      </c>
      <c r="D222" s="540" t="s">
        <v>4313</v>
      </c>
      <c r="E222" s="518"/>
      <c r="F222" s="285">
        <v>3333333</v>
      </c>
    </row>
    <row r="223" spans="1:6" ht="15" x14ac:dyDescent="0.3">
      <c r="A223" s="105">
        <v>45894</v>
      </c>
      <c r="B223" s="112" t="s">
        <v>3457</v>
      </c>
      <c r="C223" s="15" t="s">
        <v>2519</v>
      </c>
      <c r="D223" s="540" t="s">
        <v>4314</v>
      </c>
      <c r="E223" s="518"/>
      <c r="F223" s="296">
        <v>-333333</v>
      </c>
    </row>
    <row r="224" spans="1:6" ht="15" x14ac:dyDescent="0.3">
      <c r="A224" s="105">
        <v>45894</v>
      </c>
      <c r="B224" s="112" t="s">
        <v>3457</v>
      </c>
      <c r="C224" s="15" t="s">
        <v>2519</v>
      </c>
      <c r="D224" s="540" t="s">
        <v>3448</v>
      </c>
      <c r="E224" s="518"/>
      <c r="F224" s="285">
        <v>2500</v>
      </c>
    </row>
    <row r="225" spans="1:6" ht="15" x14ac:dyDescent="0.3">
      <c r="A225" s="105">
        <v>45894</v>
      </c>
      <c r="B225" s="112" t="s">
        <v>3457</v>
      </c>
      <c r="C225" s="15" t="s">
        <v>2519</v>
      </c>
      <c r="D225" s="540" t="s">
        <v>4315</v>
      </c>
      <c r="E225" s="518"/>
      <c r="F225" s="285">
        <v>1500000</v>
      </c>
    </row>
    <row r="226" spans="1:6" ht="15" x14ac:dyDescent="0.3">
      <c r="A226" s="105">
        <v>45894</v>
      </c>
      <c r="B226" s="112" t="s">
        <v>3457</v>
      </c>
      <c r="C226" s="15" t="s">
        <v>2519</v>
      </c>
      <c r="D226" s="540" t="s">
        <v>3448</v>
      </c>
      <c r="E226" s="518"/>
      <c r="F226" s="285">
        <v>2500</v>
      </c>
    </row>
    <row r="227" spans="1:6" ht="15" x14ac:dyDescent="0.3">
      <c r="A227" s="105">
        <v>45894</v>
      </c>
      <c r="B227" s="112" t="s">
        <v>3457</v>
      </c>
      <c r="C227" s="15" t="s">
        <v>2519</v>
      </c>
      <c r="D227" s="118" t="s">
        <v>4316</v>
      </c>
      <c r="E227" s="518"/>
      <c r="F227" s="285">
        <v>156000</v>
      </c>
    </row>
    <row r="228" spans="1:6" ht="15" x14ac:dyDescent="0.3">
      <c r="A228" s="105">
        <v>45894</v>
      </c>
      <c r="B228" s="112" t="s">
        <v>3457</v>
      </c>
      <c r="C228" s="15" t="s">
        <v>2519</v>
      </c>
      <c r="D228" s="118" t="s">
        <v>3448</v>
      </c>
      <c r="E228" s="518"/>
      <c r="F228" s="285">
        <v>2500</v>
      </c>
    </row>
    <row r="229" spans="1:6" ht="15" x14ac:dyDescent="0.3">
      <c r="A229" s="105">
        <v>45894</v>
      </c>
      <c r="B229" s="112" t="s">
        <v>3457</v>
      </c>
      <c r="C229" s="15" t="s">
        <v>2519</v>
      </c>
      <c r="D229" s="118" t="s">
        <v>4317</v>
      </c>
      <c r="E229" s="518"/>
      <c r="F229" s="285">
        <v>46154</v>
      </c>
    </row>
    <row r="230" spans="1:6" ht="15" x14ac:dyDescent="0.3">
      <c r="A230" s="105">
        <v>45894</v>
      </c>
      <c r="B230" s="112" t="s">
        <v>3457</v>
      </c>
      <c r="C230" s="15" t="s">
        <v>2519</v>
      </c>
      <c r="D230" s="118" t="s">
        <v>4318</v>
      </c>
      <c r="E230" s="518"/>
      <c r="F230" s="285">
        <v>552846</v>
      </c>
    </row>
    <row r="231" spans="1:6" ht="15" x14ac:dyDescent="0.3">
      <c r="A231" s="105">
        <v>45894</v>
      </c>
      <c r="B231" s="112" t="s">
        <v>3457</v>
      </c>
      <c r="C231" s="15" t="s">
        <v>2519</v>
      </c>
      <c r="D231" s="118" t="s">
        <v>4319</v>
      </c>
      <c r="E231" s="518"/>
      <c r="F231" s="285">
        <v>132500</v>
      </c>
    </row>
    <row r="232" spans="1:6" ht="15" x14ac:dyDescent="0.3">
      <c r="A232" s="105">
        <v>45894</v>
      </c>
      <c r="B232" s="112" t="s">
        <v>3457</v>
      </c>
      <c r="C232" s="15" t="s">
        <v>2519</v>
      </c>
      <c r="D232" s="118" t="s">
        <v>3448</v>
      </c>
      <c r="E232" s="518"/>
      <c r="F232" s="285">
        <v>2500</v>
      </c>
    </row>
    <row r="233" spans="1:6" ht="15" x14ac:dyDescent="0.3">
      <c r="A233" s="105">
        <v>45894</v>
      </c>
      <c r="B233" s="112" t="s">
        <v>3457</v>
      </c>
      <c r="C233" s="15" t="s">
        <v>2519</v>
      </c>
      <c r="D233" s="118" t="s">
        <v>4320</v>
      </c>
      <c r="E233" s="518"/>
      <c r="F233" s="285">
        <v>15000</v>
      </c>
    </row>
    <row r="234" spans="1:6" ht="15" x14ac:dyDescent="0.3">
      <c r="A234" s="105">
        <v>45894</v>
      </c>
      <c r="B234" s="112" t="s">
        <v>3462</v>
      </c>
      <c r="C234" s="11" t="s">
        <v>2519</v>
      </c>
      <c r="D234" s="540" t="s">
        <v>4321</v>
      </c>
      <c r="E234" s="518"/>
      <c r="F234" s="289">
        <v>60000</v>
      </c>
    </row>
    <row r="235" spans="1:6" ht="15" x14ac:dyDescent="0.3">
      <c r="A235" s="105">
        <v>45894</v>
      </c>
      <c r="B235" s="112" t="s">
        <v>4322</v>
      </c>
      <c r="C235" s="11" t="s">
        <v>2519</v>
      </c>
      <c r="D235" s="540" t="s">
        <v>4243</v>
      </c>
      <c r="E235" s="518"/>
      <c r="F235" s="289">
        <v>199500</v>
      </c>
    </row>
    <row r="236" spans="1:6" ht="15" x14ac:dyDescent="0.3">
      <c r="A236" s="105">
        <v>45894</v>
      </c>
      <c r="B236" s="112" t="s">
        <v>4322</v>
      </c>
      <c r="C236" s="11" t="s">
        <v>2519</v>
      </c>
      <c r="D236" s="540" t="s">
        <v>4244</v>
      </c>
      <c r="E236" s="518"/>
      <c r="F236" s="289">
        <v>150000</v>
      </c>
    </row>
    <row r="237" spans="1:6" ht="15" x14ac:dyDescent="0.3">
      <c r="A237" s="105">
        <v>45894</v>
      </c>
      <c r="B237" s="112" t="s">
        <v>4322</v>
      </c>
      <c r="C237" s="11" t="s">
        <v>2519</v>
      </c>
      <c r="D237" s="540" t="s">
        <v>4323</v>
      </c>
      <c r="E237" s="518"/>
      <c r="F237" s="289">
        <v>268504</v>
      </c>
    </row>
    <row r="238" spans="1:6" ht="15" x14ac:dyDescent="0.3">
      <c r="A238" s="105">
        <v>45894</v>
      </c>
      <c r="B238" s="112" t="s">
        <v>4322</v>
      </c>
      <c r="C238" s="11" t="s">
        <v>2519</v>
      </c>
      <c r="D238" s="540" t="s">
        <v>4246</v>
      </c>
      <c r="E238" s="518"/>
      <c r="F238" s="289">
        <v>2900</v>
      </c>
    </row>
    <row r="239" spans="1:6" ht="15" x14ac:dyDescent="0.3">
      <c r="A239" s="105">
        <v>45894</v>
      </c>
      <c r="B239" s="112" t="s">
        <v>3464</v>
      </c>
      <c r="C239" s="11" t="s">
        <v>2519</v>
      </c>
      <c r="D239" s="540" t="s">
        <v>4324</v>
      </c>
      <c r="E239" s="290"/>
      <c r="F239" s="289">
        <v>1479500</v>
      </c>
    </row>
    <row r="240" spans="1:6" ht="15" x14ac:dyDescent="0.3">
      <c r="A240" s="105">
        <v>45894</v>
      </c>
      <c r="B240" s="112" t="s">
        <v>3464</v>
      </c>
      <c r="C240" s="11" t="s">
        <v>2519</v>
      </c>
      <c r="D240" s="540" t="s">
        <v>4325</v>
      </c>
      <c r="E240" s="290"/>
      <c r="F240" s="289">
        <v>402200</v>
      </c>
    </row>
    <row r="241" spans="1:6" ht="15" x14ac:dyDescent="0.3">
      <c r="A241" s="105">
        <v>45894</v>
      </c>
      <c r="B241" s="112" t="s">
        <v>3464</v>
      </c>
      <c r="C241" s="11" t="s">
        <v>2519</v>
      </c>
      <c r="D241" s="540" t="s">
        <v>4326</v>
      </c>
      <c r="E241" s="290"/>
      <c r="F241" s="289">
        <v>122000</v>
      </c>
    </row>
    <row r="242" spans="1:6" ht="15" x14ac:dyDescent="0.3">
      <c r="A242" s="105">
        <v>45894</v>
      </c>
      <c r="B242" s="112" t="s">
        <v>3464</v>
      </c>
      <c r="C242" s="11" t="s">
        <v>2519</v>
      </c>
      <c r="D242" s="540" t="s">
        <v>4327</v>
      </c>
      <c r="E242" s="290"/>
      <c r="F242" s="289">
        <v>186000</v>
      </c>
    </row>
    <row r="243" spans="1:6" ht="15" x14ac:dyDescent="0.3">
      <c r="A243" s="105">
        <v>45894</v>
      </c>
      <c r="B243" s="112" t="s">
        <v>3464</v>
      </c>
      <c r="C243" s="11" t="s">
        <v>2519</v>
      </c>
      <c r="D243" s="540" t="s">
        <v>4328</v>
      </c>
      <c r="E243" s="290"/>
      <c r="F243" s="289">
        <v>768000</v>
      </c>
    </row>
    <row r="244" spans="1:6" ht="15" x14ac:dyDescent="0.3">
      <c r="A244" s="105">
        <v>45894</v>
      </c>
      <c r="B244" s="112" t="s">
        <v>3464</v>
      </c>
      <c r="C244" s="11" t="s">
        <v>2519</v>
      </c>
      <c r="D244" s="540" t="s">
        <v>4329</v>
      </c>
      <c r="E244" s="290"/>
      <c r="F244" s="289">
        <v>103500</v>
      </c>
    </row>
    <row r="245" spans="1:6" ht="15" x14ac:dyDescent="0.3">
      <c r="A245" s="105">
        <v>45894</v>
      </c>
      <c r="B245" s="112" t="s">
        <v>3464</v>
      </c>
      <c r="C245" s="11" t="s">
        <v>2519</v>
      </c>
      <c r="D245" s="540" t="s">
        <v>4330</v>
      </c>
      <c r="E245" s="290"/>
      <c r="F245" s="289">
        <v>94500</v>
      </c>
    </row>
    <row r="246" spans="1:6" ht="15" x14ac:dyDescent="0.3">
      <c r="A246" s="105">
        <v>45894</v>
      </c>
      <c r="B246" s="112" t="s">
        <v>3464</v>
      </c>
      <c r="C246" s="11" t="s">
        <v>2519</v>
      </c>
      <c r="D246" s="540" t="s">
        <v>4331</v>
      </c>
      <c r="E246" s="290"/>
      <c r="F246" s="289">
        <v>25000</v>
      </c>
    </row>
    <row r="247" spans="1:6" ht="15" x14ac:dyDescent="0.3">
      <c r="A247" s="105">
        <v>45894</v>
      </c>
      <c r="B247" s="112" t="s">
        <v>3464</v>
      </c>
      <c r="C247" s="11" t="s">
        <v>2519</v>
      </c>
      <c r="D247" s="540" t="s">
        <v>4332</v>
      </c>
      <c r="E247" s="290"/>
      <c r="F247" s="289">
        <v>16500</v>
      </c>
    </row>
    <row r="248" spans="1:6" ht="15" x14ac:dyDescent="0.3">
      <c r="A248" s="105">
        <v>45895</v>
      </c>
      <c r="B248" s="112" t="s">
        <v>3469</v>
      </c>
      <c r="C248" s="11" t="s">
        <v>2519</v>
      </c>
      <c r="D248" s="540" t="s">
        <v>4333</v>
      </c>
      <c r="E248" s="290"/>
      <c r="F248" s="289">
        <v>500000</v>
      </c>
    </row>
    <row r="249" spans="1:6" ht="15" x14ac:dyDescent="0.3">
      <c r="A249" s="105">
        <v>45895</v>
      </c>
      <c r="B249" s="112" t="s">
        <v>3469</v>
      </c>
      <c r="C249" s="11" t="s">
        <v>2519</v>
      </c>
      <c r="D249" s="540" t="s">
        <v>202</v>
      </c>
      <c r="E249" s="290"/>
      <c r="F249" s="289">
        <v>3000</v>
      </c>
    </row>
    <row r="250" spans="1:6" ht="15" x14ac:dyDescent="0.3">
      <c r="A250" s="105">
        <v>45895</v>
      </c>
      <c r="B250" s="112" t="s">
        <v>3469</v>
      </c>
      <c r="C250" s="11" t="s">
        <v>2519</v>
      </c>
      <c r="D250" s="540" t="s">
        <v>4334</v>
      </c>
      <c r="E250" s="290"/>
      <c r="F250" s="289">
        <v>524000</v>
      </c>
    </row>
    <row r="251" spans="1:6" ht="15" x14ac:dyDescent="0.3">
      <c r="A251" s="105">
        <v>45895</v>
      </c>
      <c r="B251" s="112" t="s">
        <v>3469</v>
      </c>
      <c r="C251" s="11" t="s">
        <v>2519</v>
      </c>
      <c r="D251" s="540" t="s">
        <v>202</v>
      </c>
      <c r="E251" s="290"/>
      <c r="F251" s="289">
        <v>5000</v>
      </c>
    </row>
    <row r="252" spans="1:6" ht="15" x14ac:dyDescent="0.3">
      <c r="A252" s="105">
        <v>45895</v>
      </c>
      <c r="B252" s="112" t="s">
        <v>3469</v>
      </c>
      <c r="C252" s="11" t="s">
        <v>2519</v>
      </c>
      <c r="D252" s="540" t="s">
        <v>4335</v>
      </c>
      <c r="E252" s="290"/>
      <c r="F252" s="289">
        <v>630000</v>
      </c>
    </row>
    <row r="253" spans="1:6" ht="15" x14ac:dyDescent="0.3">
      <c r="A253" s="105">
        <v>45895</v>
      </c>
      <c r="B253" s="112" t="s">
        <v>3469</v>
      </c>
      <c r="C253" s="11" t="s">
        <v>2519</v>
      </c>
      <c r="D253" s="540" t="s">
        <v>202</v>
      </c>
      <c r="E253" s="290"/>
      <c r="F253" s="289">
        <v>2500</v>
      </c>
    </row>
    <row r="254" spans="1:6" ht="15" x14ac:dyDescent="0.3">
      <c r="A254" s="105">
        <v>45895</v>
      </c>
      <c r="B254" s="112" t="s">
        <v>3469</v>
      </c>
      <c r="C254" s="11" t="s">
        <v>2519</v>
      </c>
      <c r="D254" s="540" t="s">
        <v>4336</v>
      </c>
      <c r="E254" s="290"/>
      <c r="F254" s="289">
        <v>600000</v>
      </c>
    </row>
    <row r="255" spans="1:6" ht="15" x14ac:dyDescent="0.3">
      <c r="A255" s="105">
        <v>45895</v>
      </c>
      <c r="B255" s="112" t="s">
        <v>3469</v>
      </c>
      <c r="C255" s="11" t="s">
        <v>2519</v>
      </c>
      <c r="D255" s="540" t="s">
        <v>202</v>
      </c>
      <c r="E255" s="290"/>
      <c r="F255" s="289">
        <v>2500</v>
      </c>
    </row>
    <row r="256" spans="1:6" ht="15" x14ac:dyDescent="0.3">
      <c r="A256" s="105">
        <v>45895</v>
      </c>
      <c r="B256" s="112" t="s">
        <v>3469</v>
      </c>
      <c r="C256" s="11" t="s">
        <v>2519</v>
      </c>
      <c r="D256" s="540" t="s">
        <v>4337</v>
      </c>
      <c r="E256" s="290"/>
      <c r="F256" s="289">
        <v>23000</v>
      </c>
    </row>
    <row r="257" spans="1:6" ht="15" x14ac:dyDescent="0.3">
      <c r="A257" s="105">
        <v>45895</v>
      </c>
      <c r="B257" s="112" t="s">
        <v>3469</v>
      </c>
      <c r="C257" s="11" t="s">
        <v>2519</v>
      </c>
      <c r="D257" s="540" t="s">
        <v>4338</v>
      </c>
      <c r="E257" s="290"/>
      <c r="F257" s="289">
        <v>97300</v>
      </c>
    </row>
    <row r="258" spans="1:6" ht="15" x14ac:dyDescent="0.3">
      <c r="A258" s="105">
        <v>45895</v>
      </c>
      <c r="B258" s="112" t="s">
        <v>3469</v>
      </c>
      <c r="C258" s="11" t="s">
        <v>2519</v>
      </c>
      <c r="D258" s="540" t="s">
        <v>202</v>
      </c>
      <c r="E258" s="290"/>
      <c r="F258" s="289">
        <v>2500</v>
      </c>
    </row>
    <row r="259" spans="1:6" ht="15" x14ac:dyDescent="0.3">
      <c r="A259" s="105">
        <v>45895</v>
      </c>
      <c r="B259" s="112" t="s">
        <v>3469</v>
      </c>
      <c r="C259" s="11" t="s">
        <v>2519</v>
      </c>
      <c r="D259" s="540" t="s">
        <v>4339</v>
      </c>
      <c r="E259" s="290"/>
      <c r="F259" s="289">
        <v>54000</v>
      </c>
    </row>
    <row r="260" spans="1:6" ht="15" x14ac:dyDescent="0.3">
      <c r="A260" s="105">
        <v>45895</v>
      </c>
      <c r="B260" s="112" t="s">
        <v>3469</v>
      </c>
      <c r="C260" s="11" t="s">
        <v>2519</v>
      </c>
      <c r="D260" s="540" t="s">
        <v>202</v>
      </c>
      <c r="E260" s="290"/>
      <c r="F260" s="289">
        <v>2500</v>
      </c>
    </row>
    <row r="261" spans="1:6" ht="15" x14ac:dyDescent="0.3">
      <c r="A261" s="105">
        <v>45895</v>
      </c>
      <c r="B261" s="112" t="s">
        <v>3474</v>
      </c>
      <c r="C261" s="11" t="s">
        <v>2519</v>
      </c>
      <c r="D261" s="117" t="s">
        <v>4340</v>
      </c>
      <c r="E261" s="518"/>
      <c r="F261" s="289">
        <v>1800000</v>
      </c>
    </row>
    <row r="262" spans="1:6" ht="15" x14ac:dyDescent="0.3">
      <c r="A262" s="105">
        <v>45895</v>
      </c>
      <c r="B262" s="112" t="s">
        <v>3474</v>
      </c>
      <c r="C262" s="11" t="s">
        <v>2519</v>
      </c>
      <c r="D262" s="117" t="s">
        <v>4341</v>
      </c>
      <c r="E262" s="518"/>
      <c r="F262" s="289">
        <v>91000</v>
      </c>
    </row>
    <row r="263" spans="1:6" ht="15" x14ac:dyDescent="0.3">
      <c r="A263" s="105">
        <v>45895</v>
      </c>
      <c r="B263" s="112" t="s">
        <v>3474</v>
      </c>
      <c r="C263" s="11" t="s">
        <v>2519</v>
      </c>
      <c r="D263" s="117" t="s">
        <v>4342</v>
      </c>
      <c r="E263" s="518"/>
      <c r="F263" s="289">
        <v>15000</v>
      </c>
    </row>
    <row r="264" spans="1:6" ht="15" x14ac:dyDescent="0.3">
      <c r="A264" s="105">
        <v>45895</v>
      </c>
      <c r="B264" s="112" t="s">
        <v>3474</v>
      </c>
      <c r="C264" s="11" t="s">
        <v>2519</v>
      </c>
      <c r="D264" s="117" t="s">
        <v>4343</v>
      </c>
      <c r="E264" s="518"/>
      <c r="F264" s="289">
        <v>134750</v>
      </c>
    </row>
    <row r="265" spans="1:6" ht="15" x14ac:dyDescent="0.3">
      <c r="A265" s="105">
        <v>45895</v>
      </c>
      <c r="B265" s="112" t="s">
        <v>3474</v>
      </c>
      <c r="C265" s="11" t="s">
        <v>2519</v>
      </c>
      <c r="D265" s="117" t="s">
        <v>3477</v>
      </c>
      <c r="E265" s="518"/>
      <c r="F265" s="289">
        <v>2500</v>
      </c>
    </row>
    <row r="266" spans="1:6" ht="15" x14ac:dyDescent="0.3">
      <c r="A266" s="105">
        <v>45895</v>
      </c>
      <c r="B266" s="112" t="s">
        <v>3474</v>
      </c>
      <c r="C266" s="11" t="s">
        <v>2519</v>
      </c>
      <c r="D266" s="117" t="s">
        <v>4344</v>
      </c>
      <c r="E266" s="518"/>
      <c r="F266" s="289">
        <v>200000</v>
      </c>
    </row>
    <row r="267" spans="1:6" ht="15" x14ac:dyDescent="0.3">
      <c r="A267" s="105">
        <v>45895</v>
      </c>
      <c r="B267" s="112" t="s">
        <v>3474</v>
      </c>
      <c r="C267" s="11" t="s">
        <v>2519</v>
      </c>
      <c r="D267" s="117" t="s">
        <v>4345</v>
      </c>
      <c r="E267" s="518"/>
      <c r="F267" s="289">
        <v>612245</v>
      </c>
    </row>
    <row r="268" spans="1:6" ht="15" x14ac:dyDescent="0.3">
      <c r="A268" s="105">
        <v>45895</v>
      </c>
      <c r="B268" s="112" t="s">
        <v>3474</v>
      </c>
      <c r="C268" s="11" t="s">
        <v>2519</v>
      </c>
      <c r="D268" s="117" t="s">
        <v>4346</v>
      </c>
      <c r="E268" s="518"/>
      <c r="F268" s="289">
        <v>-12245</v>
      </c>
    </row>
    <row r="269" spans="1:6" ht="15" x14ac:dyDescent="0.3">
      <c r="A269" s="105">
        <v>45895</v>
      </c>
      <c r="B269" s="112" t="s">
        <v>3474</v>
      </c>
      <c r="C269" s="11" t="s">
        <v>2519</v>
      </c>
      <c r="D269" s="117" t="s">
        <v>3477</v>
      </c>
      <c r="E269" s="518"/>
      <c r="F269" s="289">
        <v>2500</v>
      </c>
    </row>
    <row r="270" spans="1:6" ht="15" x14ac:dyDescent="0.3">
      <c r="A270" s="105">
        <v>45895</v>
      </c>
      <c r="B270" s="112" t="s">
        <v>3474</v>
      </c>
      <c r="C270" s="11" t="s">
        <v>2519</v>
      </c>
      <c r="D270" s="117" t="s">
        <v>4215</v>
      </c>
      <c r="E270" s="518"/>
      <c r="F270" s="289">
        <v>20000</v>
      </c>
    </row>
    <row r="271" spans="1:6" ht="15" x14ac:dyDescent="0.3">
      <c r="A271" s="105">
        <v>45895</v>
      </c>
      <c r="B271" s="112" t="s">
        <v>3474</v>
      </c>
      <c r="C271" s="11" t="s">
        <v>2519</v>
      </c>
      <c r="D271" s="117" t="s">
        <v>4347</v>
      </c>
      <c r="E271" s="518"/>
      <c r="F271" s="289">
        <v>51800</v>
      </c>
    </row>
    <row r="272" spans="1:6" ht="15" x14ac:dyDescent="0.3">
      <c r="A272" s="105">
        <v>45895</v>
      </c>
      <c r="B272" s="112" t="s">
        <v>3474</v>
      </c>
      <c r="C272" s="11" t="s">
        <v>2519</v>
      </c>
      <c r="D272" s="117" t="s">
        <v>4348</v>
      </c>
      <c r="E272" s="518"/>
      <c r="F272" s="289">
        <v>141900</v>
      </c>
    </row>
    <row r="273" spans="1:6" ht="15" x14ac:dyDescent="0.3">
      <c r="A273" s="105">
        <v>45896</v>
      </c>
      <c r="B273" s="112" t="s">
        <v>3482</v>
      </c>
      <c r="C273" s="11" t="s">
        <v>2519</v>
      </c>
      <c r="D273" s="543" t="s">
        <v>4349</v>
      </c>
      <c r="E273" s="518"/>
      <c r="F273" s="283">
        <v>2022500</v>
      </c>
    </row>
    <row r="274" spans="1:6" ht="15" x14ac:dyDescent="0.3">
      <c r="A274" s="105">
        <v>45896</v>
      </c>
      <c r="B274" s="112" t="s">
        <v>3482</v>
      </c>
      <c r="C274" s="11" t="s">
        <v>2519</v>
      </c>
      <c r="D274" s="543" t="s">
        <v>4350</v>
      </c>
      <c r="E274" s="518"/>
      <c r="F274" s="283">
        <v>180000</v>
      </c>
    </row>
    <row r="275" spans="1:6" ht="15" x14ac:dyDescent="0.3">
      <c r="A275" s="105">
        <v>45896</v>
      </c>
      <c r="B275" s="112" t="s">
        <v>3482</v>
      </c>
      <c r="C275" s="11" t="s">
        <v>2519</v>
      </c>
      <c r="D275" s="543" t="s">
        <v>4351</v>
      </c>
      <c r="E275" s="518"/>
      <c r="F275" s="283">
        <v>25436</v>
      </c>
    </row>
    <row r="276" spans="1:6" ht="15" x14ac:dyDescent="0.3">
      <c r="A276" s="105">
        <v>45896</v>
      </c>
      <c r="B276" s="112" t="s">
        <v>3482</v>
      </c>
      <c r="C276" s="11" t="s">
        <v>2519</v>
      </c>
      <c r="D276" s="543" t="s">
        <v>4352</v>
      </c>
      <c r="E276" s="518"/>
      <c r="F276" s="283">
        <v>813517</v>
      </c>
    </row>
    <row r="277" spans="1:6" ht="15" x14ac:dyDescent="0.3">
      <c r="A277" s="105">
        <v>45896</v>
      </c>
      <c r="B277" s="112" t="s">
        <v>3482</v>
      </c>
      <c r="C277" s="11" t="s">
        <v>2519</v>
      </c>
      <c r="D277" s="543" t="s">
        <v>4353</v>
      </c>
      <c r="E277" s="518"/>
      <c r="F277" s="283">
        <v>79500</v>
      </c>
    </row>
    <row r="278" spans="1:6" ht="15" x14ac:dyDescent="0.3">
      <c r="A278" s="105">
        <v>45896</v>
      </c>
      <c r="B278" s="112" t="s">
        <v>3482</v>
      </c>
      <c r="C278" s="11" t="s">
        <v>2519</v>
      </c>
      <c r="D278" s="543" t="s">
        <v>4354</v>
      </c>
      <c r="E278" s="518"/>
      <c r="F278" s="283">
        <v>212500</v>
      </c>
    </row>
    <row r="279" spans="1:6" ht="15" x14ac:dyDescent="0.3">
      <c r="A279" s="105">
        <v>45896</v>
      </c>
      <c r="B279" s="112" t="s">
        <v>4355</v>
      </c>
      <c r="C279" s="11" t="s">
        <v>2519</v>
      </c>
      <c r="D279" s="540" t="s">
        <v>4356</v>
      </c>
      <c r="E279" s="518"/>
      <c r="F279" s="289">
        <v>9167500</v>
      </c>
    </row>
    <row r="280" spans="1:6" ht="15" x14ac:dyDescent="0.3">
      <c r="A280" s="105">
        <v>45896</v>
      </c>
      <c r="B280" s="112" t="s">
        <v>4355</v>
      </c>
      <c r="C280" s="11" t="s">
        <v>2519</v>
      </c>
      <c r="D280" s="540" t="s">
        <v>4357</v>
      </c>
      <c r="E280" s="518"/>
      <c r="F280" s="289">
        <v>1008425</v>
      </c>
    </row>
    <row r="281" spans="1:6" ht="15" x14ac:dyDescent="0.3">
      <c r="A281" s="105">
        <v>45896</v>
      </c>
      <c r="B281" s="112" t="s">
        <v>4355</v>
      </c>
      <c r="C281" s="11" t="s">
        <v>2519</v>
      </c>
      <c r="D281" s="540" t="s">
        <v>4358</v>
      </c>
      <c r="E281" s="518"/>
      <c r="F281" s="289">
        <v>2900</v>
      </c>
    </row>
    <row r="282" spans="1:6" ht="15" x14ac:dyDescent="0.3">
      <c r="A282" s="105">
        <v>45897</v>
      </c>
      <c r="B282" s="112" t="s">
        <v>3492</v>
      </c>
      <c r="C282" s="15" t="s">
        <v>2519</v>
      </c>
      <c r="D282" s="118" t="s">
        <v>4359</v>
      </c>
      <c r="E282" s="292"/>
      <c r="F282" s="285">
        <v>646000</v>
      </c>
    </row>
    <row r="283" spans="1:6" ht="15" x14ac:dyDescent="0.3">
      <c r="A283" s="105">
        <v>45897</v>
      </c>
      <c r="B283" s="112" t="s">
        <v>3492</v>
      </c>
      <c r="C283" s="15" t="s">
        <v>2519</v>
      </c>
      <c r="D283" s="118" t="s">
        <v>206</v>
      </c>
      <c r="E283" s="292"/>
      <c r="F283" s="285">
        <v>2500</v>
      </c>
    </row>
    <row r="284" spans="1:6" ht="15" x14ac:dyDescent="0.3">
      <c r="A284" s="105">
        <v>45897</v>
      </c>
      <c r="B284" s="112" t="s">
        <v>3492</v>
      </c>
      <c r="C284" s="15" t="s">
        <v>2519</v>
      </c>
      <c r="D284" s="118" t="s">
        <v>4360</v>
      </c>
      <c r="E284" s="292"/>
      <c r="F284" s="285">
        <v>240000</v>
      </c>
    </row>
    <row r="285" spans="1:6" ht="15" x14ac:dyDescent="0.3">
      <c r="A285" s="105">
        <v>45897</v>
      </c>
      <c r="B285" s="112" t="s">
        <v>3492</v>
      </c>
      <c r="C285" s="15" t="s">
        <v>2519</v>
      </c>
      <c r="D285" s="118" t="s">
        <v>4361</v>
      </c>
      <c r="E285" s="292"/>
      <c r="F285" s="285">
        <v>174660</v>
      </c>
    </row>
    <row r="286" spans="1:6" ht="15" x14ac:dyDescent="0.3">
      <c r="A286" s="105">
        <v>45897</v>
      </c>
      <c r="B286" s="112" t="s">
        <v>3492</v>
      </c>
      <c r="C286" s="15" t="s">
        <v>2519</v>
      </c>
      <c r="D286" s="118" t="s">
        <v>206</v>
      </c>
      <c r="E286" s="292"/>
      <c r="F286" s="285">
        <v>5000</v>
      </c>
    </row>
    <row r="287" spans="1:6" ht="15" x14ac:dyDescent="0.3">
      <c r="A287" s="105">
        <v>45897</v>
      </c>
      <c r="B287" s="112" t="s">
        <v>3492</v>
      </c>
      <c r="C287" s="15" t="s">
        <v>2519</v>
      </c>
      <c r="D287" s="118" t="s">
        <v>4362</v>
      </c>
      <c r="E287" s="292"/>
      <c r="F287" s="285">
        <v>131000</v>
      </c>
    </row>
    <row r="288" spans="1:6" ht="15" x14ac:dyDescent="0.3">
      <c r="A288" s="105">
        <v>45897</v>
      </c>
      <c r="B288" s="112" t="s">
        <v>3492</v>
      </c>
      <c r="C288" s="15" t="s">
        <v>2519</v>
      </c>
      <c r="D288" s="118" t="s">
        <v>206</v>
      </c>
      <c r="E288" s="292"/>
      <c r="F288" s="285">
        <v>2500</v>
      </c>
    </row>
    <row r="289" spans="1:6" ht="15" x14ac:dyDescent="0.3">
      <c r="A289" s="105">
        <v>45897</v>
      </c>
      <c r="B289" s="112" t="s">
        <v>3492</v>
      </c>
      <c r="C289" s="15" t="s">
        <v>2519</v>
      </c>
      <c r="D289" s="118" t="s">
        <v>4363</v>
      </c>
      <c r="E289" s="292"/>
      <c r="F289" s="285">
        <v>247000</v>
      </c>
    </row>
    <row r="290" spans="1:6" ht="15" x14ac:dyDescent="0.3">
      <c r="A290" s="105">
        <v>45897</v>
      </c>
      <c r="B290" s="112" t="s">
        <v>3492</v>
      </c>
      <c r="C290" s="15" t="s">
        <v>2519</v>
      </c>
      <c r="D290" s="118" t="s">
        <v>206</v>
      </c>
      <c r="E290" s="292"/>
      <c r="F290" s="285">
        <v>2500</v>
      </c>
    </row>
    <row r="291" spans="1:6" ht="15" x14ac:dyDescent="0.3">
      <c r="A291" s="105">
        <v>45897</v>
      </c>
      <c r="B291" s="112" t="s">
        <v>3492</v>
      </c>
      <c r="C291" s="15" t="s">
        <v>2519</v>
      </c>
      <c r="D291" s="118" t="s">
        <v>4364</v>
      </c>
      <c r="E291" s="292"/>
      <c r="F291" s="285">
        <v>17000</v>
      </c>
    </row>
    <row r="292" spans="1:6" ht="15" x14ac:dyDescent="0.3">
      <c r="A292" s="105">
        <v>45897</v>
      </c>
      <c r="B292" s="112" t="s">
        <v>3492</v>
      </c>
      <c r="C292" s="15" t="s">
        <v>2519</v>
      </c>
      <c r="D292" s="118" t="s">
        <v>4365</v>
      </c>
      <c r="E292" s="292"/>
      <c r="F292" s="285">
        <v>95000</v>
      </c>
    </row>
    <row r="293" spans="1:6" ht="15" x14ac:dyDescent="0.3">
      <c r="A293" s="105">
        <v>45897</v>
      </c>
      <c r="B293" s="112" t="s">
        <v>3492</v>
      </c>
      <c r="C293" s="15" t="s">
        <v>2519</v>
      </c>
      <c r="D293" s="118" t="s">
        <v>206</v>
      </c>
      <c r="E293" s="292"/>
      <c r="F293" s="285">
        <v>2500</v>
      </c>
    </row>
    <row r="294" spans="1:6" ht="15" x14ac:dyDescent="0.3">
      <c r="A294" s="105">
        <v>45897</v>
      </c>
      <c r="B294" s="112" t="s">
        <v>3492</v>
      </c>
      <c r="C294" s="15" t="s">
        <v>2519</v>
      </c>
      <c r="D294" s="118" t="s">
        <v>4366</v>
      </c>
      <c r="E294" s="292"/>
      <c r="F294" s="285">
        <v>35900</v>
      </c>
    </row>
    <row r="295" spans="1:6" ht="15" x14ac:dyDescent="0.3">
      <c r="A295" s="105">
        <v>45897</v>
      </c>
      <c r="B295" s="112" t="s">
        <v>3492</v>
      </c>
      <c r="C295" s="15" t="s">
        <v>2519</v>
      </c>
      <c r="D295" s="118" t="s">
        <v>206</v>
      </c>
      <c r="E295" s="292"/>
      <c r="F295" s="285">
        <v>2500</v>
      </c>
    </row>
    <row r="296" spans="1:6" ht="15" x14ac:dyDescent="0.3">
      <c r="A296" s="105">
        <v>45898</v>
      </c>
      <c r="B296" s="112" t="s">
        <v>3497</v>
      </c>
      <c r="C296" s="11" t="s">
        <v>2519</v>
      </c>
      <c r="D296" s="543" t="s">
        <v>4367</v>
      </c>
      <c r="E296" s="518"/>
      <c r="F296" s="283">
        <v>1752500</v>
      </c>
    </row>
    <row r="297" spans="1:6" ht="15" x14ac:dyDescent="0.3">
      <c r="A297" s="105">
        <v>45898</v>
      </c>
      <c r="B297" s="112" t="s">
        <v>3497</v>
      </c>
      <c r="C297" s="11" t="s">
        <v>2519</v>
      </c>
      <c r="D297" s="543" t="s">
        <v>4368</v>
      </c>
      <c r="E297" s="518"/>
      <c r="F297" s="283">
        <v>400000</v>
      </c>
    </row>
    <row r="298" spans="1:6" ht="15" x14ac:dyDescent="0.3">
      <c r="A298" s="105">
        <v>45898</v>
      </c>
      <c r="B298" s="112" t="s">
        <v>3497</v>
      </c>
      <c r="C298" s="11" t="s">
        <v>2519</v>
      </c>
      <c r="D298" s="543" t="s">
        <v>4369</v>
      </c>
      <c r="E298" s="518"/>
      <c r="F298" s="283">
        <v>14500</v>
      </c>
    </row>
    <row r="299" spans="1:6" ht="15" x14ac:dyDescent="0.3">
      <c r="A299" s="105">
        <v>45898</v>
      </c>
      <c r="B299" s="112" t="s">
        <v>3497</v>
      </c>
      <c r="C299" s="11" t="s">
        <v>2519</v>
      </c>
      <c r="D299" s="543" t="s">
        <v>4370</v>
      </c>
      <c r="E299" s="518"/>
      <c r="F299" s="283">
        <v>4820513</v>
      </c>
    </row>
    <row r="300" spans="1:6" ht="15" x14ac:dyDescent="0.3">
      <c r="A300" s="105">
        <v>45898</v>
      </c>
      <c r="B300" s="112" t="s">
        <v>3497</v>
      </c>
      <c r="C300" s="11" t="s">
        <v>2519</v>
      </c>
      <c r="D300" s="543" t="s">
        <v>4371</v>
      </c>
      <c r="E300" s="518"/>
      <c r="F300" s="287">
        <v>-120513</v>
      </c>
    </row>
    <row r="301" spans="1:6" ht="15" x14ac:dyDescent="0.3">
      <c r="A301" s="105">
        <v>45898</v>
      </c>
      <c r="B301" s="112" t="s">
        <v>3497</v>
      </c>
      <c r="C301" s="11" t="s">
        <v>2519</v>
      </c>
      <c r="D301" s="543" t="s">
        <v>105</v>
      </c>
      <c r="E301" s="518"/>
      <c r="F301" s="283">
        <v>2500</v>
      </c>
    </row>
    <row r="302" spans="1:6" ht="15" x14ac:dyDescent="0.3">
      <c r="A302" s="105">
        <v>45898</v>
      </c>
      <c r="B302" s="112" t="s">
        <v>3497</v>
      </c>
      <c r="C302" s="11" t="s">
        <v>2519</v>
      </c>
      <c r="D302" s="543" t="s">
        <v>4372</v>
      </c>
      <c r="E302" s="518"/>
      <c r="F302" s="283">
        <v>566100</v>
      </c>
    </row>
    <row r="303" spans="1:6" ht="15" x14ac:dyDescent="0.3">
      <c r="A303" s="105">
        <v>45898</v>
      </c>
      <c r="B303" s="112" t="s">
        <v>3497</v>
      </c>
      <c r="C303" s="11" t="s">
        <v>2519</v>
      </c>
      <c r="D303" s="543" t="s">
        <v>4373</v>
      </c>
      <c r="E303" s="518"/>
      <c r="F303" s="283">
        <v>107100</v>
      </c>
    </row>
    <row r="304" spans="1:6" ht="15" x14ac:dyDescent="0.3">
      <c r="A304" s="105">
        <v>45898</v>
      </c>
      <c r="B304" s="112" t="s">
        <v>3497</v>
      </c>
      <c r="C304" s="11" t="s">
        <v>2519</v>
      </c>
      <c r="D304" s="543" t="s">
        <v>4374</v>
      </c>
      <c r="E304" s="518"/>
      <c r="F304" s="283">
        <v>146100</v>
      </c>
    </row>
    <row r="305" spans="1:6" ht="15" x14ac:dyDescent="0.3">
      <c r="A305" s="105">
        <v>45898</v>
      </c>
      <c r="B305" s="112" t="s">
        <v>3497</v>
      </c>
      <c r="C305" s="11" t="s">
        <v>2519</v>
      </c>
      <c r="D305" s="543" t="s">
        <v>4375</v>
      </c>
      <c r="E305" s="518"/>
      <c r="F305" s="283">
        <v>26500</v>
      </c>
    </row>
    <row r="306" spans="1:6" ht="15" x14ac:dyDescent="0.3">
      <c r="A306" s="105">
        <v>45898</v>
      </c>
      <c r="B306" s="112" t="s">
        <v>4376</v>
      </c>
      <c r="C306" s="11" t="s">
        <v>2519</v>
      </c>
      <c r="D306" s="118" t="s">
        <v>4377</v>
      </c>
      <c r="E306" s="518"/>
      <c r="F306" s="289">
        <v>80000</v>
      </c>
    </row>
    <row r="307" spans="1:6" ht="15" x14ac:dyDescent="0.3">
      <c r="A307" s="105">
        <v>45898</v>
      </c>
      <c r="B307" s="112" t="s">
        <v>4378</v>
      </c>
      <c r="C307" s="11" t="s">
        <v>2519</v>
      </c>
      <c r="D307" s="118" t="s">
        <v>4379</v>
      </c>
      <c r="E307" s="518"/>
      <c r="F307" s="289">
        <v>129500</v>
      </c>
    </row>
    <row r="308" spans="1:6" ht="15" x14ac:dyDescent="0.3">
      <c r="A308" s="105">
        <v>45898</v>
      </c>
      <c r="B308" s="112" t="s">
        <v>4380</v>
      </c>
      <c r="C308" s="11" t="s">
        <v>2519</v>
      </c>
      <c r="D308" s="118" t="s">
        <v>4381</v>
      </c>
      <c r="E308" s="518"/>
      <c r="F308" s="289">
        <v>498500</v>
      </c>
    </row>
    <row r="309" spans="1:6" ht="15" x14ac:dyDescent="0.3">
      <c r="A309" s="105">
        <v>45898</v>
      </c>
      <c r="B309" s="112" t="s">
        <v>4380</v>
      </c>
      <c r="C309" s="11" t="s">
        <v>2519</v>
      </c>
      <c r="D309" s="118" t="s">
        <v>4382</v>
      </c>
      <c r="E309" s="518"/>
      <c r="F309" s="289">
        <v>85000</v>
      </c>
    </row>
    <row r="310" spans="1:6" ht="15" x14ac:dyDescent="0.3">
      <c r="A310" s="105">
        <v>45898</v>
      </c>
      <c r="B310" s="112" t="s">
        <v>4383</v>
      </c>
      <c r="C310" s="11" t="s">
        <v>2519</v>
      </c>
      <c r="D310" s="118" t="s">
        <v>4384</v>
      </c>
      <c r="E310" s="518"/>
      <c r="F310" s="289">
        <v>42500</v>
      </c>
    </row>
    <row r="311" spans="1:6" ht="15" x14ac:dyDescent="0.3">
      <c r="A311" s="105">
        <v>45898</v>
      </c>
      <c r="B311" s="112" t="s">
        <v>4383</v>
      </c>
      <c r="C311" s="11" t="s">
        <v>2519</v>
      </c>
      <c r="D311" s="118" t="s">
        <v>4385</v>
      </c>
      <c r="E311" s="518"/>
      <c r="F311" s="289">
        <v>21000</v>
      </c>
    </row>
    <row r="312" spans="1:6" ht="15" x14ac:dyDescent="0.3">
      <c r="A312" s="105">
        <v>45898</v>
      </c>
      <c r="B312" s="112" t="s">
        <v>4386</v>
      </c>
      <c r="C312" s="11" t="s">
        <v>2519</v>
      </c>
      <c r="D312" s="118" t="s">
        <v>4387</v>
      </c>
      <c r="E312" s="518"/>
      <c r="F312" s="289">
        <v>26500000</v>
      </c>
    </row>
    <row r="313" spans="1:6" ht="15" x14ac:dyDescent="0.3">
      <c r="A313" s="105">
        <v>45898</v>
      </c>
      <c r="B313" s="112" t="s">
        <v>4386</v>
      </c>
      <c r="C313" s="11" t="s">
        <v>2519</v>
      </c>
      <c r="D313" s="118" t="s">
        <v>4388</v>
      </c>
      <c r="E313" s="518"/>
      <c r="F313" s="289">
        <v>2915000</v>
      </c>
    </row>
    <row r="314" spans="1:6" ht="15" x14ac:dyDescent="0.3">
      <c r="A314" s="105">
        <v>45898</v>
      </c>
      <c r="B314" s="112" t="s">
        <v>4386</v>
      </c>
      <c r="C314" s="11" t="s">
        <v>2519</v>
      </c>
      <c r="D314" s="118" t="s">
        <v>4389</v>
      </c>
      <c r="E314" s="518"/>
      <c r="F314" s="289">
        <v>120000</v>
      </c>
    </row>
    <row r="315" spans="1:6" ht="15" x14ac:dyDescent="0.3">
      <c r="A315" s="105">
        <v>45898</v>
      </c>
      <c r="B315" s="112" t="s">
        <v>4386</v>
      </c>
      <c r="C315" s="11" t="s">
        <v>2519</v>
      </c>
      <c r="D315" s="118" t="s">
        <v>4390</v>
      </c>
      <c r="E315" s="518"/>
      <c r="F315" s="289">
        <v>2900</v>
      </c>
    </row>
    <row r="316" spans="1:6" ht="15" x14ac:dyDescent="0.3">
      <c r="A316" s="105">
        <v>45898</v>
      </c>
      <c r="B316" s="112" t="s">
        <v>4391</v>
      </c>
      <c r="C316" s="11" t="s">
        <v>2519</v>
      </c>
      <c r="D316" s="118" t="s">
        <v>4392</v>
      </c>
      <c r="E316" s="518"/>
      <c r="F316" s="289">
        <v>400196895</v>
      </c>
    </row>
    <row r="317" spans="1:6" ht="15" x14ac:dyDescent="0.3">
      <c r="A317" s="105">
        <v>45898</v>
      </c>
      <c r="B317" s="112" t="s">
        <v>4391</v>
      </c>
      <c r="C317" s="11" t="s">
        <v>2519</v>
      </c>
      <c r="D317" s="118" t="s">
        <v>4393</v>
      </c>
      <c r="E317" s="518"/>
      <c r="F317" s="289">
        <v>-16007876</v>
      </c>
    </row>
    <row r="318" spans="1:6" ht="15" x14ac:dyDescent="0.3">
      <c r="A318" s="105">
        <v>45898</v>
      </c>
      <c r="B318" s="112" t="s">
        <v>4391</v>
      </c>
      <c r="C318" s="11" t="s">
        <v>2519</v>
      </c>
      <c r="D318" s="118" t="s">
        <v>4394</v>
      </c>
      <c r="E318" s="290">
        <v>20009845</v>
      </c>
      <c r="F318" s="289"/>
    </row>
    <row r="319" spans="1:6" ht="15" x14ac:dyDescent="0.3">
      <c r="A319" s="105">
        <v>45898</v>
      </c>
      <c r="B319" s="112" t="s">
        <v>4391</v>
      </c>
      <c r="C319" s="11" t="s">
        <v>2519</v>
      </c>
      <c r="D319" s="118" t="s">
        <v>4395</v>
      </c>
      <c r="E319" s="290">
        <v>120000000</v>
      </c>
      <c r="F319" s="289"/>
    </row>
    <row r="320" spans="1:6" ht="15" x14ac:dyDescent="0.3">
      <c r="A320" s="105">
        <v>45898</v>
      </c>
      <c r="B320" s="112" t="s">
        <v>4391</v>
      </c>
      <c r="C320" s="11" t="s">
        <v>2519</v>
      </c>
      <c r="D320" s="118" t="s">
        <v>4286</v>
      </c>
      <c r="E320" s="518"/>
      <c r="F320" s="289">
        <v>2900</v>
      </c>
    </row>
    <row r="321" spans="1:6" ht="15" x14ac:dyDescent="0.3">
      <c r="A321" s="108">
        <v>45900</v>
      </c>
      <c r="B321" s="113" t="s">
        <v>4399</v>
      </c>
      <c r="C321" s="202" t="s">
        <v>2519</v>
      </c>
      <c r="D321" s="545" t="s">
        <v>4652</v>
      </c>
      <c r="E321" s="375"/>
      <c r="F321" s="289">
        <v>276200</v>
      </c>
    </row>
    <row r="322" spans="1:6" ht="15" x14ac:dyDescent="0.3">
      <c r="A322" s="108">
        <v>45900</v>
      </c>
      <c r="B322" s="113" t="s">
        <v>4399</v>
      </c>
      <c r="C322" s="202" t="s">
        <v>2519</v>
      </c>
      <c r="D322" s="545" t="s">
        <v>4215</v>
      </c>
      <c r="E322" s="375"/>
      <c r="F322" s="289">
        <v>58800</v>
      </c>
    </row>
    <row r="323" spans="1:6" ht="15" x14ac:dyDescent="0.3">
      <c r="A323" s="108">
        <v>45900</v>
      </c>
      <c r="B323" s="113" t="s">
        <v>4399</v>
      </c>
      <c r="C323" s="202" t="s">
        <v>2519</v>
      </c>
      <c r="D323" s="545" t="s">
        <v>3477</v>
      </c>
      <c r="E323" s="375"/>
      <c r="F323" s="289">
        <v>2500</v>
      </c>
    </row>
    <row r="324" spans="1:6" ht="15" x14ac:dyDescent="0.3">
      <c r="A324" s="108">
        <v>45900</v>
      </c>
      <c r="B324" s="113" t="s">
        <v>4399</v>
      </c>
      <c r="C324" s="202" t="s">
        <v>2519</v>
      </c>
      <c r="D324" s="545" t="s">
        <v>4653</v>
      </c>
      <c r="E324" s="375"/>
      <c r="F324" s="289">
        <v>1800000</v>
      </c>
    </row>
    <row r="325" spans="1:6" ht="15" x14ac:dyDescent="0.3">
      <c r="A325" s="108">
        <v>45900</v>
      </c>
      <c r="B325" s="113" t="s">
        <v>4399</v>
      </c>
      <c r="C325" s="202" t="s">
        <v>2519</v>
      </c>
      <c r="D325" s="545" t="s">
        <v>3477</v>
      </c>
      <c r="E325" s="375"/>
      <c r="F325" s="289">
        <v>2500</v>
      </c>
    </row>
    <row r="326" spans="1:6" ht="15" x14ac:dyDescent="0.3">
      <c r="A326" s="108">
        <v>45900</v>
      </c>
      <c r="B326" s="113" t="s">
        <v>4399</v>
      </c>
      <c r="C326" s="202" t="s">
        <v>2519</v>
      </c>
      <c r="D326" s="545" t="s">
        <v>4654</v>
      </c>
      <c r="E326" s="375"/>
      <c r="F326" s="289">
        <v>100000</v>
      </c>
    </row>
    <row r="327" spans="1:6" ht="15" x14ac:dyDescent="0.3">
      <c r="A327" s="108">
        <v>45900</v>
      </c>
      <c r="B327" s="113" t="s">
        <v>4399</v>
      </c>
      <c r="C327" s="202" t="s">
        <v>2519</v>
      </c>
      <c r="D327" s="545" t="s">
        <v>3477</v>
      </c>
      <c r="E327" s="375"/>
      <c r="F327" s="289">
        <v>2500</v>
      </c>
    </row>
    <row r="328" spans="1:6" ht="15" x14ac:dyDescent="0.3">
      <c r="A328" s="108">
        <v>45900</v>
      </c>
      <c r="B328" s="113" t="s">
        <v>4399</v>
      </c>
      <c r="C328" s="202" t="s">
        <v>2519</v>
      </c>
      <c r="D328" s="545" t="s">
        <v>4655</v>
      </c>
      <c r="E328" s="375"/>
      <c r="F328" s="289">
        <v>648600</v>
      </c>
    </row>
    <row r="329" spans="1:6" ht="15" x14ac:dyDescent="0.3">
      <c r="A329" s="108">
        <v>45900</v>
      </c>
      <c r="B329" s="113" t="s">
        <v>4399</v>
      </c>
      <c r="C329" s="202" t="s">
        <v>2519</v>
      </c>
      <c r="D329" s="545" t="s">
        <v>3477</v>
      </c>
      <c r="E329" s="375"/>
      <c r="F329" s="289">
        <v>2500</v>
      </c>
    </row>
    <row r="330" spans="1:6" ht="15" x14ac:dyDescent="0.3">
      <c r="A330" s="108">
        <v>45900</v>
      </c>
      <c r="B330" s="113" t="s">
        <v>4399</v>
      </c>
      <c r="C330" s="202" t="s">
        <v>2519</v>
      </c>
      <c r="D330" s="545" t="s">
        <v>4656</v>
      </c>
      <c r="E330" s="375"/>
      <c r="F330" s="289">
        <v>74400</v>
      </c>
    </row>
    <row r="331" spans="1:6" ht="15" x14ac:dyDescent="0.3">
      <c r="A331" s="108">
        <v>45900</v>
      </c>
      <c r="B331" s="113" t="s">
        <v>4399</v>
      </c>
      <c r="C331" s="202" t="s">
        <v>2519</v>
      </c>
      <c r="D331" s="545" t="s">
        <v>3477</v>
      </c>
      <c r="E331" s="375"/>
      <c r="F331" s="289">
        <v>2500</v>
      </c>
    </row>
    <row r="332" spans="1:6" ht="15" x14ac:dyDescent="0.3">
      <c r="A332" s="108">
        <v>45901</v>
      </c>
      <c r="B332" s="112" t="s">
        <v>4657</v>
      </c>
      <c r="C332" s="11" t="s">
        <v>2519</v>
      </c>
      <c r="D332" s="546" t="s">
        <v>4658</v>
      </c>
      <c r="E332" s="290"/>
      <c r="F332" s="289">
        <v>32000</v>
      </c>
    </row>
    <row r="333" spans="1:6" ht="15" x14ac:dyDescent="0.3">
      <c r="A333" s="108">
        <v>45901</v>
      </c>
      <c r="B333" s="112" t="s">
        <v>4657</v>
      </c>
      <c r="C333" s="11" t="s">
        <v>2519</v>
      </c>
      <c r="D333" s="546" t="s">
        <v>4659</v>
      </c>
      <c r="E333" s="290"/>
      <c r="F333" s="289">
        <v>15000</v>
      </c>
    </row>
    <row r="334" spans="1:6" ht="15" x14ac:dyDescent="0.3">
      <c r="A334" s="108">
        <v>45901</v>
      </c>
      <c r="B334" s="112" t="s">
        <v>4657</v>
      </c>
      <c r="C334" s="11" t="s">
        <v>2519</v>
      </c>
      <c r="D334" s="546" t="s">
        <v>4660</v>
      </c>
      <c r="E334" s="290"/>
      <c r="F334" s="289">
        <v>56000</v>
      </c>
    </row>
    <row r="335" spans="1:6" ht="15" x14ac:dyDescent="0.3">
      <c r="A335" s="108">
        <v>45901</v>
      </c>
      <c r="B335" s="112" t="s">
        <v>4657</v>
      </c>
      <c r="C335" s="11" t="s">
        <v>2519</v>
      </c>
      <c r="D335" s="546" t="s">
        <v>3448</v>
      </c>
      <c r="E335" s="290"/>
      <c r="F335" s="289">
        <v>2500</v>
      </c>
    </row>
    <row r="336" spans="1:6" ht="15" x14ac:dyDescent="0.3">
      <c r="A336" s="105">
        <v>45902</v>
      </c>
      <c r="B336" s="112" t="s">
        <v>4402</v>
      </c>
      <c r="C336" s="11" t="s">
        <v>2519</v>
      </c>
      <c r="D336" s="546" t="s">
        <v>4661</v>
      </c>
      <c r="E336" s="290"/>
      <c r="F336" s="289">
        <v>200000</v>
      </c>
    </row>
    <row r="337" spans="1:6" ht="15" x14ac:dyDescent="0.3">
      <c r="A337" s="105">
        <v>45902</v>
      </c>
      <c r="B337" s="112" t="s">
        <v>4402</v>
      </c>
      <c r="C337" s="11" t="s">
        <v>2519</v>
      </c>
      <c r="D337" s="546" t="s">
        <v>3477</v>
      </c>
      <c r="E337" s="290"/>
      <c r="F337" s="289">
        <v>2500</v>
      </c>
    </row>
    <row r="338" spans="1:6" ht="15" x14ac:dyDescent="0.3">
      <c r="A338" s="105">
        <v>45902</v>
      </c>
      <c r="B338" s="112" t="s">
        <v>4402</v>
      </c>
      <c r="C338" s="11" t="s">
        <v>2519</v>
      </c>
      <c r="D338" s="546" t="s">
        <v>4662</v>
      </c>
      <c r="E338" s="290"/>
      <c r="F338" s="289">
        <v>213000</v>
      </c>
    </row>
    <row r="339" spans="1:6" ht="15" x14ac:dyDescent="0.3">
      <c r="A339" s="105">
        <v>45902</v>
      </c>
      <c r="B339" s="112" t="s">
        <v>4402</v>
      </c>
      <c r="C339" s="11" t="s">
        <v>2519</v>
      </c>
      <c r="D339" s="546" t="s">
        <v>4663</v>
      </c>
      <c r="E339" s="290"/>
      <c r="F339" s="289">
        <v>30000</v>
      </c>
    </row>
    <row r="340" spans="1:6" ht="15" x14ac:dyDescent="0.3">
      <c r="A340" s="105">
        <v>45902</v>
      </c>
      <c r="B340" s="112" t="s">
        <v>4402</v>
      </c>
      <c r="C340" s="11" t="s">
        <v>2519</v>
      </c>
      <c r="D340" s="546" t="s">
        <v>4215</v>
      </c>
      <c r="E340" s="290"/>
      <c r="F340" s="289">
        <v>21838</v>
      </c>
    </row>
    <row r="341" spans="1:6" ht="15" x14ac:dyDescent="0.3">
      <c r="A341" s="105">
        <v>45902</v>
      </c>
      <c r="B341" s="112" t="s">
        <v>4402</v>
      </c>
      <c r="C341" s="11" t="s">
        <v>2519</v>
      </c>
      <c r="D341" s="546" t="s">
        <v>3477</v>
      </c>
      <c r="E341" s="290"/>
      <c r="F341" s="289">
        <v>2500</v>
      </c>
    </row>
    <row r="342" spans="1:6" ht="15" x14ac:dyDescent="0.3">
      <c r="A342" s="105">
        <v>45902</v>
      </c>
      <c r="B342" s="112" t="s">
        <v>4402</v>
      </c>
      <c r="C342" s="11" t="s">
        <v>2519</v>
      </c>
      <c r="D342" s="546" t="s">
        <v>4664</v>
      </c>
      <c r="E342" s="290"/>
      <c r="F342" s="289">
        <v>359500</v>
      </c>
    </row>
    <row r="343" spans="1:6" ht="15" x14ac:dyDescent="0.3">
      <c r="A343" s="105">
        <v>45902</v>
      </c>
      <c r="B343" s="112" t="s">
        <v>4402</v>
      </c>
      <c r="C343" s="11" t="s">
        <v>2519</v>
      </c>
      <c r="D343" s="546" t="s">
        <v>3477</v>
      </c>
      <c r="E343" s="290"/>
      <c r="F343" s="289">
        <v>2500</v>
      </c>
    </row>
    <row r="344" spans="1:6" ht="15" x14ac:dyDescent="0.3">
      <c r="A344" s="105">
        <v>45902</v>
      </c>
      <c r="B344" s="112" t="s">
        <v>4402</v>
      </c>
      <c r="C344" s="11" t="s">
        <v>2519</v>
      </c>
      <c r="D344" s="546" t="s">
        <v>4665</v>
      </c>
      <c r="E344" s="290"/>
      <c r="F344" s="289">
        <v>71500</v>
      </c>
    </row>
    <row r="345" spans="1:6" ht="15" x14ac:dyDescent="0.3">
      <c r="A345" s="105">
        <v>45902</v>
      </c>
      <c r="B345" s="112" t="s">
        <v>4532</v>
      </c>
      <c r="C345" s="11" t="s">
        <v>2519</v>
      </c>
      <c r="D345" s="546" t="s">
        <v>4666</v>
      </c>
      <c r="E345" s="290"/>
      <c r="F345" s="289">
        <v>414000</v>
      </c>
    </row>
    <row r="346" spans="1:6" ht="15" x14ac:dyDescent="0.3">
      <c r="A346" s="105">
        <v>45902</v>
      </c>
      <c r="B346" s="112" t="s">
        <v>4532</v>
      </c>
      <c r="C346" s="11" t="s">
        <v>2519</v>
      </c>
      <c r="D346" s="546" t="s">
        <v>4667</v>
      </c>
      <c r="E346" s="290"/>
      <c r="F346" s="289">
        <v>45540</v>
      </c>
    </row>
    <row r="347" spans="1:6" ht="15" x14ac:dyDescent="0.3">
      <c r="A347" s="105">
        <v>45902</v>
      </c>
      <c r="B347" s="112" t="s">
        <v>4532</v>
      </c>
      <c r="C347" s="11" t="s">
        <v>2519</v>
      </c>
      <c r="D347" s="546" t="s">
        <v>4668</v>
      </c>
      <c r="E347" s="290"/>
      <c r="F347" s="289">
        <v>8880</v>
      </c>
    </row>
    <row r="348" spans="1:6" ht="15" x14ac:dyDescent="0.3">
      <c r="A348" s="105">
        <v>45902</v>
      </c>
      <c r="B348" s="112" t="s">
        <v>4532</v>
      </c>
      <c r="C348" s="11" t="s">
        <v>2519</v>
      </c>
      <c r="D348" s="546" t="s">
        <v>4669</v>
      </c>
      <c r="E348" s="290"/>
      <c r="F348" s="289">
        <v>163000</v>
      </c>
    </row>
    <row r="349" spans="1:6" ht="15" x14ac:dyDescent="0.3">
      <c r="A349" s="105">
        <v>45902</v>
      </c>
      <c r="B349" s="112" t="s">
        <v>4532</v>
      </c>
      <c r="C349" s="11" t="s">
        <v>2519</v>
      </c>
      <c r="D349" s="546" t="s">
        <v>4670</v>
      </c>
      <c r="E349" s="290"/>
      <c r="F349" s="289">
        <v>407500</v>
      </c>
    </row>
    <row r="350" spans="1:6" ht="15" x14ac:dyDescent="0.3">
      <c r="A350" s="105">
        <v>45902</v>
      </c>
      <c r="B350" s="112" t="s">
        <v>4532</v>
      </c>
      <c r="C350" s="11" t="s">
        <v>2519</v>
      </c>
      <c r="D350" s="546" t="s">
        <v>4671</v>
      </c>
      <c r="E350" s="290"/>
      <c r="F350" s="289">
        <v>10544500</v>
      </c>
    </row>
    <row r="351" spans="1:6" ht="15" x14ac:dyDescent="0.3">
      <c r="A351" s="105">
        <v>45902</v>
      </c>
      <c r="B351" s="112" t="s">
        <v>4532</v>
      </c>
      <c r="C351" s="11" t="s">
        <v>2519</v>
      </c>
      <c r="D351" s="546" t="s">
        <v>4672</v>
      </c>
      <c r="E351" s="290"/>
      <c r="F351" s="289">
        <v>2533800</v>
      </c>
    </row>
    <row r="352" spans="1:6" ht="15" x14ac:dyDescent="0.3">
      <c r="A352" s="105">
        <v>45902</v>
      </c>
      <c r="B352" s="112" t="s">
        <v>4532</v>
      </c>
      <c r="C352" s="11" t="s">
        <v>2519</v>
      </c>
      <c r="D352" s="546" t="s">
        <v>4673</v>
      </c>
      <c r="E352" s="290"/>
      <c r="F352" s="289">
        <v>8399993</v>
      </c>
    </row>
    <row r="353" spans="1:6" ht="15" x14ac:dyDescent="0.3">
      <c r="A353" s="105">
        <v>45903</v>
      </c>
      <c r="B353" s="112" t="s">
        <v>4407</v>
      </c>
      <c r="C353" s="15" t="s">
        <v>2519</v>
      </c>
      <c r="D353" s="119" t="s">
        <v>4674</v>
      </c>
      <c r="E353" s="290"/>
      <c r="F353" s="285">
        <v>598630</v>
      </c>
    </row>
    <row r="354" spans="1:6" ht="15" x14ac:dyDescent="0.3">
      <c r="A354" s="105">
        <v>45903</v>
      </c>
      <c r="B354" s="112" t="s">
        <v>4407</v>
      </c>
      <c r="C354" s="15" t="s">
        <v>2519</v>
      </c>
      <c r="D354" s="119" t="s">
        <v>4675</v>
      </c>
      <c r="E354" s="290"/>
      <c r="F354" s="285">
        <v>22000</v>
      </c>
    </row>
    <row r="355" spans="1:6" ht="15" x14ac:dyDescent="0.3">
      <c r="A355" s="105">
        <v>45903</v>
      </c>
      <c r="B355" s="112" t="s">
        <v>4407</v>
      </c>
      <c r="C355" s="15" t="s">
        <v>2519</v>
      </c>
      <c r="D355" s="119" t="s">
        <v>4676</v>
      </c>
      <c r="E355" s="290"/>
      <c r="F355" s="285">
        <v>1200000</v>
      </c>
    </row>
    <row r="356" spans="1:6" ht="15" x14ac:dyDescent="0.3">
      <c r="A356" s="105">
        <v>45903</v>
      </c>
      <c r="B356" s="112" t="s">
        <v>4407</v>
      </c>
      <c r="C356" s="15" t="s">
        <v>2519</v>
      </c>
      <c r="D356" s="119" t="s">
        <v>4677</v>
      </c>
      <c r="E356" s="290"/>
      <c r="F356" s="285">
        <v>365560</v>
      </c>
    </row>
    <row r="357" spans="1:6" ht="15" x14ac:dyDescent="0.3">
      <c r="A357" s="105">
        <v>45903</v>
      </c>
      <c r="B357" s="112" t="s">
        <v>4407</v>
      </c>
      <c r="C357" s="15" t="s">
        <v>2519</v>
      </c>
      <c r="D357" s="119" t="s">
        <v>4678</v>
      </c>
      <c r="E357" s="290"/>
      <c r="F357" s="285">
        <v>161000</v>
      </c>
    </row>
    <row r="358" spans="1:6" ht="15" x14ac:dyDescent="0.3">
      <c r="A358" s="105">
        <v>45903</v>
      </c>
      <c r="B358" s="112" t="s">
        <v>4407</v>
      </c>
      <c r="C358" s="15" t="s">
        <v>2519</v>
      </c>
      <c r="D358" s="119" t="s">
        <v>4679</v>
      </c>
      <c r="E358" s="290"/>
      <c r="F358" s="285">
        <v>602920</v>
      </c>
    </row>
    <row r="359" spans="1:6" ht="15" x14ac:dyDescent="0.3">
      <c r="A359" s="105">
        <v>45903</v>
      </c>
      <c r="B359" s="112" t="s">
        <v>4680</v>
      </c>
      <c r="C359" s="11" t="s">
        <v>2519</v>
      </c>
      <c r="D359" s="546" t="s">
        <v>4681</v>
      </c>
      <c r="E359" s="290"/>
      <c r="F359" s="289">
        <v>12000000</v>
      </c>
    </row>
    <row r="360" spans="1:6" ht="15" x14ac:dyDescent="0.3">
      <c r="A360" s="105">
        <v>45903</v>
      </c>
      <c r="B360" s="112" t="s">
        <v>4680</v>
      </c>
      <c r="C360" s="11" t="s">
        <v>2519</v>
      </c>
      <c r="D360" s="546" t="s">
        <v>4682</v>
      </c>
      <c r="E360" s="290"/>
      <c r="F360" s="289">
        <v>-152730</v>
      </c>
    </row>
    <row r="361" spans="1:6" ht="15" x14ac:dyDescent="0.3">
      <c r="A361" s="105">
        <v>45903</v>
      </c>
      <c r="B361" s="112" t="s">
        <v>4680</v>
      </c>
      <c r="C361" s="11" t="s">
        <v>2519</v>
      </c>
      <c r="D361" s="546" t="s">
        <v>4683</v>
      </c>
      <c r="E361" s="290"/>
      <c r="F361" s="289">
        <v>2900</v>
      </c>
    </row>
    <row r="362" spans="1:6" ht="15" x14ac:dyDescent="0.3">
      <c r="A362" s="105">
        <v>45903</v>
      </c>
      <c r="B362" s="112" t="s">
        <v>4684</v>
      </c>
      <c r="C362" s="11" t="s">
        <v>2519</v>
      </c>
      <c r="D362" s="546" t="s">
        <v>4685</v>
      </c>
      <c r="E362" s="290"/>
      <c r="F362" s="289">
        <v>5350000</v>
      </c>
    </row>
    <row r="363" spans="1:6" ht="15" x14ac:dyDescent="0.3">
      <c r="A363" s="105">
        <v>45903</v>
      </c>
      <c r="B363" s="112" t="s">
        <v>4684</v>
      </c>
      <c r="C363" s="11" t="s">
        <v>2519</v>
      </c>
      <c r="D363" s="546" t="s">
        <v>4686</v>
      </c>
      <c r="E363" s="290"/>
      <c r="F363" s="289">
        <v>58850</v>
      </c>
    </row>
    <row r="364" spans="1:6" ht="15" x14ac:dyDescent="0.3">
      <c r="A364" s="105">
        <v>45903</v>
      </c>
      <c r="B364" s="112" t="s">
        <v>4684</v>
      </c>
      <c r="C364" s="11" t="s">
        <v>2519</v>
      </c>
      <c r="D364" s="546" t="s">
        <v>4687</v>
      </c>
      <c r="E364" s="290"/>
      <c r="F364" s="289">
        <v>-107000</v>
      </c>
    </row>
    <row r="365" spans="1:6" ht="15" x14ac:dyDescent="0.3">
      <c r="A365" s="105">
        <v>45903</v>
      </c>
      <c r="B365" s="112" t="s">
        <v>4684</v>
      </c>
      <c r="C365" s="11" t="s">
        <v>2519</v>
      </c>
      <c r="D365" s="546" t="s">
        <v>4688</v>
      </c>
      <c r="E365" s="290"/>
      <c r="F365" s="289">
        <v>2900</v>
      </c>
    </row>
    <row r="366" spans="1:6" ht="15" x14ac:dyDescent="0.3">
      <c r="A366" s="105">
        <v>45903</v>
      </c>
      <c r="B366" s="112" t="s">
        <v>4689</v>
      </c>
      <c r="C366" s="11" t="s">
        <v>2519</v>
      </c>
      <c r="D366" s="546" t="s">
        <v>4690</v>
      </c>
      <c r="E366" s="290"/>
      <c r="F366" s="289">
        <v>108900000</v>
      </c>
    </row>
    <row r="367" spans="1:6" ht="15" x14ac:dyDescent="0.3">
      <c r="A367" s="105">
        <v>45903</v>
      </c>
      <c r="B367" s="112" t="s">
        <v>4689</v>
      </c>
      <c r="C367" s="11" t="s">
        <v>2519</v>
      </c>
      <c r="D367" s="546" t="s">
        <v>4691</v>
      </c>
      <c r="E367" s="290"/>
      <c r="F367" s="289">
        <v>11979000</v>
      </c>
    </row>
    <row r="368" spans="1:6" ht="15" x14ac:dyDescent="0.3">
      <c r="A368" s="105">
        <v>45903</v>
      </c>
      <c r="B368" s="112" t="s">
        <v>4689</v>
      </c>
      <c r="C368" s="11" t="s">
        <v>2519</v>
      </c>
      <c r="D368" s="546" t="s">
        <v>4692</v>
      </c>
      <c r="E368" s="290"/>
      <c r="F368" s="289">
        <v>2900</v>
      </c>
    </row>
    <row r="369" spans="1:6" ht="15" x14ac:dyDescent="0.3">
      <c r="A369" s="105">
        <v>45903</v>
      </c>
      <c r="B369" s="112" t="s">
        <v>4693</v>
      </c>
      <c r="C369" s="11" t="s">
        <v>2519</v>
      </c>
      <c r="D369" s="546" t="s">
        <v>4694</v>
      </c>
      <c r="E369" s="290"/>
      <c r="F369" s="289">
        <v>21921830</v>
      </c>
    </row>
    <row r="370" spans="1:6" ht="15" x14ac:dyDescent="0.3">
      <c r="A370" s="105">
        <v>45903</v>
      </c>
      <c r="B370" s="112" t="s">
        <v>4693</v>
      </c>
      <c r="C370" s="11" t="s">
        <v>2519</v>
      </c>
      <c r="D370" s="546" t="s">
        <v>4695</v>
      </c>
      <c r="E370" s="290"/>
      <c r="F370" s="289">
        <v>2900</v>
      </c>
    </row>
    <row r="371" spans="1:6" ht="15" x14ac:dyDescent="0.3">
      <c r="A371" s="105">
        <v>45903</v>
      </c>
      <c r="B371" s="112" t="s">
        <v>4696</v>
      </c>
      <c r="C371" s="11" t="s">
        <v>2519</v>
      </c>
      <c r="D371" s="546" t="s">
        <v>4697</v>
      </c>
      <c r="E371" s="290"/>
      <c r="F371" s="289">
        <v>9641026</v>
      </c>
    </row>
    <row r="372" spans="1:6" ht="15" x14ac:dyDescent="0.3">
      <c r="A372" s="105">
        <v>45903</v>
      </c>
      <c r="B372" s="112" t="s">
        <v>4696</v>
      </c>
      <c r="C372" s="11" t="s">
        <v>2519</v>
      </c>
      <c r="D372" s="546" t="s">
        <v>4698</v>
      </c>
      <c r="E372" s="290"/>
      <c r="F372" s="289">
        <v>-241026</v>
      </c>
    </row>
    <row r="373" spans="1:6" ht="15" x14ac:dyDescent="0.3">
      <c r="A373" s="105">
        <v>45903</v>
      </c>
      <c r="B373" s="112" t="s">
        <v>4696</v>
      </c>
      <c r="C373" s="11" t="s">
        <v>2519</v>
      </c>
      <c r="D373" s="546" t="s">
        <v>4699</v>
      </c>
      <c r="E373" s="290"/>
      <c r="F373" s="289">
        <v>2900</v>
      </c>
    </row>
    <row r="374" spans="1:6" ht="15" x14ac:dyDescent="0.3">
      <c r="A374" s="105">
        <v>45903</v>
      </c>
      <c r="B374" s="112" t="s">
        <v>4700</v>
      </c>
      <c r="C374" s="11" t="s">
        <v>2519</v>
      </c>
      <c r="D374" s="546" t="s">
        <v>4701</v>
      </c>
      <c r="E374" s="290"/>
      <c r="F374" s="289">
        <v>15000000</v>
      </c>
    </row>
    <row r="375" spans="1:6" ht="15" x14ac:dyDescent="0.3">
      <c r="A375" s="105">
        <v>45903</v>
      </c>
      <c r="B375" s="112" t="s">
        <v>4700</v>
      </c>
      <c r="C375" s="11" t="s">
        <v>2519</v>
      </c>
      <c r="D375" s="546" t="s">
        <v>4702</v>
      </c>
      <c r="E375" s="290"/>
      <c r="F375" s="289">
        <v>2900</v>
      </c>
    </row>
    <row r="376" spans="1:6" ht="15" x14ac:dyDescent="0.3">
      <c r="A376" s="105">
        <v>45903</v>
      </c>
      <c r="B376" s="112" t="s">
        <v>4703</v>
      </c>
      <c r="C376" s="11" t="s">
        <v>2519</v>
      </c>
      <c r="D376" s="546" t="s">
        <v>4704</v>
      </c>
      <c r="E376" s="290"/>
      <c r="F376" s="289">
        <v>75000000</v>
      </c>
    </row>
    <row r="377" spans="1:6" ht="15" x14ac:dyDescent="0.3">
      <c r="A377" s="105">
        <v>45903</v>
      </c>
      <c r="B377" s="112" t="s">
        <v>4703</v>
      </c>
      <c r="C377" s="11" t="s">
        <v>2519</v>
      </c>
      <c r="D377" s="546" t="s">
        <v>4705</v>
      </c>
      <c r="E377" s="290"/>
      <c r="F377" s="289">
        <v>2900</v>
      </c>
    </row>
    <row r="378" spans="1:6" ht="15" x14ac:dyDescent="0.3">
      <c r="A378" s="105">
        <v>45903</v>
      </c>
      <c r="B378" s="112" t="s">
        <v>4706</v>
      </c>
      <c r="C378" s="11" t="s">
        <v>2519</v>
      </c>
      <c r="D378" s="546" t="s">
        <v>4707</v>
      </c>
      <c r="E378" s="290"/>
      <c r="F378" s="289">
        <v>114622000</v>
      </c>
    </row>
    <row r="379" spans="1:6" ht="15" x14ac:dyDescent="0.3">
      <c r="A379" s="105">
        <v>45903</v>
      </c>
      <c r="B379" s="112" t="s">
        <v>4706</v>
      </c>
      <c r="C379" s="11" t="s">
        <v>2519</v>
      </c>
      <c r="D379" s="546" t="s">
        <v>4708</v>
      </c>
      <c r="E379" s="290"/>
      <c r="F379" s="289">
        <v>12608420</v>
      </c>
    </row>
    <row r="380" spans="1:6" ht="15" x14ac:dyDescent="0.3">
      <c r="A380" s="105">
        <v>45903</v>
      </c>
      <c r="B380" s="112" t="s">
        <v>4706</v>
      </c>
      <c r="C380" s="11" t="s">
        <v>2519</v>
      </c>
      <c r="D380" s="546" t="s">
        <v>4709</v>
      </c>
      <c r="E380" s="290"/>
      <c r="F380" s="289">
        <v>2900</v>
      </c>
    </row>
    <row r="381" spans="1:6" ht="15" x14ac:dyDescent="0.3">
      <c r="A381" s="105">
        <v>45903</v>
      </c>
      <c r="B381" s="112" t="s">
        <v>4410</v>
      </c>
      <c r="C381" s="11" t="s">
        <v>2519</v>
      </c>
      <c r="D381" s="547" t="s">
        <v>4710</v>
      </c>
      <c r="E381" s="290"/>
      <c r="F381" s="289">
        <v>1803000</v>
      </c>
    </row>
    <row r="382" spans="1:6" ht="15" x14ac:dyDescent="0.3">
      <c r="A382" s="105">
        <v>45903</v>
      </c>
      <c r="B382" s="112" t="s">
        <v>4410</v>
      </c>
      <c r="C382" s="11" t="s">
        <v>2519</v>
      </c>
      <c r="D382" s="547" t="s">
        <v>4711</v>
      </c>
      <c r="E382" s="290"/>
      <c r="F382" s="289">
        <v>80000</v>
      </c>
    </row>
    <row r="383" spans="1:6" ht="15" x14ac:dyDescent="0.3">
      <c r="A383" s="105">
        <v>45903</v>
      </c>
      <c r="B383" s="112" t="s">
        <v>4410</v>
      </c>
      <c r="C383" s="11" t="s">
        <v>2519</v>
      </c>
      <c r="D383" s="547" t="s">
        <v>4712</v>
      </c>
      <c r="E383" s="290"/>
      <c r="F383" s="289">
        <v>1000000</v>
      </c>
    </row>
    <row r="384" spans="1:6" ht="15" x14ac:dyDescent="0.3">
      <c r="A384" s="105">
        <v>45903</v>
      </c>
      <c r="B384" s="112" t="s">
        <v>4410</v>
      </c>
      <c r="C384" s="11" t="s">
        <v>2519</v>
      </c>
      <c r="D384" s="547" t="s">
        <v>50</v>
      </c>
      <c r="E384" s="290"/>
      <c r="F384" s="289">
        <v>2500</v>
      </c>
    </row>
    <row r="385" spans="1:6" ht="15" x14ac:dyDescent="0.3">
      <c r="A385" s="105">
        <v>45903</v>
      </c>
      <c r="B385" s="112" t="s">
        <v>4410</v>
      </c>
      <c r="C385" s="11" t="s">
        <v>2519</v>
      </c>
      <c r="D385" s="547" t="s">
        <v>4713</v>
      </c>
      <c r="E385" s="290"/>
      <c r="F385" s="289">
        <v>68000</v>
      </c>
    </row>
    <row r="386" spans="1:6" ht="15" x14ac:dyDescent="0.3">
      <c r="A386" s="105">
        <v>45903</v>
      </c>
      <c r="B386" s="112" t="s">
        <v>4410</v>
      </c>
      <c r="C386" s="11" t="s">
        <v>2519</v>
      </c>
      <c r="D386" s="547" t="s">
        <v>50</v>
      </c>
      <c r="E386" s="290"/>
      <c r="F386" s="289">
        <v>2500</v>
      </c>
    </row>
    <row r="387" spans="1:6" ht="15" x14ac:dyDescent="0.3">
      <c r="A387" s="105">
        <v>45903</v>
      </c>
      <c r="B387" s="112" t="s">
        <v>4410</v>
      </c>
      <c r="C387" s="11" t="s">
        <v>2519</v>
      </c>
      <c r="D387" s="547" t="s">
        <v>4714</v>
      </c>
      <c r="E387" s="290"/>
      <c r="F387" s="289">
        <v>314000</v>
      </c>
    </row>
    <row r="388" spans="1:6" ht="15" x14ac:dyDescent="0.3">
      <c r="A388" s="105">
        <v>45903</v>
      </c>
      <c r="B388" s="112" t="s">
        <v>4410</v>
      </c>
      <c r="C388" s="11" t="s">
        <v>2519</v>
      </c>
      <c r="D388" s="547" t="s">
        <v>50</v>
      </c>
      <c r="E388" s="290"/>
      <c r="F388" s="289">
        <v>2500</v>
      </c>
    </row>
    <row r="389" spans="1:6" ht="15" x14ac:dyDescent="0.3">
      <c r="A389" s="105">
        <v>45903</v>
      </c>
      <c r="B389" s="112" t="s">
        <v>4410</v>
      </c>
      <c r="C389" s="11" t="s">
        <v>2519</v>
      </c>
      <c r="D389" s="547" t="s">
        <v>4715</v>
      </c>
      <c r="E389" s="290"/>
      <c r="F389" s="289">
        <v>62500</v>
      </c>
    </row>
    <row r="390" spans="1:6" ht="15" x14ac:dyDescent="0.3">
      <c r="A390" s="105">
        <v>45903</v>
      </c>
      <c r="B390" s="112" t="s">
        <v>4410</v>
      </c>
      <c r="C390" s="11" t="s">
        <v>2519</v>
      </c>
      <c r="D390" s="547" t="s">
        <v>4716</v>
      </c>
      <c r="E390" s="290"/>
      <c r="F390" s="289">
        <v>60000</v>
      </c>
    </row>
    <row r="391" spans="1:6" ht="15" x14ac:dyDescent="0.3">
      <c r="A391" s="105">
        <v>45903</v>
      </c>
      <c r="B391" s="112" t="s">
        <v>4410</v>
      </c>
      <c r="C391" s="11" t="s">
        <v>2519</v>
      </c>
      <c r="D391" s="547" t="s">
        <v>4717</v>
      </c>
      <c r="E391" s="290"/>
      <c r="F391" s="289">
        <v>66000</v>
      </c>
    </row>
    <row r="392" spans="1:6" ht="15" x14ac:dyDescent="0.3">
      <c r="A392" s="105">
        <v>45903</v>
      </c>
      <c r="B392" s="112" t="s">
        <v>4410</v>
      </c>
      <c r="C392" s="11" t="s">
        <v>2519</v>
      </c>
      <c r="D392" s="547" t="s">
        <v>50</v>
      </c>
      <c r="E392" s="290"/>
      <c r="F392" s="289">
        <v>2500</v>
      </c>
    </row>
    <row r="393" spans="1:6" ht="15" x14ac:dyDescent="0.3">
      <c r="A393" s="105">
        <v>45903</v>
      </c>
      <c r="B393" s="112" t="s">
        <v>4410</v>
      </c>
      <c r="C393" s="11" t="s">
        <v>2519</v>
      </c>
      <c r="D393" s="547" t="s">
        <v>4713</v>
      </c>
      <c r="E393" s="290"/>
      <c r="F393" s="289">
        <v>358400</v>
      </c>
    </row>
    <row r="394" spans="1:6" ht="15" x14ac:dyDescent="0.3">
      <c r="A394" s="105">
        <v>45903</v>
      </c>
      <c r="B394" s="112" t="s">
        <v>4410</v>
      </c>
      <c r="C394" s="11" t="s">
        <v>2519</v>
      </c>
      <c r="D394" s="547" t="s">
        <v>4718</v>
      </c>
      <c r="E394" s="290"/>
      <c r="F394" s="289">
        <v>500000</v>
      </c>
    </row>
    <row r="395" spans="1:6" ht="15" x14ac:dyDescent="0.3">
      <c r="A395" s="105">
        <v>45903</v>
      </c>
      <c r="B395" s="112" t="s">
        <v>4410</v>
      </c>
      <c r="C395" s="11" t="s">
        <v>2519</v>
      </c>
      <c r="D395" s="547" t="s">
        <v>50</v>
      </c>
      <c r="E395" s="290"/>
      <c r="F395" s="289">
        <v>3000</v>
      </c>
    </row>
    <row r="396" spans="1:6" ht="15" x14ac:dyDescent="0.3">
      <c r="A396" s="105">
        <v>45904</v>
      </c>
      <c r="B396" s="112" t="s">
        <v>4417</v>
      </c>
      <c r="C396" s="11" t="s">
        <v>2519</v>
      </c>
      <c r="D396" s="548" t="s">
        <v>4719</v>
      </c>
      <c r="E396" s="290"/>
      <c r="F396" s="283">
        <v>25000</v>
      </c>
    </row>
    <row r="397" spans="1:6" ht="15" x14ac:dyDescent="0.3">
      <c r="A397" s="105">
        <v>45904</v>
      </c>
      <c r="B397" s="112" t="s">
        <v>4417</v>
      </c>
      <c r="C397" s="11" t="s">
        <v>2519</v>
      </c>
      <c r="D397" s="548" t="s">
        <v>4720</v>
      </c>
      <c r="E397" s="290"/>
      <c r="F397" s="283">
        <v>50500</v>
      </c>
    </row>
    <row r="398" spans="1:6" ht="15" x14ac:dyDescent="0.3">
      <c r="A398" s="105">
        <v>45904</v>
      </c>
      <c r="B398" s="112" t="s">
        <v>4417</v>
      </c>
      <c r="C398" s="11" t="s">
        <v>2519</v>
      </c>
      <c r="D398" s="548" t="s">
        <v>4721</v>
      </c>
      <c r="E398" s="290"/>
      <c r="F398" s="283">
        <v>1002500</v>
      </c>
    </row>
    <row r="399" spans="1:6" ht="15" x14ac:dyDescent="0.3">
      <c r="A399" s="105">
        <v>45904</v>
      </c>
      <c r="B399" s="112" t="s">
        <v>4417</v>
      </c>
      <c r="C399" s="11" t="s">
        <v>2519</v>
      </c>
      <c r="D399" s="548" t="s">
        <v>4722</v>
      </c>
      <c r="E399" s="290"/>
      <c r="F399" s="283">
        <v>602500</v>
      </c>
    </row>
    <row r="400" spans="1:6" ht="15" x14ac:dyDescent="0.3">
      <c r="A400" s="105">
        <v>45904</v>
      </c>
      <c r="B400" s="112" t="s">
        <v>4417</v>
      </c>
      <c r="C400" s="11" t="s">
        <v>2519</v>
      </c>
      <c r="D400" s="548" t="s">
        <v>4723</v>
      </c>
      <c r="E400" s="290"/>
      <c r="F400" s="283">
        <v>24000</v>
      </c>
    </row>
    <row r="401" spans="1:6" ht="15" x14ac:dyDescent="0.3">
      <c r="A401" s="105">
        <v>45904</v>
      </c>
      <c r="B401" s="112" t="s">
        <v>4417</v>
      </c>
      <c r="C401" s="11" t="s">
        <v>2519</v>
      </c>
      <c r="D401" s="548" t="s">
        <v>4724</v>
      </c>
      <c r="E401" s="290"/>
      <c r="F401" s="283">
        <v>25000</v>
      </c>
    </row>
    <row r="402" spans="1:6" ht="15" x14ac:dyDescent="0.3">
      <c r="A402" s="105">
        <v>45904</v>
      </c>
      <c r="B402" s="112" t="s">
        <v>4417</v>
      </c>
      <c r="C402" s="11" t="s">
        <v>2519</v>
      </c>
      <c r="D402" s="548" t="s">
        <v>4725</v>
      </c>
      <c r="E402" s="290"/>
      <c r="F402" s="283">
        <v>102500</v>
      </c>
    </row>
    <row r="403" spans="1:6" ht="15" x14ac:dyDescent="0.3">
      <c r="A403" s="105">
        <v>45904</v>
      </c>
      <c r="B403" s="112" t="s">
        <v>4417</v>
      </c>
      <c r="C403" s="11" t="s">
        <v>2519</v>
      </c>
      <c r="D403" s="548" t="s">
        <v>4726</v>
      </c>
      <c r="E403" s="290"/>
      <c r="F403" s="283">
        <v>89100</v>
      </c>
    </row>
    <row r="404" spans="1:6" ht="15" x14ac:dyDescent="0.3">
      <c r="A404" s="105">
        <v>45904</v>
      </c>
      <c r="B404" s="112" t="s">
        <v>4417</v>
      </c>
      <c r="C404" s="11" t="s">
        <v>2519</v>
      </c>
      <c r="D404" s="548" t="s">
        <v>4720</v>
      </c>
      <c r="E404" s="290"/>
      <c r="F404" s="283">
        <v>75800</v>
      </c>
    </row>
    <row r="405" spans="1:6" ht="15" x14ac:dyDescent="0.3">
      <c r="A405" s="105">
        <v>45908</v>
      </c>
      <c r="B405" s="112" t="s">
        <v>4419</v>
      </c>
      <c r="C405" s="11" t="s">
        <v>2519</v>
      </c>
      <c r="D405" s="548" t="s">
        <v>4727</v>
      </c>
      <c r="E405" s="290"/>
      <c r="F405" s="283">
        <v>342500</v>
      </c>
    </row>
    <row r="406" spans="1:6" ht="15" x14ac:dyDescent="0.3">
      <c r="A406" s="105">
        <v>45908</v>
      </c>
      <c r="B406" s="112" t="s">
        <v>4419</v>
      </c>
      <c r="C406" s="11" t="s">
        <v>2519</v>
      </c>
      <c r="D406" s="548" t="s">
        <v>4728</v>
      </c>
      <c r="E406" s="290"/>
      <c r="F406" s="283">
        <v>142700</v>
      </c>
    </row>
    <row r="407" spans="1:6" ht="15" x14ac:dyDescent="0.3">
      <c r="A407" s="105">
        <v>45908</v>
      </c>
      <c r="B407" s="112" t="s">
        <v>4419</v>
      </c>
      <c r="C407" s="11" t="s">
        <v>2519</v>
      </c>
      <c r="D407" s="548" t="s">
        <v>4729</v>
      </c>
      <c r="E407" s="290"/>
      <c r="F407" s="283">
        <v>500000</v>
      </c>
    </row>
    <row r="408" spans="1:6" ht="15" x14ac:dyDescent="0.3">
      <c r="A408" s="105">
        <v>45908</v>
      </c>
      <c r="B408" s="112" t="s">
        <v>4419</v>
      </c>
      <c r="C408" s="11" t="s">
        <v>2519</v>
      </c>
      <c r="D408" s="548" t="s">
        <v>4730</v>
      </c>
      <c r="E408" s="290"/>
      <c r="F408" s="283">
        <v>102500</v>
      </c>
    </row>
    <row r="409" spans="1:6" ht="15" x14ac:dyDescent="0.3">
      <c r="A409" s="105">
        <v>45908</v>
      </c>
      <c r="B409" s="112" t="s">
        <v>4419</v>
      </c>
      <c r="C409" s="11" t="s">
        <v>2519</v>
      </c>
      <c r="D409" s="548" t="s">
        <v>4731</v>
      </c>
      <c r="E409" s="290"/>
      <c r="F409" s="283">
        <v>114900</v>
      </c>
    </row>
    <row r="410" spans="1:6" ht="15" x14ac:dyDescent="0.3">
      <c r="A410" s="105">
        <v>45908</v>
      </c>
      <c r="B410" s="112" t="s">
        <v>4419</v>
      </c>
      <c r="C410" s="11" t="s">
        <v>2519</v>
      </c>
      <c r="D410" s="548" t="s">
        <v>4732</v>
      </c>
      <c r="E410" s="290"/>
      <c r="F410" s="283">
        <v>36300</v>
      </c>
    </row>
    <row r="411" spans="1:6" ht="15" x14ac:dyDescent="0.3">
      <c r="A411" s="105">
        <v>45908</v>
      </c>
      <c r="B411" s="112" t="s">
        <v>4422</v>
      </c>
      <c r="C411" s="15" t="s">
        <v>2519</v>
      </c>
      <c r="D411" s="119" t="s">
        <v>4733</v>
      </c>
      <c r="E411" s="290"/>
      <c r="F411" s="285">
        <v>65000</v>
      </c>
    </row>
    <row r="412" spans="1:6" ht="15" x14ac:dyDescent="0.3">
      <c r="A412" s="105">
        <v>45908</v>
      </c>
      <c r="B412" s="112" t="s">
        <v>4422</v>
      </c>
      <c r="C412" s="15" t="s">
        <v>2519</v>
      </c>
      <c r="D412" s="119" t="s">
        <v>4734</v>
      </c>
      <c r="E412" s="290"/>
      <c r="F412" s="285">
        <v>1882300</v>
      </c>
    </row>
    <row r="413" spans="1:6" ht="15" x14ac:dyDescent="0.3">
      <c r="A413" s="105">
        <v>45908</v>
      </c>
      <c r="B413" s="112" t="s">
        <v>4422</v>
      </c>
      <c r="C413" s="15" t="s">
        <v>2519</v>
      </c>
      <c r="D413" s="119" t="s">
        <v>4735</v>
      </c>
      <c r="E413" s="290"/>
      <c r="F413" s="285">
        <v>439000</v>
      </c>
    </row>
    <row r="414" spans="1:6" ht="15" x14ac:dyDescent="0.3">
      <c r="A414" s="105">
        <v>45908</v>
      </c>
      <c r="B414" s="112" t="s">
        <v>4422</v>
      </c>
      <c r="C414" s="15" t="s">
        <v>2519</v>
      </c>
      <c r="D414" s="119" t="s">
        <v>4736</v>
      </c>
      <c r="E414" s="290"/>
      <c r="F414" s="285">
        <v>517940</v>
      </c>
    </row>
    <row r="415" spans="1:6" ht="15" x14ac:dyDescent="0.3">
      <c r="A415" s="105">
        <v>45908</v>
      </c>
      <c r="B415" s="112" t="s">
        <v>4422</v>
      </c>
      <c r="C415" s="15" t="s">
        <v>2519</v>
      </c>
      <c r="D415" s="119" t="s">
        <v>4737</v>
      </c>
      <c r="E415" s="290"/>
      <c r="F415" s="285">
        <v>2500</v>
      </c>
    </row>
    <row r="416" spans="1:6" ht="15" x14ac:dyDescent="0.3">
      <c r="A416" s="105">
        <v>45908</v>
      </c>
      <c r="B416" s="112" t="s">
        <v>4422</v>
      </c>
      <c r="C416" s="15" t="s">
        <v>2519</v>
      </c>
      <c r="D416" s="119" t="s">
        <v>4738</v>
      </c>
      <c r="E416" s="290"/>
      <c r="F416" s="285">
        <v>2800000</v>
      </c>
    </row>
    <row r="417" spans="1:6" ht="15" x14ac:dyDescent="0.3">
      <c r="A417" s="105">
        <v>45908</v>
      </c>
      <c r="B417" s="112" t="s">
        <v>4422</v>
      </c>
      <c r="C417" s="15" t="s">
        <v>2519</v>
      </c>
      <c r="D417" s="119" t="s">
        <v>105</v>
      </c>
      <c r="E417" s="290"/>
      <c r="F417" s="285">
        <v>2500</v>
      </c>
    </row>
    <row r="418" spans="1:6" ht="15" x14ac:dyDescent="0.3">
      <c r="A418" s="105">
        <v>45908</v>
      </c>
      <c r="B418" s="112" t="s">
        <v>4422</v>
      </c>
      <c r="C418" s="15" t="s">
        <v>2519</v>
      </c>
      <c r="D418" s="119" t="s">
        <v>4739</v>
      </c>
      <c r="E418" s="290"/>
      <c r="F418" s="285">
        <v>35000</v>
      </c>
    </row>
    <row r="419" spans="1:6" ht="15" x14ac:dyDescent="0.3">
      <c r="A419" s="105">
        <v>45908</v>
      </c>
      <c r="B419" s="112" t="s">
        <v>4422</v>
      </c>
      <c r="C419" s="15" t="s">
        <v>2519</v>
      </c>
      <c r="D419" s="119" t="s">
        <v>4740</v>
      </c>
      <c r="E419" s="290"/>
      <c r="F419" s="285">
        <v>127500</v>
      </c>
    </row>
    <row r="420" spans="1:6" ht="15" x14ac:dyDescent="0.3">
      <c r="A420" s="105">
        <v>45908</v>
      </c>
      <c r="B420" s="112" t="s">
        <v>4422</v>
      </c>
      <c r="C420" s="15" t="s">
        <v>2519</v>
      </c>
      <c r="D420" s="119" t="s">
        <v>4741</v>
      </c>
      <c r="E420" s="290"/>
      <c r="F420" s="285">
        <v>17000</v>
      </c>
    </row>
    <row r="421" spans="1:6" ht="15" x14ac:dyDescent="0.3">
      <c r="A421" s="105">
        <v>45908</v>
      </c>
      <c r="B421" s="112" t="s">
        <v>4422</v>
      </c>
      <c r="C421" s="15" t="s">
        <v>2519</v>
      </c>
      <c r="D421" s="119" t="s">
        <v>105</v>
      </c>
      <c r="E421" s="290"/>
      <c r="F421" s="285">
        <v>2500</v>
      </c>
    </row>
    <row r="422" spans="1:6" ht="15" x14ac:dyDescent="0.3">
      <c r="A422" s="105">
        <v>45908</v>
      </c>
      <c r="B422" s="112" t="s">
        <v>4422</v>
      </c>
      <c r="C422" s="15" t="s">
        <v>2519</v>
      </c>
      <c r="D422" s="119" t="s">
        <v>4742</v>
      </c>
      <c r="E422" s="290"/>
      <c r="F422" s="285">
        <v>50000</v>
      </c>
    </row>
    <row r="423" spans="1:6" ht="15" x14ac:dyDescent="0.3">
      <c r="A423" s="105">
        <v>45908</v>
      </c>
      <c r="B423" s="112" t="s">
        <v>4422</v>
      </c>
      <c r="C423" s="15" t="s">
        <v>2519</v>
      </c>
      <c r="D423" s="119" t="s">
        <v>4743</v>
      </c>
      <c r="E423" s="290"/>
      <c r="F423" s="285">
        <v>16000</v>
      </c>
    </row>
    <row r="424" spans="1:6" ht="15" x14ac:dyDescent="0.3">
      <c r="A424" s="105">
        <v>45908</v>
      </c>
      <c r="B424" s="112" t="s">
        <v>4422</v>
      </c>
      <c r="C424" s="15" t="s">
        <v>2519</v>
      </c>
      <c r="D424" s="119" t="s">
        <v>105</v>
      </c>
      <c r="E424" s="290"/>
      <c r="F424" s="285">
        <v>2500</v>
      </c>
    </row>
    <row r="425" spans="1:6" ht="15" x14ac:dyDescent="0.3">
      <c r="A425" s="105">
        <v>45908</v>
      </c>
      <c r="B425" s="112" t="s">
        <v>4422</v>
      </c>
      <c r="C425" s="15" t="s">
        <v>2519</v>
      </c>
      <c r="D425" s="119" t="s">
        <v>4744</v>
      </c>
      <c r="E425" s="290"/>
      <c r="F425" s="285">
        <v>2000000</v>
      </c>
    </row>
    <row r="426" spans="1:6" ht="15" x14ac:dyDescent="0.3">
      <c r="A426" s="105">
        <v>45908</v>
      </c>
      <c r="B426" s="112" t="s">
        <v>4422</v>
      </c>
      <c r="C426" s="15" t="s">
        <v>2519</v>
      </c>
      <c r="D426" s="119" t="s">
        <v>4745</v>
      </c>
      <c r="E426" s="290"/>
      <c r="F426" s="285">
        <v>23000</v>
      </c>
    </row>
    <row r="427" spans="1:6" ht="15" x14ac:dyDescent="0.3">
      <c r="A427" s="105">
        <v>45908</v>
      </c>
      <c r="B427" s="112" t="s">
        <v>4422</v>
      </c>
      <c r="C427" s="15" t="s">
        <v>2519</v>
      </c>
      <c r="D427" s="119" t="s">
        <v>105</v>
      </c>
      <c r="E427" s="290"/>
      <c r="F427" s="285">
        <v>2500</v>
      </c>
    </row>
    <row r="428" spans="1:6" ht="15" x14ac:dyDescent="0.3">
      <c r="A428" s="105">
        <v>45908</v>
      </c>
      <c r="B428" s="112" t="s">
        <v>4422</v>
      </c>
      <c r="C428" s="15" t="s">
        <v>2519</v>
      </c>
      <c r="D428" s="119" t="s">
        <v>4746</v>
      </c>
      <c r="E428" s="290"/>
      <c r="F428" s="285">
        <v>56000</v>
      </c>
    </row>
    <row r="429" spans="1:6" ht="15" x14ac:dyDescent="0.3">
      <c r="A429" s="105">
        <v>45908</v>
      </c>
      <c r="B429" s="112" t="s">
        <v>4422</v>
      </c>
      <c r="C429" s="15" t="s">
        <v>2519</v>
      </c>
      <c r="D429" s="119" t="s">
        <v>105</v>
      </c>
      <c r="E429" s="290"/>
      <c r="F429" s="285">
        <v>2500</v>
      </c>
    </row>
    <row r="430" spans="1:6" ht="15" x14ac:dyDescent="0.3">
      <c r="A430" s="105">
        <v>45908</v>
      </c>
      <c r="B430" s="112" t="s">
        <v>4427</v>
      </c>
      <c r="C430" s="15" t="s">
        <v>2519</v>
      </c>
      <c r="D430" s="546" t="s">
        <v>4747</v>
      </c>
      <c r="E430" s="290"/>
      <c r="F430" s="285">
        <v>15000</v>
      </c>
    </row>
    <row r="431" spans="1:6" ht="15" x14ac:dyDescent="0.3">
      <c r="A431" s="105">
        <v>45908</v>
      </c>
      <c r="B431" s="112" t="s">
        <v>4427</v>
      </c>
      <c r="C431" s="15" t="s">
        <v>2519</v>
      </c>
      <c r="D431" s="546" t="s">
        <v>3448</v>
      </c>
      <c r="E431" s="290"/>
      <c r="F431" s="285">
        <v>2500</v>
      </c>
    </row>
    <row r="432" spans="1:6" ht="15" x14ac:dyDescent="0.3">
      <c r="A432" s="105">
        <v>45908</v>
      </c>
      <c r="B432" s="112" t="s">
        <v>4427</v>
      </c>
      <c r="C432" s="15" t="s">
        <v>2519</v>
      </c>
      <c r="D432" s="546" t="s">
        <v>4748</v>
      </c>
      <c r="E432" s="290"/>
      <c r="F432" s="285">
        <v>22000</v>
      </c>
    </row>
    <row r="433" spans="1:6" ht="15" x14ac:dyDescent="0.3">
      <c r="A433" s="105">
        <v>45908</v>
      </c>
      <c r="B433" s="112" t="s">
        <v>4427</v>
      </c>
      <c r="C433" s="15" t="s">
        <v>2519</v>
      </c>
      <c r="D433" s="546" t="s">
        <v>4749</v>
      </c>
      <c r="E433" s="290"/>
      <c r="F433" s="285">
        <v>110500</v>
      </c>
    </row>
    <row r="434" spans="1:6" ht="15" x14ac:dyDescent="0.3">
      <c r="A434" s="105">
        <v>45908</v>
      </c>
      <c r="B434" s="112" t="s">
        <v>4427</v>
      </c>
      <c r="C434" s="15" t="s">
        <v>2519</v>
      </c>
      <c r="D434" s="546" t="s">
        <v>3448</v>
      </c>
      <c r="E434" s="290"/>
      <c r="F434" s="285">
        <v>2500</v>
      </c>
    </row>
    <row r="435" spans="1:6" ht="15" x14ac:dyDescent="0.3">
      <c r="A435" s="105">
        <v>45908</v>
      </c>
      <c r="B435" s="112" t="s">
        <v>4427</v>
      </c>
      <c r="C435" s="15" t="s">
        <v>2519</v>
      </c>
      <c r="D435" s="546" t="s">
        <v>4750</v>
      </c>
      <c r="E435" s="290"/>
      <c r="F435" s="285">
        <v>503000</v>
      </c>
    </row>
    <row r="436" spans="1:6" ht="15" x14ac:dyDescent="0.3">
      <c r="A436" s="105">
        <v>45908</v>
      </c>
      <c r="B436" s="112" t="s">
        <v>4427</v>
      </c>
      <c r="C436" s="15" t="s">
        <v>2519</v>
      </c>
      <c r="D436" s="546" t="s">
        <v>4751</v>
      </c>
      <c r="E436" s="290"/>
      <c r="F436" s="285">
        <v>126000</v>
      </c>
    </row>
    <row r="437" spans="1:6" ht="15" x14ac:dyDescent="0.3">
      <c r="A437" s="105">
        <v>45908</v>
      </c>
      <c r="B437" s="112" t="s">
        <v>4427</v>
      </c>
      <c r="C437" s="15" t="s">
        <v>2519</v>
      </c>
      <c r="D437" s="546" t="s">
        <v>3448</v>
      </c>
      <c r="E437" s="290"/>
      <c r="F437" s="285">
        <v>2500</v>
      </c>
    </row>
    <row r="438" spans="1:6" ht="15" x14ac:dyDescent="0.3">
      <c r="A438" s="105">
        <v>45909</v>
      </c>
      <c r="B438" s="112" t="s">
        <v>4752</v>
      </c>
      <c r="C438" s="11" t="s">
        <v>2519</v>
      </c>
      <c r="D438" s="546" t="s">
        <v>4243</v>
      </c>
      <c r="E438" s="290"/>
      <c r="F438" s="289">
        <v>207500</v>
      </c>
    </row>
    <row r="439" spans="1:6" ht="15" x14ac:dyDescent="0.3">
      <c r="A439" s="105">
        <v>45909</v>
      </c>
      <c r="B439" s="112" t="s">
        <v>4752</v>
      </c>
      <c r="C439" s="11" t="s">
        <v>2519</v>
      </c>
      <c r="D439" s="546" t="s">
        <v>4244</v>
      </c>
      <c r="E439" s="290"/>
      <c r="F439" s="289">
        <v>281112</v>
      </c>
    </row>
    <row r="440" spans="1:6" ht="15" x14ac:dyDescent="0.3">
      <c r="A440" s="105">
        <v>45909</v>
      </c>
      <c r="B440" s="112" t="s">
        <v>4752</v>
      </c>
      <c r="C440" s="11" t="s">
        <v>2519</v>
      </c>
      <c r="D440" s="546" t="s">
        <v>4753</v>
      </c>
      <c r="E440" s="290"/>
      <c r="F440" s="289">
        <v>182000</v>
      </c>
    </row>
    <row r="441" spans="1:6" ht="15" x14ac:dyDescent="0.3">
      <c r="A441" s="105">
        <v>45909</v>
      </c>
      <c r="B441" s="112" t="s">
        <v>4752</v>
      </c>
      <c r="C441" s="11" t="s">
        <v>2519</v>
      </c>
      <c r="D441" s="546" t="s">
        <v>4754</v>
      </c>
      <c r="E441" s="290"/>
      <c r="F441" s="289">
        <v>60000</v>
      </c>
    </row>
    <row r="442" spans="1:6" ht="15" x14ac:dyDescent="0.3">
      <c r="A442" s="105">
        <v>45909</v>
      </c>
      <c r="B442" s="112" t="s">
        <v>4436</v>
      </c>
      <c r="C442" s="11" t="s">
        <v>2519</v>
      </c>
      <c r="D442" s="122" t="s">
        <v>4755</v>
      </c>
      <c r="E442" s="290"/>
      <c r="F442" s="289">
        <v>200000</v>
      </c>
    </row>
    <row r="443" spans="1:6" ht="15" x14ac:dyDescent="0.3">
      <c r="A443" s="105">
        <v>45909</v>
      </c>
      <c r="B443" s="112" t="s">
        <v>4436</v>
      </c>
      <c r="C443" s="11" t="s">
        <v>2519</v>
      </c>
      <c r="D443" s="122" t="s">
        <v>105</v>
      </c>
      <c r="E443" s="290"/>
      <c r="F443" s="289">
        <v>2500</v>
      </c>
    </row>
    <row r="444" spans="1:6" ht="15" x14ac:dyDescent="0.3">
      <c r="A444" s="105">
        <v>45909</v>
      </c>
      <c r="B444" s="112" t="s">
        <v>4436</v>
      </c>
      <c r="C444" s="11" t="s">
        <v>2519</v>
      </c>
      <c r="D444" s="122" t="s">
        <v>4756</v>
      </c>
      <c r="E444" s="290"/>
      <c r="F444" s="289">
        <v>97000</v>
      </c>
    </row>
    <row r="445" spans="1:6" ht="15" x14ac:dyDescent="0.3">
      <c r="A445" s="105">
        <v>45909</v>
      </c>
      <c r="B445" s="112" t="s">
        <v>4436</v>
      </c>
      <c r="C445" s="11" t="s">
        <v>2519</v>
      </c>
      <c r="D445" s="122" t="s">
        <v>4757</v>
      </c>
      <c r="E445" s="290"/>
      <c r="F445" s="289">
        <v>81000</v>
      </c>
    </row>
    <row r="446" spans="1:6" ht="15" x14ac:dyDescent="0.3">
      <c r="A446" s="105">
        <v>45909</v>
      </c>
      <c r="B446" s="112" t="s">
        <v>4436</v>
      </c>
      <c r="C446" s="11" t="s">
        <v>2519</v>
      </c>
      <c r="D446" s="122" t="s">
        <v>105</v>
      </c>
      <c r="E446" s="290"/>
      <c r="F446" s="289">
        <v>2500</v>
      </c>
    </row>
    <row r="447" spans="1:6" ht="15" x14ac:dyDescent="0.3">
      <c r="A447" s="105">
        <v>45909</v>
      </c>
      <c r="B447" s="112" t="s">
        <v>4436</v>
      </c>
      <c r="C447" s="11" t="s">
        <v>2519</v>
      </c>
      <c r="D447" s="122" t="s">
        <v>4758</v>
      </c>
      <c r="E447" s="290"/>
      <c r="F447" s="289">
        <v>28000</v>
      </c>
    </row>
    <row r="448" spans="1:6" ht="15" x14ac:dyDescent="0.3">
      <c r="A448" s="105">
        <v>45909</v>
      </c>
      <c r="B448" s="112" t="s">
        <v>4436</v>
      </c>
      <c r="C448" s="11" t="s">
        <v>2519</v>
      </c>
      <c r="D448" s="122" t="s">
        <v>105</v>
      </c>
      <c r="E448" s="290"/>
      <c r="F448" s="289">
        <v>2500</v>
      </c>
    </row>
    <row r="449" spans="1:6" ht="15" x14ac:dyDescent="0.3">
      <c r="A449" s="105">
        <v>45909</v>
      </c>
      <c r="B449" s="112" t="s">
        <v>4436</v>
      </c>
      <c r="C449" s="11" t="s">
        <v>2519</v>
      </c>
      <c r="D449" s="122" t="s">
        <v>4759</v>
      </c>
      <c r="E449" s="290"/>
      <c r="F449" s="289">
        <v>1000000</v>
      </c>
    </row>
    <row r="450" spans="1:6" ht="15" x14ac:dyDescent="0.3">
      <c r="A450" s="108">
        <v>45910</v>
      </c>
      <c r="B450" s="113" t="s">
        <v>4440</v>
      </c>
      <c r="C450" s="15" t="s">
        <v>2519</v>
      </c>
      <c r="D450" s="549" t="s">
        <v>4760</v>
      </c>
      <c r="E450" s="375"/>
      <c r="F450" s="285">
        <v>626990</v>
      </c>
    </row>
    <row r="451" spans="1:6" ht="15" x14ac:dyDescent="0.3">
      <c r="A451" s="108">
        <v>45910</v>
      </c>
      <c r="B451" s="113" t="s">
        <v>4440</v>
      </c>
      <c r="C451" s="15" t="s">
        <v>2519</v>
      </c>
      <c r="D451" s="549" t="s">
        <v>4761</v>
      </c>
      <c r="E451" s="375"/>
      <c r="F451" s="285">
        <v>110000</v>
      </c>
    </row>
    <row r="452" spans="1:6" ht="15" x14ac:dyDescent="0.3">
      <c r="A452" s="108">
        <v>45910</v>
      </c>
      <c r="B452" s="113" t="s">
        <v>4440</v>
      </c>
      <c r="C452" s="15" t="s">
        <v>2519</v>
      </c>
      <c r="D452" s="549" t="s">
        <v>4762</v>
      </c>
      <c r="E452" s="375"/>
      <c r="F452" s="285">
        <v>8900</v>
      </c>
    </row>
    <row r="453" spans="1:6" ht="15" x14ac:dyDescent="0.3">
      <c r="A453" s="108">
        <v>45910</v>
      </c>
      <c r="B453" s="113" t="s">
        <v>4440</v>
      </c>
      <c r="C453" s="15" t="s">
        <v>2519</v>
      </c>
      <c r="D453" s="549" t="s">
        <v>4763</v>
      </c>
      <c r="E453" s="375"/>
      <c r="F453" s="285">
        <v>454900</v>
      </c>
    </row>
    <row r="454" spans="1:6" ht="15" x14ac:dyDescent="0.3">
      <c r="A454" s="108">
        <v>45910</v>
      </c>
      <c r="B454" s="113" t="s">
        <v>4440</v>
      </c>
      <c r="C454" s="15" t="s">
        <v>2519</v>
      </c>
      <c r="D454" s="549" t="s">
        <v>4764</v>
      </c>
      <c r="E454" s="375"/>
      <c r="F454" s="285">
        <v>47000</v>
      </c>
    </row>
    <row r="455" spans="1:6" ht="15" x14ac:dyDescent="0.3">
      <c r="A455" s="108">
        <v>45910</v>
      </c>
      <c r="B455" s="113" t="s">
        <v>4440</v>
      </c>
      <c r="C455" s="15" t="s">
        <v>2519</v>
      </c>
      <c r="D455" s="549" t="s">
        <v>4765</v>
      </c>
      <c r="E455" s="375"/>
      <c r="F455" s="285">
        <v>42000</v>
      </c>
    </row>
    <row r="456" spans="1:6" ht="15" x14ac:dyDescent="0.3">
      <c r="A456" s="108">
        <v>45910</v>
      </c>
      <c r="B456" s="113" t="s">
        <v>4440</v>
      </c>
      <c r="C456" s="15" t="s">
        <v>2519</v>
      </c>
      <c r="D456" s="549" t="s">
        <v>4766</v>
      </c>
      <c r="E456" s="375"/>
      <c r="F456" s="285">
        <v>16800</v>
      </c>
    </row>
    <row r="457" spans="1:6" ht="15" x14ac:dyDescent="0.3">
      <c r="A457" s="108">
        <v>45910</v>
      </c>
      <c r="B457" s="113" t="s">
        <v>4440</v>
      </c>
      <c r="C457" s="15" t="s">
        <v>2519</v>
      </c>
      <c r="D457" s="549" t="s">
        <v>202</v>
      </c>
      <c r="E457" s="375"/>
      <c r="F457" s="285">
        <v>5000</v>
      </c>
    </row>
    <row r="458" spans="1:6" ht="15" x14ac:dyDescent="0.3">
      <c r="A458" s="108">
        <v>45910</v>
      </c>
      <c r="B458" s="113" t="s">
        <v>4440</v>
      </c>
      <c r="C458" s="15" t="s">
        <v>2519</v>
      </c>
      <c r="D458" s="549" t="s">
        <v>4767</v>
      </c>
      <c r="E458" s="375"/>
      <c r="F458" s="285">
        <v>1289026</v>
      </c>
    </row>
    <row r="459" spans="1:6" ht="15" x14ac:dyDescent="0.3">
      <c r="A459" s="108">
        <v>45910</v>
      </c>
      <c r="B459" s="113" t="s">
        <v>4440</v>
      </c>
      <c r="C459" s="15" t="s">
        <v>2519</v>
      </c>
      <c r="D459" s="549" t="s">
        <v>202</v>
      </c>
      <c r="E459" s="375"/>
      <c r="F459" s="285">
        <v>2500</v>
      </c>
    </row>
    <row r="460" spans="1:6" ht="15" x14ac:dyDescent="0.3">
      <c r="A460" s="105">
        <v>45910</v>
      </c>
      <c r="B460" s="112" t="s">
        <v>4768</v>
      </c>
      <c r="C460" s="11" t="s">
        <v>2519</v>
      </c>
      <c r="D460" s="546" t="s">
        <v>4769</v>
      </c>
      <c r="E460" s="290"/>
      <c r="F460" s="289">
        <v>300000</v>
      </c>
    </row>
    <row r="461" spans="1:6" ht="15" x14ac:dyDescent="0.3">
      <c r="A461" s="105">
        <v>45910</v>
      </c>
      <c r="B461" s="112" t="s">
        <v>4768</v>
      </c>
      <c r="C461" s="11" t="s">
        <v>2519</v>
      </c>
      <c r="D461" s="546" t="s">
        <v>4770</v>
      </c>
      <c r="E461" s="290"/>
      <c r="F461" s="289">
        <v>25000</v>
      </c>
    </row>
    <row r="462" spans="1:6" ht="15" x14ac:dyDescent="0.3">
      <c r="A462" s="105">
        <v>45910</v>
      </c>
      <c r="B462" s="112" t="s">
        <v>4768</v>
      </c>
      <c r="C462" s="11" t="s">
        <v>2519</v>
      </c>
      <c r="D462" s="546" t="s">
        <v>4771</v>
      </c>
      <c r="E462" s="290"/>
      <c r="F462" s="289">
        <v>172000</v>
      </c>
    </row>
    <row r="463" spans="1:6" ht="15" x14ac:dyDescent="0.3">
      <c r="A463" s="105">
        <v>45910</v>
      </c>
      <c r="B463" s="112" t="s">
        <v>4768</v>
      </c>
      <c r="C463" s="11" t="s">
        <v>2519</v>
      </c>
      <c r="D463" s="546" t="s">
        <v>50</v>
      </c>
      <c r="E463" s="290"/>
      <c r="F463" s="289">
        <v>2500</v>
      </c>
    </row>
    <row r="464" spans="1:6" ht="15" x14ac:dyDescent="0.3">
      <c r="A464" s="105">
        <v>45910</v>
      </c>
      <c r="B464" s="112" t="s">
        <v>4768</v>
      </c>
      <c r="C464" s="11" t="s">
        <v>2519</v>
      </c>
      <c r="D464" s="546" t="s">
        <v>4772</v>
      </c>
      <c r="E464" s="290"/>
      <c r="F464" s="289">
        <v>100000</v>
      </c>
    </row>
    <row r="465" spans="1:6" ht="15" x14ac:dyDescent="0.3">
      <c r="A465" s="105">
        <v>45910</v>
      </c>
      <c r="B465" s="112" t="s">
        <v>4768</v>
      </c>
      <c r="C465" s="11" t="s">
        <v>2519</v>
      </c>
      <c r="D465" s="546" t="s">
        <v>4773</v>
      </c>
      <c r="E465" s="290"/>
      <c r="F465" s="289">
        <v>150000</v>
      </c>
    </row>
    <row r="466" spans="1:6" ht="15" x14ac:dyDescent="0.3">
      <c r="A466" s="105">
        <v>45910</v>
      </c>
      <c r="B466" s="112" t="s">
        <v>4768</v>
      </c>
      <c r="C466" s="11" t="s">
        <v>2519</v>
      </c>
      <c r="D466" s="546" t="s">
        <v>4774</v>
      </c>
      <c r="E466" s="290"/>
      <c r="F466" s="289">
        <v>9000000</v>
      </c>
    </row>
    <row r="467" spans="1:6" ht="15" x14ac:dyDescent="0.3">
      <c r="A467" s="105">
        <v>45910</v>
      </c>
      <c r="B467" s="112" t="s">
        <v>4768</v>
      </c>
      <c r="C467" s="11" t="s">
        <v>2519</v>
      </c>
      <c r="D467" s="546" t="s">
        <v>50</v>
      </c>
      <c r="E467" s="290"/>
      <c r="F467" s="289">
        <v>2500</v>
      </c>
    </row>
    <row r="468" spans="1:6" ht="15" x14ac:dyDescent="0.3">
      <c r="A468" s="105">
        <v>45911</v>
      </c>
      <c r="B468" s="112" t="s">
        <v>4442</v>
      </c>
      <c r="C468" s="11" t="s">
        <v>2519</v>
      </c>
      <c r="D468" s="548" t="s">
        <v>4775</v>
      </c>
      <c r="E468" s="290"/>
      <c r="F468" s="283">
        <v>100000</v>
      </c>
    </row>
    <row r="469" spans="1:6" ht="15" x14ac:dyDescent="0.3">
      <c r="A469" s="105">
        <v>45911</v>
      </c>
      <c r="B469" s="112" t="s">
        <v>4442</v>
      </c>
      <c r="C469" s="11" t="s">
        <v>2519</v>
      </c>
      <c r="D469" s="548" t="s">
        <v>4776</v>
      </c>
      <c r="E469" s="290"/>
      <c r="F469" s="283">
        <v>100000</v>
      </c>
    </row>
    <row r="470" spans="1:6" ht="15" x14ac:dyDescent="0.3">
      <c r="A470" s="105">
        <v>45911</v>
      </c>
      <c r="B470" s="112" t="s">
        <v>4442</v>
      </c>
      <c r="C470" s="11" t="s">
        <v>2519</v>
      </c>
      <c r="D470" s="548" t="s">
        <v>4375</v>
      </c>
      <c r="E470" s="290"/>
      <c r="F470" s="283">
        <v>39400</v>
      </c>
    </row>
    <row r="471" spans="1:6" ht="15" x14ac:dyDescent="0.3">
      <c r="A471" s="105">
        <v>45911</v>
      </c>
      <c r="B471" s="112" t="s">
        <v>4442</v>
      </c>
      <c r="C471" s="11" t="s">
        <v>2519</v>
      </c>
      <c r="D471" s="548" t="s">
        <v>4777</v>
      </c>
      <c r="E471" s="290"/>
      <c r="F471" s="283">
        <v>38000</v>
      </c>
    </row>
    <row r="472" spans="1:6" ht="15" x14ac:dyDescent="0.3">
      <c r="A472" s="105">
        <v>45911</v>
      </c>
      <c r="B472" s="112" t="s">
        <v>4442</v>
      </c>
      <c r="C472" s="11" t="s">
        <v>2519</v>
      </c>
      <c r="D472" s="548" t="s">
        <v>4778</v>
      </c>
      <c r="E472" s="290"/>
      <c r="F472" s="283">
        <v>47500</v>
      </c>
    </row>
    <row r="473" spans="1:6" ht="15" x14ac:dyDescent="0.3">
      <c r="A473" s="105">
        <v>45911</v>
      </c>
      <c r="B473" s="112" t="s">
        <v>4442</v>
      </c>
      <c r="C473" s="11" t="s">
        <v>2519</v>
      </c>
      <c r="D473" s="548" t="s">
        <v>4779</v>
      </c>
      <c r="E473" s="290"/>
      <c r="F473" s="283">
        <v>27000</v>
      </c>
    </row>
    <row r="474" spans="1:6" ht="15" x14ac:dyDescent="0.3">
      <c r="A474" s="105">
        <v>45911</v>
      </c>
      <c r="B474" s="112" t="s">
        <v>4442</v>
      </c>
      <c r="C474" s="11" t="s">
        <v>2519</v>
      </c>
      <c r="D474" s="548" t="s">
        <v>4780</v>
      </c>
      <c r="E474" s="290"/>
      <c r="F474" s="283">
        <v>206500</v>
      </c>
    </row>
    <row r="475" spans="1:6" ht="15" x14ac:dyDescent="0.3">
      <c r="A475" s="105">
        <v>45911</v>
      </c>
      <c r="B475" s="112" t="s">
        <v>4442</v>
      </c>
      <c r="C475" s="11" t="s">
        <v>2519</v>
      </c>
      <c r="D475" s="548" t="s">
        <v>4781</v>
      </c>
      <c r="E475" s="290"/>
      <c r="F475" s="283">
        <v>214500</v>
      </c>
    </row>
    <row r="476" spans="1:6" ht="15" x14ac:dyDescent="0.3">
      <c r="A476" s="105">
        <v>45911</v>
      </c>
      <c r="B476" s="112" t="s">
        <v>4782</v>
      </c>
      <c r="C476" s="11" t="s">
        <v>2519</v>
      </c>
      <c r="D476" s="546" t="s">
        <v>4783</v>
      </c>
      <c r="E476" s="290"/>
      <c r="F476" s="289">
        <v>6600000</v>
      </c>
    </row>
    <row r="477" spans="1:6" ht="15" x14ac:dyDescent="0.3">
      <c r="A477" s="105">
        <v>45911</v>
      </c>
      <c r="B477" s="112" t="s">
        <v>4782</v>
      </c>
      <c r="C477" s="11" t="s">
        <v>2519</v>
      </c>
      <c r="D477" s="546" t="s">
        <v>4784</v>
      </c>
      <c r="E477" s="290"/>
      <c r="F477" s="289">
        <v>726000</v>
      </c>
    </row>
    <row r="478" spans="1:6" ht="15" x14ac:dyDescent="0.3">
      <c r="A478" s="105">
        <v>45911</v>
      </c>
      <c r="B478" s="112" t="s">
        <v>4782</v>
      </c>
      <c r="C478" s="11" t="s">
        <v>2519</v>
      </c>
      <c r="D478" s="546" t="s">
        <v>4785</v>
      </c>
      <c r="E478" s="290"/>
      <c r="F478" s="289">
        <v>2900</v>
      </c>
    </row>
    <row r="479" spans="1:6" ht="15" x14ac:dyDescent="0.3">
      <c r="A479" s="105">
        <v>45911</v>
      </c>
      <c r="B479" s="112" t="s">
        <v>4786</v>
      </c>
      <c r="C479" s="11" t="s">
        <v>2519</v>
      </c>
      <c r="D479" s="546" t="s">
        <v>4787</v>
      </c>
      <c r="E479" s="290"/>
      <c r="F479" s="289">
        <v>12350000</v>
      </c>
    </row>
    <row r="480" spans="1:6" ht="15" x14ac:dyDescent="0.3">
      <c r="A480" s="105">
        <v>45911</v>
      </c>
      <c r="B480" s="112" t="s">
        <v>4786</v>
      </c>
      <c r="C480" s="11" t="s">
        <v>2519</v>
      </c>
      <c r="D480" s="546" t="s">
        <v>4788</v>
      </c>
      <c r="E480" s="290"/>
      <c r="F480" s="289">
        <v>135850</v>
      </c>
    </row>
    <row r="481" spans="1:6" ht="15" x14ac:dyDescent="0.3">
      <c r="A481" s="105">
        <v>45911</v>
      </c>
      <c r="B481" s="112" t="s">
        <v>4786</v>
      </c>
      <c r="C481" s="11" t="s">
        <v>2519</v>
      </c>
      <c r="D481" s="546" t="s">
        <v>4789</v>
      </c>
      <c r="E481" s="290"/>
      <c r="F481" s="289">
        <v>-247000</v>
      </c>
    </row>
    <row r="482" spans="1:6" ht="15" x14ac:dyDescent="0.3">
      <c r="A482" s="105">
        <v>45911</v>
      </c>
      <c r="B482" s="112" t="s">
        <v>4786</v>
      </c>
      <c r="C482" s="11" t="s">
        <v>2519</v>
      </c>
      <c r="D482" s="546" t="s">
        <v>4790</v>
      </c>
      <c r="E482" s="290"/>
      <c r="F482" s="289">
        <v>2900</v>
      </c>
    </row>
    <row r="483" spans="1:6" ht="15" x14ac:dyDescent="0.3">
      <c r="A483" s="105">
        <v>45911</v>
      </c>
      <c r="B483" s="112" t="s">
        <v>4791</v>
      </c>
      <c r="C483" s="11" t="s">
        <v>2519</v>
      </c>
      <c r="D483" s="546" t="s">
        <v>4792</v>
      </c>
      <c r="E483" s="290"/>
      <c r="F483" s="289">
        <v>7320000</v>
      </c>
    </row>
    <row r="484" spans="1:6" ht="15" x14ac:dyDescent="0.3">
      <c r="A484" s="105">
        <v>45911</v>
      </c>
      <c r="B484" s="112" t="s">
        <v>4791</v>
      </c>
      <c r="C484" s="11" t="s">
        <v>2519</v>
      </c>
      <c r="D484" s="546" t="s">
        <v>4793</v>
      </c>
      <c r="E484" s="290"/>
      <c r="F484" s="289">
        <v>805200</v>
      </c>
    </row>
    <row r="485" spans="1:6" ht="15" x14ac:dyDescent="0.3">
      <c r="A485" s="105">
        <v>45911</v>
      </c>
      <c r="B485" s="112" t="s">
        <v>4791</v>
      </c>
      <c r="C485" s="11" t="s">
        <v>2519</v>
      </c>
      <c r="D485" s="546" t="s">
        <v>4794</v>
      </c>
      <c r="E485" s="290"/>
      <c r="F485" s="289">
        <v>2900</v>
      </c>
    </row>
    <row r="486" spans="1:6" ht="15" x14ac:dyDescent="0.3">
      <c r="A486" s="105">
        <v>45911</v>
      </c>
      <c r="B486" s="112" t="s">
        <v>4795</v>
      </c>
      <c r="C486" s="11" t="s">
        <v>2519</v>
      </c>
      <c r="D486" s="546" t="s">
        <v>4796</v>
      </c>
      <c r="E486" s="290"/>
      <c r="F486" s="289">
        <v>54450000</v>
      </c>
    </row>
    <row r="487" spans="1:6" ht="15" x14ac:dyDescent="0.3">
      <c r="A487" s="105">
        <v>45911</v>
      </c>
      <c r="B487" s="112" t="s">
        <v>4795</v>
      </c>
      <c r="C487" s="11" t="s">
        <v>2519</v>
      </c>
      <c r="D487" s="546" t="s">
        <v>4797</v>
      </c>
      <c r="E487" s="290"/>
      <c r="F487" s="289">
        <v>5989500</v>
      </c>
    </row>
    <row r="488" spans="1:6" ht="15" x14ac:dyDescent="0.3">
      <c r="A488" s="105">
        <v>45911</v>
      </c>
      <c r="B488" s="112" t="s">
        <v>4795</v>
      </c>
      <c r="C488" s="11" t="s">
        <v>2519</v>
      </c>
      <c r="D488" s="546" t="s">
        <v>4798</v>
      </c>
      <c r="E488" s="290"/>
      <c r="F488" s="289">
        <v>2900</v>
      </c>
    </row>
    <row r="489" spans="1:6" ht="15" x14ac:dyDescent="0.3">
      <c r="A489" s="105">
        <v>45911</v>
      </c>
      <c r="B489" s="112" t="s">
        <v>4799</v>
      </c>
      <c r="C489" s="11" t="s">
        <v>2519</v>
      </c>
      <c r="D489" s="546" t="s">
        <v>4800</v>
      </c>
      <c r="E489" s="290"/>
      <c r="F489" s="289">
        <v>81000000</v>
      </c>
    </row>
    <row r="490" spans="1:6" ht="15" x14ac:dyDescent="0.3">
      <c r="A490" s="105">
        <v>45911</v>
      </c>
      <c r="B490" s="112" t="s">
        <v>4799</v>
      </c>
      <c r="C490" s="11" t="s">
        <v>2519</v>
      </c>
      <c r="D490" s="546" t="s">
        <v>4801</v>
      </c>
      <c r="E490" s="290"/>
      <c r="F490" s="289">
        <v>8910000</v>
      </c>
    </row>
    <row r="491" spans="1:6" ht="15" x14ac:dyDescent="0.3">
      <c r="A491" s="105">
        <v>45911</v>
      </c>
      <c r="B491" s="112" t="s">
        <v>4799</v>
      </c>
      <c r="C491" s="11" t="s">
        <v>2519</v>
      </c>
      <c r="D491" s="546" t="s">
        <v>4802</v>
      </c>
      <c r="E491" s="290"/>
      <c r="F491" s="289">
        <v>2900</v>
      </c>
    </row>
    <row r="492" spans="1:6" ht="15" x14ac:dyDescent="0.3">
      <c r="A492" s="105">
        <v>45911</v>
      </c>
      <c r="B492" s="112" t="s">
        <v>4803</v>
      </c>
      <c r="C492" s="11" t="s">
        <v>2519</v>
      </c>
      <c r="D492" s="546" t="s">
        <v>4804</v>
      </c>
      <c r="E492" s="290"/>
      <c r="F492" s="289">
        <v>467553373</v>
      </c>
    </row>
    <row r="493" spans="1:6" ht="15" x14ac:dyDescent="0.3">
      <c r="A493" s="105">
        <v>45911</v>
      </c>
      <c r="B493" s="112" t="s">
        <v>4803</v>
      </c>
      <c r="C493" s="11" t="s">
        <v>2519</v>
      </c>
      <c r="D493" s="546" t="s">
        <v>4805</v>
      </c>
      <c r="E493" s="290">
        <v>75000000</v>
      </c>
      <c r="F493" s="289"/>
    </row>
    <row r="494" spans="1:6" ht="15" x14ac:dyDescent="0.3">
      <c r="A494" s="105">
        <v>45911</v>
      </c>
      <c r="B494" s="112" t="s">
        <v>4803</v>
      </c>
      <c r="C494" s="11" t="s">
        <v>2519</v>
      </c>
      <c r="D494" s="546" t="s">
        <v>4806</v>
      </c>
      <c r="E494" s="290"/>
      <c r="F494" s="289">
        <v>-18702135</v>
      </c>
    </row>
    <row r="495" spans="1:6" ht="15" x14ac:dyDescent="0.3">
      <c r="A495" s="105">
        <v>45911</v>
      </c>
      <c r="B495" s="112" t="s">
        <v>4803</v>
      </c>
      <c r="C495" s="11" t="s">
        <v>2519</v>
      </c>
      <c r="D495" s="546" t="s">
        <v>4807</v>
      </c>
      <c r="E495" s="290">
        <v>23377669</v>
      </c>
      <c r="F495" s="289"/>
    </row>
    <row r="496" spans="1:6" ht="15" x14ac:dyDescent="0.3">
      <c r="A496" s="105">
        <v>45911</v>
      </c>
      <c r="B496" s="112" t="s">
        <v>4803</v>
      </c>
      <c r="C496" s="11" t="s">
        <v>2519</v>
      </c>
      <c r="D496" s="546" t="s">
        <v>4705</v>
      </c>
      <c r="E496" s="290"/>
      <c r="F496" s="289">
        <v>2900</v>
      </c>
    </row>
    <row r="497" spans="1:6" ht="15" x14ac:dyDescent="0.3">
      <c r="A497" s="105">
        <v>45913</v>
      </c>
      <c r="B497" s="112" t="s">
        <v>4452</v>
      </c>
      <c r="C497" s="11" t="s">
        <v>2519</v>
      </c>
      <c r="D497" s="546" t="s">
        <v>4808</v>
      </c>
      <c r="E497" s="290"/>
      <c r="F497" s="289">
        <v>14623451</v>
      </c>
    </row>
    <row r="498" spans="1:6" ht="15" x14ac:dyDescent="0.3">
      <c r="A498" s="105">
        <v>45913</v>
      </c>
      <c r="B498" s="112" t="s">
        <v>4452</v>
      </c>
      <c r="C498" s="11" t="s">
        <v>2519</v>
      </c>
      <c r="D498" s="546" t="s">
        <v>4809</v>
      </c>
      <c r="E498" s="290"/>
      <c r="F498" s="289">
        <v>8165500</v>
      </c>
    </row>
    <row r="499" spans="1:6" ht="15" x14ac:dyDescent="0.3">
      <c r="A499" s="105">
        <v>45913</v>
      </c>
      <c r="B499" s="112" t="s">
        <v>4452</v>
      </c>
      <c r="C499" s="11" t="s">
        <v>2519</v>
      </c>
      <c r="D499" s="546" t="s">
        <v>4810</v>
      </c>
      <c r="E499" s="290"/>
      <c r="F499" s="289">
        <v>8800</v>
      </c>
    </row>
    <row r="500" spans="1:6" ht="15" x14ac:dyDescent="0.3">
      <c r="A500" s="105">
        <v>45913</v>
      </c>
      <c r="B500" s="112" t="s">
        <v>4452</v>
      </c>
      <c r="C500" s="11" t="s">
        <v>2519</v>
      </c>
      <c r="D500" s="546" t="s">
        <v>4811</v>
      </c>
      <c r="E500" s="290"/>
      <c r="F500" s="289">
        <v>409125</v>
      </c>
    </row>
    <row r="501" spans="1:6" ht="15" x14ac:dyDescent="0.3">
      <c r="A501" s="105">
        <v>45914</v>
      </c>
      <c r="B501" s="112" t="s">
        <v>4454</v>
      </c>
      <c r="C501" s="11" t="s">
        <v>2519</v>
      </c>
      <c r="D501" s="122" t="s">
        <v>4812</v>
      </c>
      <c r="E501" s="290"/>
      <c r="F501" s="289">
        <v>28000</v>
      </c>
    </row>
    <row r="502" spans="1:6" ht="15" x14ac:dyDescent="0.3">
      <c r="A502" s="105">
        <v>45914</v>
      </c>
      <c r="B502" s="112" t="s">
        <v>4454</v>
      </c>
      <c r="C502" s="11" t="s">
        <v>2519</v>
      </c>
      <c r="D502" s="122" t="s">
        <v>2041</v>
      </c>
      <c r="E502" s="290"/>
      <c r="F502" s="289">
        <v>2500</v>
      </c>
    </row>
    <row r="503" spans="1:6" ht="15" x14ac:dyDescent="0.3">
      <c r="A503" s="105">
        <v>45914</v>
      </c>
      <c r="B503" s="112" t="s">
        <v>4454</v>
      </c>
      <c r="C503" s="11" t="s">
        <v>2519</v>
      </c>
      <c r="D503" s="122" t="s">
        <v>4813</v>
      </c>
      <c r="E503" s="290"/>
      <c r="F503" s="289">
        <v>200000</v>
      </c>
    </row>
    <row r="504" spans="1:6" ht="15" x14ac:dyDescent="0.3">
      <c r="A504" s="105">
        <v>45914</v>
      </c>
      <c r="B504" s="112" t="s">
        <v>4454</v>
      </c>
      <c r="C504" s="11" t="s">
        <v>2519</v>
      </c>
      <c r="D504" s="122" t="s">
        <v>4814</v>
      </c>
      <c r="E504" s="290"/>
      <c r="F504" s="289">
        <v>111900</v>
      </c>
    </row>
    <row r="505" spans="1:6" ht="15" x14ac:dyDescent="0.3">
      <c r="A505" s="105">
        <v>45914</v>
      </c>
      <c r="B505" s="112" t="s">
        <v>4454</v>
      </c>
      <c r="C505" s="11" t="s">
        <v>2519</v>
      </c>
      <c r="D505" s="122" t="s">
        <v>2041</v>
      </c>
      <c r="E505" s="290"/>
      <c r="F505" s="289">
        <v>2500</v>
      </c>
    </row>
    <row r="506" spans="1:6" ht="15" x14ac:dyDescent="0.3">
      <c r="A506" s="105">
        <v>45914</v>
      </c>
      <c r="B506" s="112" t="s">
        <v>4454</v>
      </c>
      <c r="C506" s="11" t="s">
        <v>2519</v>
      </c>
      <c r="D506" s="122" t="s">
        <v>4815</v>
      </c>
      <c r="E506" s="290"/>
      <c r="F506" s="289">
        <v>400000</v>
      </c>
    </row>
    <row r="507" spans="1:6" ht="15" x14ac:dyDescent="0.3">
      <c r="A507" s="105">
        <v>45914</v>
      </c>
      <c r="B507" s="112" t="s">
        <v>4454</v>
      </c>
      <c r="C507" s="11" t="s">
        <v>2519</v>
      </c>
      <c r="D507" s="122" t="s">
        <v>2041</v>
      </c>
      <c r="E507" s="290"/>
      <c r="F507" s="289">
        <v>2500</v>
      </c>
    </row>
    <row r="508" spans="1:6" ht="15" x14ac:dyDescent="0.3">
      <c r="A508" s="105">
        <v>45914</v>
      </c>
      <c r="B508" s="112" t="s">
        <v>4454</v>
      </c>
      <c r="C508" s="11" t="s">
        <v>2519</v>
      </c>
      <c r="D508" s="122" t="s">
        <v>4816</v>
      </c>
      <c r="E508" s="290"/>
      <c r="F508" s="289">
        <v>220000</v>
      </c>
    </row>
    <row r="509" spans="1:6" ht="15" x14ac:dyDescent="0.3">
      <c r="A509" s="105">
        <v>45914</v>
      </c>
      <c r="B509" s="112" t="s">
        <v>4454</v>
      </c>
      <c r="C509" s="11" t="s">
        <v>2519</v>
      </c>
      <c r="D509" s="122" t="s">
        <v>4817</v>
      </c>
      <c r="E509" s="290"/>
      <c r="F509" s="289">
        <v>165000</v>
      </c>
    </row>
    <row r="510" spans="1:6" ht="15" x14ac:dyDescent="0.3">
      <c r="A510" s="105">
        <v>45914</v>
      </c>
      <c r="B510" s="112" t="s">
        <v>4454</v>
      </c>
      <c r="C510" s="11" t="s">
        <v>2519</v>
      </c>
      <c r="D510" s="122" t="s">
        <v>4818</v>
      </c>
      <c r="E510" s="290"/>
      <c r="F510" s="289">
        <v>65000</v>
      </c>
    </row>
    <row r="511" spans="1:6" ht="15" x14ac:dyDescent="0.3">
      <c r="A511" s="105">
        <v>45914</v>
      </c>
      <c r="B511" s="112" t="s">
        <v>4454</v>
      </c>
      <c r="C511" s="11" t="s">
        <v>2519</v>
      </c>
      <c r="D511" s="122" t="s">
        <v>2041</v>
      </c>
      <c r="E511" s="290"/>
      <c r="F511" s="289">
        <v>2500</v>
      </c>
    </row>
    <row r="512" spans="1:6" ht="15" x14ac:dyDescent="0.3">
      <c r="A512" s="105">
        <v>45915</v>
      </c>
      <c r="B512" s="112" t="s">
        <v>4459</v>
      </c>
      <c r="C512" s="15" t="s">
        <v>2519</v>
      </c>
      <c r="D512" s="119" t="s">
        <v>4819</v>
      </c>
      <c r="E512" s="290"/>
      <c r="F512" s="285">
        <v>10500</v>
      </c>
    </row>
    <row r="513" spans="1:6" ht="15" x14ac:dyDescent="0.3">
      <c r="A513" s="105">
        <v>45915</v>
      </c>
      <c r="B513" s="112" t="s">
        <v>4459</v>
      </c>
      <c r="C513" s="15" t="s">
        <v>2519</v>
      </c>
      <c r="D513" s="119" t="s">
        <v>4820</v>
      </c>
      <c r="E513" s="290"/>
      <c r="F513" s="285">
        <v>42000</v>
      </c>
    </row>
    <row r="514" spans="1:6" ht="15" x14ac:dyDescent="0.3">
      <c r="A514" s="105">
        <v>45915</v>
      </c>
      <c r="B514" s="112" t="s">
        <v>4459</v>
      </c>
      <c r="C514" s="15" t="s">
        <v>2519</v>
      </c>
      <c r="D514" s="119" t="s">
        <v>4461</v>
      </c>
      <c r="E514" s="290"/>
      <c r="F514" s="285">
        <v>2500</v>
      </c>
    </row>
    <row r="515" spans="1:6" ht="15" x14ac:dyDescent="0.3">
      <c r="A515" s="105">
        <v>45915</v>
      </c>
      <c r="B515" s="112" t="s">
        <v>4459</v>
      </c>
      <c r="C515" s="15" t="s">
        <v>2519</v>
      </c>
      <c r="D515" s="119" t="s">
        <v>4821</v>
      </c>
      <c r="E515" s="290"/>
      <c r="F515" s="285">
        <v>150000</v>
      </c>
    </row>
    <row r="516" spans="1:6" ht="15" x14ac:dyDescent="0.3">
      <c r="A516" s="105">
        <v>45915</v>
      </c>
      <c r="B516" s="112" t="s">
        <v>4459</v>
      </c>
      <c r="C516" s="15" t="s">
        <v>2519</v>
      </c>
      <c r="D516" s="119" t="s">
        <v>4461</v>
      </c>
      <c r="E516" s="290"/>
      <c r="F516" s="285">
        <v>2500</v>
      </c>
    </row>
    <row r="517" spans="1:6" ht="15" x14ac:dyDescent="0.3">
      <c r="A517" s="105">
        <v>45915</v>
      </c>
      <c r="B517" s="112" t="s">
        <v>4462</v>
      </c>
      <c r="C517" s="11" t="s">
        <v>2519</v>
      </c>
      <c r="D517" s="548" t="s">
        <v>4822</v>
      </c>
      <c r="E517" s="290"/>
      <c r="F517" s="283">
        <v>105500</v>
      </c>
    </row>
    <row r="518" spans="1:6" ht="15" x14ac:dyDescent="0.3">
      <c r="A518" s="105">
        <v>45915</v>
      </c>
      <c r="B518" s="112" t="s">
        <v>4462</v>
      </c>
      <c r="C518" s="11" t="s">
        <v>2519</v>
      </c>
      <c r="D518" s="548" t="s">
        <v>4823</v>
      </c>
      <c r="E518" s="290"/>
      <c r="F518" s="283">
        <v>24000</v>
      </c>
    </row>
    <row r="519" spans="1:6" ht="15" x14ac:dyDescent="0.3">
      <c r="A519" s="105">
        <v>45915</v>
      </c>
      <c r="B519" s="112" t="s">
        <v>4462</v>
      </c>
      <c r="C519" s="11" t="s">
        <v>2519</v>
      </c>
      <c r="D519" s="548" t="s">
        <v>4824</v>
      </c>
      <c r="E519" s="290"/>
      <c r="F519" s="283">
        <v>22500</v>
      </c>
    </row>
    <row r="520" spans="1:6" ht="15" x14ac:dyDescent="0.3">
      <c r="A520" s="105">
        <v>45915</v>
      </c>
      <c r="B520" s="112" t="s">
        <v>4462</v>
      </c>
      <c r="C520" s="11" t="s">
        <v>2519</v>
      </c>
      <c r="D520" s="548" t="s">
        <v>4825</v>
      </c>
      <c r="E520" s="290"/>
      <c r="F520" s="283">
        <v>188000</v>
      </c>
    </row>
    <row r="521" spans="1:6" ht="15" x14ac:dyDescent="0.3">
      <c r="A521" s="105">
        <v>45915</v>
      </c>
      <c r="B521" s="112" t="s">
        <v>4462</v>
      </c>
      <c r="C521" s="11" t="s">
        <v>2519</v>
      </c>
      <c r="D521" s="548" t="s">
        <v>4826</v>
      </c>
      <c r="E521" s="290"/>
      <c r="F521" s="283">
        <v>16000</v>
      </c>
    </row>
    <row r="522" spans="1:6" ht="15" x14ac:dyDescent="0.3">
      <c r="A522" s="105">
        <v>45915</v>
      </c>
      <c r="B522" s="112" t="s">
        <v>4462</v>
      </c>
      <c r="C522" s="11" t="s">
        <v>2519</v>
      </c>
      <c r="D522" s="548" t="s">
        <v>4241</v>
      </c>
      <c r="E522" s="290"/>
      <c r="F522" s="283">
        <v>15000</v>
      </c>
    </row>
    <row r="523" spans="1:6" ht="15" x14ac:dyDescent="0.3">
      <c r="A523" s="105">
        <v>45915</v>
      </c>
      <c r="B523" s="112" t="s">
        <v>4462</v>
      </c>
      <c r="C523" s="11" t="s">
        <v>2519</v>
      </c>
      <c r="D523" s="548" t="s">
        <v>4827</v>
      </c>
      <c r="E523" s="290"/>
      <c r="F523" s="283">
        <v>121500</v>
      </c>
    </row>
    <row r="524" spans="1:6" ht="15" x14ac:dyDescent="0.3">
      <c r="A524" s="105">
        <v>45915</v>
      </c>
      <c r="B524" s="112" t="s">
        <v>4462</v>
      </c>
      <c r="C524" s="11" t="s">
        <v>2519</v>
      </c>
      <c r="D524" s="548" t="s">
        <v>4828</v>
      </c>
      <c r="E524" s="290"/>
      <c r="F524" s="283">
        <v>27500</v>
      </c>
    </row>
    <row r="525" spans="1:6" ht="15" x14ac:dyDescent="0.3">
      <c r="A525" s="105">
        <v>45916</v>
      </c>
      <c r="B525" s="112" t="s">
        <v>4465</v>
      </c>
      <c r="C525" s="11" t="s">
        <v>2519</v>
      </c>
      <c r="D525" s="122" t="s">
        <v>4829</v>
      </c>
      <c r="E525" s="290"/>
      <c r="F525" s="289">
        <v>193000</v>
      </c>
    </row>
    <row r="526" spans="1:6" ht="15" x14ac:dyDescent="0.3">
      <c r="A526" s="105">
        <v>45916</v>
      </c>
      <c r="B526" s="112" t="s">
        <v>4465</v>
      </c>
      <c r="C526" s="11" t="s">
        <v>2519</v>
      </c>
      <c r="D526" s="122" t="s">
        <v>4830</v>
      </c>
      <c r="E526" s="290"/>
      <c r="F526" s="289">
        <v>670999</v>
      </c>
    </row>
    <row r="527" spans="1:6" ht="15" x14ac:dyDescent="0.3">
      <c r="A527" s="105">
        <v>45916</v>
      </c>
      <c r="B527" s="112" t="s">
        <v>4465</v>
      </c>
      <c r="C527" s="11" t="s">
        <v>2519</v>
      </c>
      <c r="D527" s="122" t="s">
        <v>4831</v>
      </c>
      <c r="E527" s="290"/>
      <c r="F527" s="289">
        <v>3200000</v>
      </c>
    </row>
    <row r="528" spans="1:6" ht="15" x14ac:dyDescent="0.3">
      <c r="A528" s="105">
        <v>45916</v>
      </c>
      <c r="B528" s="112" t="s">
        <v>4465</v>
      </c>
      <c r="C528" s="11" t="s">
        <v>2519</v>
      </c>
      <c r="D528" s="122" t="s">
        <v>105</v>
      </c>
      <c r="E528" s="290"/>
      <c r="F528" s="289">
        <v>2500</v>
      </c>
    </row>
    <row r="529" spans="1:6" ht="15" x14ac:dyDescent="0.3">
      <c r="A529" s="105">
        <v>45916</v>
      </c>
      <c r="B529" s="112" t="s">
        <v>4465</v>
      </c>
      <c r="C529" s="11" t="s">
        <v>2519</v>
      </c>
      <c r="D529" s="122" t="s">
        <v>4832</v>
      </c>
      <c r="E529" s="290"/>
      <c r="F529" s="289">
        <v>25000</v>
      </c>
    </row>
    <row r="530" spans="1:6" ht="15" x14ac:dyDescent="0.3">
      <c r="A530" s="105">
        <v>45916</v>
      </c>
      <c r="B530" s="112" t="s">
        <v>4465</v>
      </c>
      <c r="C530" s="11" t="s">
        <v>2519</v>
      </c>
      <c r="D530" s="122" t="s">
        <v>4758</v>
      </c>
      <c r="E530" s="290"/>
      <c r="F530" s="289">
        <v>88500</v>
      </c>
    </row>
    <row r="531" spans="1:6" ht="15" x14ac:dyDescent="0.3">
      <c r="A531" s="105">
        <v>45916</v>
      </c>
      <c r="B531" s="112" t="s">
        <v>4465</v>
      </c>
      <c r="C531" s="11" t="s">
        <v>2519</v>
      </c>
      <c r="D531" s="122" t="s">
        <v>4833</v>
      </c>
      <c r="E531" s="290"/>
      <c r="F531" s="289">
        <v>16000</v>
      </c>
    </row>
    <row r="532" spans="1:6" ht="15" x14ac:dyDescent="0.3">
      <c r="A532" s="105">
        <v>45916</v>
      </c>
      <c r="B532" s="112" t="s">
        <v>4465</v>
      </c>
      <c r="C532" s="11" t="s">
        <v>2519</v>
      </c>
      <c r="D532" s="122" t="s">
        <v>105</v>
      </c>
      <c r="E532" s="290"/>
      <c r="F532" s="289">
        <v>2500</v>
      </c>
    </row>
    <row r="533" spans="1:6" ht="15" x14ac:dyDescent="0.3">
      <c r="A533" s="105">
        <v>45916</v>
      </c>
      <c r="B533" s="112" t="s">
        <v>4465</v>
      </c>
      <c r="C533" s="11" t="s">
        <v>2519</v>
      </c>
      <c r="D533" s="122" t="s">
        <v>4834</v>
      </c>
      <c r="E533" s="290"/>
      <c r="F533" s="289">
        <v>51500</v>
      </c>
    </row>
    <row r="534" spans="1:6" ht="15" x14ac:dyDescent="0.3">
      <c r="A534" s="105">
        <v>45916</v>
      </c>
      <c r="B534" s="112" t="s">
        <v>4465</v>
      </c>
      <c r="C534" s="11" t="s">
        <v>2519</v>
      </c>
      <c r="D534" s="122" t="s">
        <v>105</v>
      </c>
      <c r="E534" s="290"/>
      <c r="F534" s="289">
        <v>2500</v>
      </c>
    </row>
    <row r="535" spans="1:6" ht="15" x14ac:dyDescent="0.3">
      <c r="A535" s="105">
        <v>45916</v>
      </c>
      <c r="B535" s="112" t="s">
        <v>4465</v>
      </c>
      <c r="C535" s="11" t="s">
        <v>2519</v>
      </c>
      <c r="D535" s="122" t="s">
        <v>4835</v>
      </c>
      <c r="E535" s="290"/>
      <c r="F535" s="289">
        <v>124000</v>
      </c>
    </row>
    <row r="536" spans="1:6" ht="15" x14ac:dyDescent="0.3">
      <c r="A536" s="105">
        <v>45916</v>
      </c>
      <c r="B536" s="112" t="s">
        <v>4465</v>
      </c>
      <c r="C536" s="11" t="s">
        <v>2519</v>
      </c>
      <c r="D536" s="122" t="s">
        <v>4836</v>
      </c>
      <c r="E536" s="290"/>
      <c r="F536" s="289">
        <v>60000</v>
      </c>
    </row>
    <row r="537" spans="1:6" ht="15" x14ac:dyDescent="0.3">
      <c r="A537" s="105">
        <v>45916</v>
      </c>
      <c r="B537" s="112" t="s">
        <v>4465</v>
      </c>
      <c r="C537" s="11" t="s">
        <v>2519</v>
      </c>
      <c r="D537" s="122" t="s">
        <v>4837</v>
      </c>
      <c r="E537" s="290"/>
      <c r="F537" s="289">
        <v>107200</v>
      </c>
    </row>
    <row r="538" spans="1:6" ht="15" x14ac:dyDescent="0.3">
      <c r="A538" s="105">
        <v>45917</v>
      </c>
      <c r="B538" s="112" t="s">
        <v>4467</v>
      </c>
      <c r="C538" s="11" t="s">
        <v>2519</v>
      </c>
      <c r="D538" s="546" t="s">
        <v>4838</v>
      </c>
      <c r="E538" s="290"/>
      <c r="F538" s="289">
        <v>4720000</v>
      </c>
    </row>
    <row r="539" spans="1:6" ht="15" x14ac:dyDescent="0.3">
      <c r="A539" s="105">
        <v>45917</v>
      </c>
      <c r="B539" s="112" t="s">
        <v>4467</v>
      </c>
      <c r="C539" s="11" t="s">
        <v>2519</v>
      </c>
      <c r="D539" s="546" t="s">
        <v>4839</v>
      </c>
      <c r="E539" s="290"/>
      <c r="F539" s="289">
        <v>519200</v>
      </c>
    </row>
    <row r="540" spans="1:6" ht="15" x14ac:dyDescent="0.3">
      <c r="A540" s="105">
        <v>45917</v>
      </c>
      <c r="B540" s="112" t="s">
        <v>4467</v>
      </c>
      <c r="C540" s="11" t="s">
        <v>2519</v>
      </c>
      <c r="D540" s="546" t="s">
        <v>202</v>
      </c>
      <c r="E540" s="290"/>
      <c r="F540" s="289">
        <v>2500</v>
      </c>
    </row>
    <row r="541" spans="1:6" ht="15" x14ac:dyDescent="0.3">
      <c r="A541" s="105">
        <v>45917</v>
      </c>
      <c r="B541" s="112" t="s">
        <v>4467</v>
      </c>
      <c r="C541" s="11" t="s">
        <v>2519</v>
      </c>
      <c r="D541" s="546" t="s">
        <v>4840</v>
      </c>
      <c r="E541" s="290"/>
      <c r="F541" s="289">
        <v>125000</v>
      </c>
    </row>
    <row r="542" spans="1:6" ht="15" x14ac:dyDescent="0.3">
      <c r="A542" s="105">
        <v>45917</v>
      </c>
      <c r="B542" s="112" t="s">
        <v>4467</v>
      </c>
      <c r="C542" s="11" t="s">
        <v>2519</v>
      </c>
      <c r="D542" s="546" t="s">
        <v>4841</v>
      </c>
      <c r="E542" s="290"/>
      <c r="F542" s="289">
        <v>2000000</v>
      </c>
    </row>
    <row r="543" spans="1:6" ht="15" x14ac:dyDescent="0.3">
      <c r="A543" s="105">
        <v>45917</v>
      </c>
      <c r="B543" s="112" t="s">
        <v>4467</v>
      </c>
      <c r="C543" s="11" t="s">
        <v>2519</v>
      </c>
      <c r="D543" s="546" t="s">
        <v>202</v>
      </c>
      <c r="E543" s="290"/>
      <c r="F543" s="289">
        <v>2500</v>
      </c>
    </row>
    <row r="544" spans="1:6" ht="15" x14ac:dyDescent="0.3">
      <c r="A544" s="105">
        <v>45917</v>
      </c>
      <c r="B544" s="112" t="s">
        <v>4470</v>
      </c>
      <c r="C544" s="11" t="s">
        <v>2519</v>
      </c>
      <c r="D544" s="546" t="s">
        <v>4842</v>
      </c>
      <c r="E544" s="290"/>
      <c r="F544" s="289">
        <v>1190000</v>
      </c>
    </row>
    <row r="545" spans="1:6" ht="15" x14ac:dyDescent="0.3">
      <c r="A545" s="105">
        <v>45917</v>
      </c>
      <c r="B545" s="112" t="s">
        <v>4470</v>
      </c>
      <c r="C545" s="11" t="s">
        <v>2519</v>
      </c>
      <c r="D545" s="546" t="s">
        <v>50</v>
      </c>
      <c r="E545" s="290"/>
      <c r="F545" s="289">
        <v>2500</v>
      </c>
    </row>
    <row r="546" spans="1:6" ht="15" x14ac:dyDescent="0.3">
      <c r="A546" s="105">
        <v>45917</v>
      </c>
      <c r="B546" s="112" t="s">
        <v>4470</v>
      </c>
      <c r="C546" s="11" t="s">
        <v>2519</v>
      </c>
      <c r="D546" s="546" t="s">
        <v>4843</v>
      </c>
      <c r="E546" s="290"/>
      <c r="F546" s="289">
        <v>70000</v>
      </c>
    </row>
    <row r="547" spans="1:6" ht="15" x14ac:dyDescent="0.3">
      <c r="A547" s="105">
        <v>45917</v>
      </c>
      <c r="B547" s="112" t="s">
        <v>4470</v>
      </c>
      <c r="C547" s="11" t="s">
        <v>2519</v>
      </c>
      <c r="D547" s="546" t="s">
        <v>50</v>
      </c>
      <c r="E547" s="290"/>
      <c r="F547" s="289">
        <v>2500</v>
      </c>
    </row>
    <row r="548" spans="1:6" ht="15" x14ac:dyDescent="0.3">
      <c r="A548" s="105">
        <v>45917</v>
      </c>
      <c r="B548" s="112" t="s">
        <v>4470</v>
      </c>
      <c r="C548" s="11" t="s">
        <v>2519</v>
      </c>
      <c r="D548" s="546" t="s">
        <v>4717</v>
      </c>
      <c r="E548" s="290"/>
      <c r="F548" s="289">
        <v>15000</v>
      </c>
    </row>
    <row r="549" spans="1:6" ht="15" x14ac:dyDescent="0.3">
      <c r="A549" s="105">
        <v>45917</v>
      </c>
      <c r="B549" s="112" t="s">
        <v>4470</v>
      </c>
      <c r="C549" s="11" t="s">
        <v>2519</v>
      </c>
      <c r="D549" s="546" t="s">
        <v>4844</v>
      </c>
      <c r="E549" s="290"/>
      <c r="F549" s="289">
        <v>5000</v>
      </c>
    </row>
    <row r="550" spans="1:6" ht="15" x14ac:dyDescent="0.3">
      <c r="A550" s="105">
        <v>45917</v>
      </c>
      <c r="B550" s="112" t="s">
        <v>4470</v>
      </c>
      <c r="C550" s="11" t="s">
        <v>2519</v>
      </c>
      <c r="D550" s="546" t="s">
        <v>4845</v>
      </c>
      <c r="E550" s="290"/>
      <c r="F550" s="289">
        <v>221600</v>
      </c>
    </row>
    <row r="551" spans="1:6" ht="15" x14ac:dyDescent="0.3">
      <c r="A551" s="105">
        <v>45917</v>
      </c>
      <c r="B551" s="112" t="s">
        <v>4470</v>
      </c>
      <c r="C551" s="11" t="s">
        <v>2519</v>
      </c>
      <c r="D551" s="546" t="s">
        <v>50</v>
      </c>
      <c r="E551" s="290"/>
      <c r="F551" s="289">
        <v>2500</v>
      </c>
    </row>
    <row r="552" spans="1:6" ht="15" x14ac:dyDescent="0.3">
      <c r="A552" s="105">
        <v>45917</v>
      </c>
      <c r="B552" s="112" t="s">
        <v>4846</v>
      </c>
      <c r="C552" s="11" t="s">
        <v>2519</v>
      </c>
      <c r="D552" s="546" t="s">
        <v>4847</v>
      </c>
      <c r="E552" s="290"/>
      <c r="F552" s="289">
        <v>165024000</v>
      </c>
    </row>
    <row r="553" spans="1:6" ht="15" x14ac:dyDescent="0.3">
      <c r="A553" s="105">
        <v>45917</v>
      </c>
      <c r="B553" s="112" t="s">
        <v>4846</v>
      </c>
      <c r="C553" s="11" t="s">
        <v>2519</v>
      </c>
      <c r="D553" s="546" t="s">
        <v>4848</v>
      </c>
      <c r="E553" s="290"/>
      <c r="F553" s="289">
        <v>18152640</v>
      </c>
    </row>
    <row r="554" spans="1:6" ht="15" x14ac:dyDescent="0.3">
      <c r="A554" s="105">
        <v>45917</v>
      </c>
      <c r="B554" s="112" t="s">
        <v>4846</v>
      </c>
      <c r="C554" s="11" t="s">
        <v>2519</v>
      </c>
      <c r="D554" s="546" t="s">
        <v>4798</v>
      </c>
      <c r="E554" s="290"/>
      <c r="F554" s="289">
        <v>2900</v>
      </c>
    </row>
    <row r="555" spans="1:6" ht="15" x14ac:dyDescent="0.3">
      <c r="A555" s="105">
        <v>45918</v>
      </c>
      <c r="B555" s="112" t="s">
        <v>4849</v>
      </c>
      <c r="C555" s="11" t="s">
        <v>2519</v>
      </c>
      <c r="D555" s="122" t="s">
        <v>4850</v>
      </c>
      <c r="E555" s="290"/>
      <c r="F555" s="289">
        <v>17340000</v>
      </c>
    </row>
    <row r="556" spans="1:6" ht="15" x14ac:dyDescent="0.3">
      <c r="A556" s="105">
        <v>45918</v>
      </c>
      <c r="B556" s="112" t="s">
        <v>4849</v>
      </c>
      <c r="C556" s="11" t="s">
        <v>2519</v>
      </c>
      <c r="D556" s="122" t="s">
        <v>4851</v>
      </c>
      <c r="E556" s="290"/>
      <c r="F556" s="289">
        <v>693600</v>
      </c>
    </row>
    <row r="557" spans="1:6" ht="15" x14ac:dyDescent="0.3">
      <c r="A557" s="105">
        <v>45918</v>
      </c>
      <c r="B557" s="112" t="s">
        <v>4849</v>
      </c>
      <c r="C557" s="11" t="s">
        <v>2519</v>
      </c>
      <c r="D557" s="122" t="s">
        <v>4852</v>
      </c>
      <c r="E557" s="290"/>
      <c r="F557" s="289">
        <v>-693600</v>
      </c>
    </row>
    <row r="558" spans="1:6" ht="15" x14ac:dyDescent="0.3">
      <c r="A558" s="105">
        <v>45918</v>
      </c>
      <c r="B558" s="112" t="s">
        <v>4849</v>
      </c>
      <c r="C558" s="11" t="s">
        <v>2519</v>
      </c>
      <c r="D558" s="122" t="s">
        <v>2556</v>
      </c>
      <c r="E558" s="290"/>
      <c r="F558" s="289">
        <v>2900</v>
      </c>
    </row>
    <row r="559" spans="1:6" ht="15" x14ac:dyDescent="0.3">
      <c r="A559" s="105">
        <v>45918</v>
      </c>
      <c r="B559" s="112" t="s">
        <v>4473</v>
      </c>
      <c r="C559" s="11" t="s">
        <v>2519</v>
      </c>
      <c r="D559" s="548" t="s">
        <v>4853</v>
      </c>
      <c r="E559" s="290"/>
      <c r="F559" s="283">
        <v>38000</v>
      </c>
    </row>
    <row r="560" spans="1:6" ht="15" x14ac:dyDescent="0.3">
      <c r="A560" s="108">
        <v>45919</v>
      </c>
      <c r="B560" s="112" t="s">
        <v>4481</v>
      </c>
      <c r="C560" s="11" t="s">
        <v>2519</v>
      </c>
      <c r="D560" s="546" t="s">
        <v>4854</v>
      </c>
      <c r="E560" s="290"/>
      <c r="F560" s="289">
        <v>75000</v>
      </c>
    </row>
    <row r="561" spans="1:6" ht="15" x14ac:dyDescent="0.3">
      <c r="A561" s="108">
        <v>45919</v>
      </c>
      <c r="B561" s="112" t="s">
        <v>4481</v>
      </c>
      <c r="C561" s="11" t="s">
        <v>2519</v>
      </c>
      <c r="D561" s="546" t="s">
        <v>4461</v>
      </c>
      <c r="E561" s="290"/>
      <c r="F561" s="289">
        <v>2500</v>
      </c>
    </row>
    <row r="562" spans="1:6" ht="15" x14ac:dyDescent="0.3">
      <c r="A562" s="108">
        <v>45919</v>
      </c>
      <c r="B562" s="112" t="s">
        <v>4481</v>
      </c>
      <c r="C562" s="11" t="s">
        <v>2519</v>
      </c>
      <c r="D562" s="546" t="s">
        <v>4855</v>
      </c>
      <c r="E562" s="290"/>
      <c r="F562" s="289">
        <v>151500</v>
      </c>
    </row>
    <row r="563" spans="1:6" ht="15" x14ac:dyDescent="0.3">
      <c r="A563" s="108">
        <v>45919</v>
      </c>
      <c r="B563" s="112" t="s">
        <v>4481</v>
      </c>
      <c r="C563" s="11" t="s">
        <v>2519</v>
      </c>
      <c r="D563" s="546" t="s">
        <v>4856</v>
      </c>
      <c r="E563" s="290"/>
      <c r="F563" s="289">
        <v>135500</v>
      </c>
    </row>
    <row r="564" spans="1:6" ht="15" x14ac:dyDescent="0.3">
      <c r="A564" s="108">
        <v>45922</v>
      </c>
      <c r="B564" s="112" t="s">
        <v>4494</v>
      </c>
      <c r="C564" s="11" t="s">
        <v>2519</v>
      </c>
      <c r="D564" s="546" t="s">
        <v>4857</v>
      </c>
      <c r="E564" s="290"/>
      <c r="F564" s="289">
        <v>39600</v>
      </c>
    </row>
    <row r="565" spans="1:6" ht="15" x14ac:dyDescent="0.3">
      <c r="A565" s="108">
        <v>45922</v>
      </c>
      <c r="B565" s="112" t="s">
        <v>4494</v>
      </c>
      <c r="C565" s="11" t="s">
        <v>2519</v>
      </c>
      <c r="D565" s="546" t="s">
        <v>210</v>
      </c>
      <c r="E565" s="290"/>
      <c r="F565" s="289">
        <v>2500</v>
      </c>
    </row>
    <row r="566" spans="1:6" ht="15" x14ac:dyDescent="0.3">
      <c r="A566" s="108">
        <v>45922</v>
      </c>
      <c r="B566" s="112" t="s">
        <v>4494</v>
      </c>
      <c r="C566" s="11" t="s">
        <v>2519</v>
      </c>
      <c r="D566" s="546" t="s">
        <v>4858</v>
      </c>
      <c r="E566" s="290"/>
      <c r="F566" s="289">
        <v>258000</v>
      </c>
    </row>
    <row r="567" spans="1:6" ht="15" x14ac:dyDescent="0.3">
      <c r="A567" s="108">
        <v>45922</v>
      </c>
      <c r="B567" s="112" t="s">
        <v>4494</v>
      </c>
      <c r="C567" s="11" t="s">
        <v>2519</v>
      </c>
      <c r="D567" s="546" t="s">
        <v>210</v>
      </c>
      <c r="E567" s="290"/>
      <c r="F567" s="289">
        <v>2500</v>
      </c>
    </row>
    <row r="568" spans="1:6" ht="15" x14ac:dyDescent="0.3">
      <c r="A568" s="108">
        <v>45922</v>
      </c>
      <c r="B568" s="112" t="s">
        <v>4501</v>
      </c>
      <c r="C568" s="11" t="s">
        <v>2519</v>
      </c>
      <c r="D568" s="546" t="s">
        <v>4859</v>
      </c>
      <c r="E568" s="290"/>
      <c r="F568" s="289">
        <v>503000</v>
      </c>
    </row>
    <row r="569" spans="1:6" ht="15" x14ac:dyDescent="0.3">
      <c r="A569" s="108">
        <v>45922</v>
      </c>
      <c r="B569" s="112" t="s">
        <v>4501</v>
      </c>
      <c r="C569" s="11" t="s">
        <v>2519</v>
      </c>
      <c r="D569" s="546" t="s">
        <v>4860</v>
      </c>
      <c r="E569" s="290"/>
      <c r="F569" s="289">
        <v>2000000</v>
      </c>
    </row>
    <row r="570" spans="1:6" ht="15" x14ac:dyDescent="0.3">
      <c r="A570" s="108">
        <v>45922</v>
      </c>
      <c r="B570" s="112" t="s">
        <v>4501</v>
      </c>
      <c r="C570" s="11" t="s">
        <v>2519</v>
      </c>
      <c r="D570" s="546" t="s">
        <v>4461</v>
      </c>
      <c r="E570" s="290"/>
      <c r="F570" s="289">
        <v>2500</v>
      </c>
    </row>
    <row r="571" spans="1:6" ht="15" x14ac:dyDescent="0.3">
      <c r="A571" s="108">
        <v>45922</v>
      </c>
      <c r="B571" s="112" t="s">
        <v>4501</v>
      </c>
      <c r="C571" s="11" t="s">
        <v>2519</v>
      </c>
      <c r="D571" s="546" t="s">
        <v>4861</v>
      </c>
      <c r="E571" s="290"/>
      <c r="F571" s="289">
        <v>42000</v>
      </c>
    </row>
    <row r="572" spans="1:6" ht="15" x14ac:dyDescent="0.3">
      <c r="A572" s="108">
        <v>45922</v>
      </c>
      <c r="B572" s="112" t="s">
        <v>4501</v>
      </c>
      <c r="C572" s="11" t="s">
        <v>2519</v>
      </c>
      <c r="D572" s="546" t="s">
        <v>4862</v>
      </c>
      <c r="E572" s="290"/>
      <c r="F572" s="289">
        <v>18600</v>
      </c>
    </row>
    <row r="573" spans="1:6" ht="15" x14ac:dyDescent="0.3">
      <c r="A573" s="108">
        <v>45922</v>
      </c>
      <c r="B573" s="112" t="s">
        <v>4501</v>
      </c>
      <c r="C573" s="11" t="s">
        <v>2519</v>
      </c>
      <c r="D573" s="546" t="s">
        <v>4863</v>
      </c>
      <c r="E573" s="290"/>
      <c r="F573" s="289">
        <v>5000</v>
      </c>
    </row>
    <row r="574" spans="1:6" ht="15" x14ac:dyDescent="0.3">
      <c r="A574" s="108">
        <v>45922</v>
      </c>
      <c r="B574" s="112" t="s">
        <v>4501</v>
      </c>
      <c r="C574" s="11" t="s">
        <v>2519</v>
      </c>
      <c r="D574" s="546" t="s">
        <v>4461</v>
      </c>
      <c r="E574" s="290"/>
      <c r="F574" s="289">
        <v>2500</v>
      </c>
    </row>
    <row r="575" spans="1:6" ht="15" x14ac:dyDescent="0.3">
      <c r="A575" s="108">
        <v>45922</v>
      </c>
      <c r="B575" s="112" t="s">
        <v>4501</v>
      </c>
      <c r="C575" s="11" t="s">
        <v>2519</v>
      </c>
      <c r="D575" s="546" t="s">
        <v>4864</v>
      </c>
      <c r="E575" s="290"/>
      <c r="F575" s="289">
        <v>531372</v>
      </c>
    </row>
    <row r="576" spans="1:6" ht="15" x14ac:dyDescent="0.3">
      <c r="A576" s="105">
        <v>45923</v>
      </c>
      <c r="B576" s="112" t="s">
        <v>4504</v>
      </c>
      <c r="C576" s="11" t="s">
        <v>2519</v>
      </c>
      <c r="D576" s="122" t="s">
        <v>4865</v>
      </c>
      <c r="E576" s="290"/>
      <c r="F576" s="289">
        <v>82500</v>
      </c>
    </row>
    <row r="577" spans="1:6" ht="15" x14ac:dyDescent="0.3">
      <c r="A577" s="105">
        <v>45923</v>
      </c>
      <c r="B577" s="112" t="s">
        <v>4504</v>
      </c>
      <c r="C577" s="11" t="s">
        <v>2519</v>
      </c>
      <c r="D577" s="122" t="s">
        <v>105</v>
      </c>
      <c r="E577" s="290"/>
      <c r="F577" s="289">
        <v>2500</v>
      </c>
    </row>
    <row r="578" spans="1:6" ht="15" x14ac:dyDescent="0.3">
      <c r="A578" s="105">
        <v>45923</v>
      </c>
      <c r="B578" s="112" t="s">
        <v>4504</v>
      </c>
      <c r="C578" s="11" t="s">
        <v>2519</v>
      </c>
      <c r="D578" s="122" t="s">
        <v>4866</v>
      </c>
      <c r="E578" s="290"/>
      <c r="F578" s="289">
        <v>3333333</v>
      </c>
    </row>
    <row r="579" spans="1:6" ht="15" x14ac:dyDescent="0.3">
      <c r="A579" s="105">
        <v>45923</v>
      </c>
      <c r="B579" s="112" t="s">
        <v>4504</v>
      </c>
      <c r="C579" s="11" t="s">
        <v>2519</v>
      </c>
      <c r="D579" s="122" t="s">
        <v>4867</v>
      </c>
      <c r="E579" s="290"/>
      <c r="F579" s="289">
        <v>-333333</v>
      </c>
    </row>
    <row r="580" spans="1:6" ht="15" x14ac:dyDescent="0.3">
      <c r="A580" s="105">
        <v>45923</v>
      </c>
      <c r="B580" s="112" t="s">
        <v>4504</v>
      </c>
      <c r="C580" s="11" t="s">
        <v>2519</v>
      </c>
      <c r="D580" s="122" t="s">
        <v>105</v>
      </c>
      <c r="E580" s="290"/>
      <c r="F580" s="289">
        <v>2500</v>
      </c>
    </row>
    <row r="581" spans="1:6" ht="15" x14ac:dyDescent="0.3">
      <c r="A581" s="105">
        <v>45923</v>
      </c>
      <c r="B581" s="112" t="s">
        <v>4504</v>
      </c>
      <c r="C581" s="11" t="s">
        <v>2519</v>
      </c>
      <c r="D581" s="122" t="s">
        <v>4868</v>
      </c>
      <c r="E581" s="290"/>
      <c r="F581" s="289">
        <v>17000</v>
      </c>
    </row>
    <row r="582" spans="1:6" ht="15" x14ac:dyDescent="0.3">
      <c r="A582" s="105">
        <v>45923</v>
      </c>
      <c r="B582" s="112" t="s">
        <v>4504</v>
      </c>
      <c r="C582" s="11" t="s">
        <v>2519</v>
      </c>
      <c r="D582" s="122" t="s">
        <v>105</v>
      </c>
      <c r="E582" s="290"/>
      <c r="F582" s="289">
        <v>2500</v>
      </c>
    </row>
    <row r="583" spans="1:6" ht="15" x14ac:dyDescent="0.3">
      <c r="A583" s="105">
        <v>45923</v>
      </c>
      <c r="B583" s="112" t="s">
        <v>4504</v>
      </c>
      <c r="C583" s="11" t="s">
        <v>2519</v>
      </c>
      <c r="D583" s="122" t="s">
        <v>4869</v>
      </c>
      <c r="E583" s="290"/>
      <c r="F583" s="289">
        <v>375000</v>
      </c>
    </row>
    <row r="584" spans="1:6" ht="15" x14ac:dyDescent="0.3">
      <c r="A584" s="105">
        <v>45923</v>
      </c>
      <c r="B584" s="112" t="s">
        <v>4504</v>
      </c>
      <c r="C584" s="11" t="s">
        <v>2519</v>
      </c>
      <c r="D584" s="122" t="s">
        <v>4870</v>
      </c>
      <c r="E584" s="290"/>
      <c r="F584" s="289">
        <v>20000</v>
      </c>
    </row>
    <row r="585" spans="1:6" ht="15" x14ac:dyDescent="0.3">
      <c r="A585" s="105">
        <v>45923</v>
      </c>
      <c r="B585" s="112" t="s">
        <v>4504</v>
      </c>
      <c r="C585" s="11" t="s">
        <v>2519</v>
      </c>
      <c r="D585" s="122" t="s">
        <v>105</v>
      </c>
      <c r="E585" s="290"/>
      <c r="F585" s="289">
        <v>2500</v>
      </c>
    </row>
    <row r="586" spans="1:6" ht="15" x14ac:dyDescent="0.3">
      <c r="A586" s="105">
        <v>45923</v>
      </c>
      <c r="B586" s="112" t="s">
        <v>4504</v>
      </c>
      <c r="C586" s="11" t="s">
        <v>2519</v>
      </c>
      <c r="D586" s="122" t="s">
        <v>4871</v>
      </c>
      <c r="E586" s="290"/>
      <c r="F586" s="289">
        <v>151940</v>
      </c>
    </row>
    <row r="587" spans="1:6" ht="15" x14ac:dyDescent="0.3">
      <c r="A587" s="105">
        <v>45923</v>
      </c>
      <c r="B587" s="112" t="s">
        <v>4504</v>
      </c>
      <c r="C587" s="11" t="s">
        <v>2519</v>
      </c>
      <c r="D587" s="122" t="s">
        <v>4872</v>
      </c>
      <c r="E587" s="290"/>
      <c r="F587" s="289">
        <v>75500</v>
      </c>
    </row>
    <row r="588" spans="1:6" ht="15" x14ac:dyDescent="0.3">
      <c r="A588" s="105">
        <v>45923</v>
      </c>
      <c r="B588" s="112" t="s">
        <v>4504</v>
      </c>
      <c r="C588" s="11" t="s">
        <v>2519</v>
      </c>
      <c r="D588" s="122" t="s">
        <v>4873</v>
      </c>
      <c r="E588" s="290"/>
      <c r="F588" s="289">
        <v>20100</v>
      </c>
    </row>
    <row r="589" spans="1:6" ht="15" x14ac:dyDescent="0.3">
      <c r="A589" s="105">
        <v>45924</v>
      </c>
      <c r="B589" s="112" t="s">
        <v>4874</v>
      </c>
      <c r="C589" s="11" t="s">
        <v>2519</v>
      </c>
      <c r="D589" s="119" t="s">
        <v>4875</v>
      </c>
      <c r="E589" s="290"/>
      <c r="F589" s="289">
        <v>498006925</v>
      </c>
    </row>
    <row r="590" spans="1:6" ht="15" x14ac:dyDescent="0.3">
      <c r="A590" s="105">
        <v>45924</v>
      </c>
      <c r="B590" s="112" t="s">
        <v>4874</v>
      </c>
      <c r="C590" s="11" t="s">
        <v>2519</v>
      </c>
      <c r="D590" s="119" t="s">
        <v>4876</v>
      </c>
      <c r="E590" s="290"/>
      <c r="F590" s="289">
        <v>-24900346</v>
      </c>
    </row>
    <row r="591" spans="1:6" ht="15" x14ac:dyDescent="0.3">
      <c r="A591" s="105">
        <v>45924</v>
      </c>
      <c r="B591" s="112" t="s">
        <v>4874</v>
      </c>
      <c r="C591" s="11" t="s">
        <v>2519</v>
      </c>
      <c r="D591" s="119" t="s">
        <v>4877</v>
      </c>
      <c r="E591" s="290"/>
      <c r="F591" s="289">
        <v>-19920277</v>
      </c>
    </row>
    <row r="592" spans="1:6" ht="15" x14ac:dyDescent="0.3">
      <c r="A592" s="105">
        <v>45924</v>
      </c>
      <c r="B592" s="112" t="s">
        <v>4874</v>
      </c>
      <c r="C592" s="11" t="s">
        <v>2519</v>
      </c>
      <c r="D592" s="119" t="s">
        <v>4878</v>
      </c>
      <c r="E592" s="290"/>
      <c r="F592" s="289">
        <v>2900</v>
      </c>
    </row>
    <row r="593" spans="1:6" ht="15" x14ac:dyDescent="0.3">
      <c r="A593" s="105">
        <v>45924</v>
      </c>
      <c r="B593" s="112" t="s">
        <v>4879</v>
      </c>
      <c r="C593" s="11" t="s">
        <v>2519</v>
      </c>
      <c r="D593" s="122" t="s">
        <v>4880</v>
      </c>
      <c r="E593" s="290"/>
      <c r="F593" s="289">
        <v>54450000</v>
      </c>
    </row>
    <row r="594" spans="1:6" ht="15" x14ac:dyDescent="0.3">
      <c r="A594" s="105">
        <v>45924</v>
      </c>
      <c r="B594" s="112" t="s">
        <v>4879</v>
      </c>
      <c r="C594" s="11" t="s">
        <v>2519</v>
      </c>
      <c r="D594" s="122" t="s">
        <v>4881</v>
      </c>
      <c r="E594" s="290"/>
      <c r="F594" s="289">
        <v>5989500</v>
      </c>
    </row>
    <row r="595" spans="1:6" ht="15" x14ac:dyDescent="0.3">
      <c r="A595" s="105">
        <v>45924</v>
      </c>
      <c r="B595" s="112" t="s">
        <v>4879</v>
      </c>
      <c r="C595" s="11" t="s">
        <v>2519</v>
      </c>
      <c r="D595" s="122" t="s">
        <v>4882</v>
      </c>
      <c r="E595" s="290"/>
      <c r="F595" s="289">
        <v>2900</v>
      </c>
    </row>
    <row r="596" spans="1:6" ht="15" x14ac:dyDescent="0.3">
      <c r="A596" s="105">
        <v>45924</v>
      </c>
      <c r="B596" s="112" t="s">
        <v>4883</v>
      </c>
      <c r="C596" s="11" t="s">
        <v>2519</v>
      </c>
      <c r="D596" s="119" t="s">
        <v>4884</v>
      </c>
      <c r="E596" s="290"/>
      <c r="F596" s="289">
        <v>13500000</v>
      </c>
    </row>
    <row r="597" spans="1:6" ht="15" x14ac:dyDescent="0.3">
      <c r="A597" s="105">
        <v>45924</v>
      </c>
      <c r="B597" s="112" t="s">
        <v>4883</v>
      </c>
      <c r="C597" s="11" t="s">
        <v>4885</v>
      </c>
      <c r="D597" s="119" t="s">
        <v>4886</v>
      </c>
      <c r="E597" s="290"/>
      <c r="F597" s="289">
        <v>253000</v>
      </c>
    </row>
    <row r="598" spans="1:6" ht="15" x14ac:dyDescent="0.3">
      <c r="A598" s="105">
        <v>45924</v>
      </c>
      <c r="B598" s="112" t="s">
        <v>4883</v>
      </c>
      <c r="C598" s="11" t="s">
        <v>4885</v>
      </c>
      <c r="D598" s="119" t="s">
        <v>4887</v>
      </c>
      <c r="E598" s="290"/>
      <c r="F598" s="289">
        <v>-460000</v>
      </c>
    </row>
    <row r="599" spans="1:6" ht="15" x14ac:dyDescent="0.3">
      <c r="A599" s="105">
        <v>45924</v>
      </c>
      <c r="B599" s="112" t="s">
        <v>4888</v>
      </c>
      <c r="C599" s="11" t="s">
        <v>2519</v>
      </c>
      <c r="D599" s="122" t="s">
        <v>4889</v>
      </c>
      <c r="E599" s="290"/>
      <c r="F599" s="289">
        <v>104000</v>
      </c>
    </row>
    <row r="600" spans="1:6" ht="15" x14ac:dyDescent="0.3">
      <c r="A600" s="105">
        <v>45924</v>
      </c>
      <c r="B600" s="112" t="s">
        <v>4888</v>
      </c>
      <c r="C600" s="11" t="s">
        <v>2519</v>
      </c>
      <c r="D600" s="122" t="s">
        <v>4890</v>
      </c>
      <c r="E600" s="290"/>
      <c r="F600" s="289">
        <v>11440</v>
      </c>
    </row>
    <row r="601" spans="1:6" ht="15" x14ac:dyDescent="0.3">
      <c r="A601" s="105">
        <v>45924</v>
      </c>
      <c r="B601" s="112" t="s">
        <v>4888</v>
      </c>
      <c r="C601" s="11" t="s">
        <v>2519</v>
      </c>
      <c r="D601" s="122" t="s">
        <v>4891</v>
      </c>
      <c r="E601" s="290"/>
      <c r="F601" s="289">
        <v>2900</v>
      </c>
    </row>
    <row r="602" spans="1:6" ht="15" x14ac:dyDescent="0.3">
      <c r="A602" s="105">
        <v>45924</v>
      </c>
      <c r="B602" s="112" t="s">
        <v>4892</v>
      </c>
      <c r="C602" s="15" t="s">
        <v>2519</v>
      </c>
      <c r="D602" s="119" t="s">
        <v>4893</v>
      </c>
      <c r="E602" s="290"/>
      <c r="F602" s="289">
        <v>600000</v>
      </c>
    </row>
    <row r="603" spans="1:6" ht="15" x14ac:dyDescent="0.3">
      <c r="A603" s="105">
        <v>45924</v>
      </c>
      <c r="B603" s="112" t="s">
        <v>4892</v>
      </c>
      <c r="C603" s="15" t="s">
        <v>2519</v>
      </c>
      <c r="D603" s="119" t="s">
        <v>4894</v>
      </c>
      <c r="E603" s="290"/>
      <c r="F603" s="289">
        <v>-12000</v>
      </c>
    </row>
    <row r="604" spans="1:6" ht="15" x14ac:dyDescent="0.3">
      <c r="A604" s="105">
        <v>45924</v>
      </c>
      <c r="B604" s="112" t="s">
        <v>4892</v>
      </c>
      <c r="C604" s="15" t="s">
        <v>2519</v>
      </c>
      <c r="D604" s="119" t="s">
        <v>4895</v>
      </c>
      <c r="E604" s="290"/>
      <c r="F604" s="289">
        <v>1190000</v>
      </c>
    </row>
    <row r="605" spans="1:6" ht="15" x14ac:dyDescent="0.3">
      <c r="A605" s="105">
        <v>45924</v>
      </c>
      <c r="B605" s="112" t="s">
        <v>4892</v>
      </c>
      <c r="C605" s="15" t="s">
        <v>2519</v>
      </c>
      <c r="D605" s="119" t="s">
        <v>4896</v>
      </c>
      <c r="E605" s="290"/>
      <c r="F605" s="289">
        <v>-23800</v>
      </c>
    </row>
    <row r="606" spans="1:6" ht="15" x14ac:dyDescent="0.3">
      <c r="A606" s="105">
        <v>45924</v>
      </c>
      <c r="B606" s="112" t="s">
        <v>4508</v>
      </c>
      <c r="C606" s="15" t="s">
        <v>2519</v>
      </c>
      <c r="D606" s="118" t="s">
        <v>4897</v>
      </c>
      <c r="E606" s="290"/>
      <c r="F606" s="285">
        <v>401500</v>
      </c>
    </row>
    <row r="607" spans="1:6" ht="15" x14ac:dyDescent="0.3">
      <c r="A607" s="105">
        <v>45924</v>
      </c>
      <c r="B607" s="112" t="s">
        <v>4508</v>
      </c>
      <c r="C607" s="15" t="s">
        <v>2519</v>
      </c>
      <c r="D607" s="118" t="s">
        <v>4898</v>
      </c>
      <c r="E607" s="290"/>
      <c r="F607" s="285">
        <v>340055</v>
      </c>
    </row>
    <row r="608" spans="1:6" ht="15" x14ac:dyDescent="0.3">
      <c r="A608" s="105">
        <v>45924</v>
      </c>
      <c r="B608" s="112" t="s">
        <v>4508</v>
      </c>
      <c r="C608" s="15" t="s">
        <v>2519</v>
      </c>
      <c r="D608" s="118" t="s">
        <v>4899</v>
      </c>
      <c r="E608" s="290"/>
      <c r="F608" s="285">
        <v>89990</v>
      </c>
    </row>
    <row r="609" spans="1:6" ht="15" x14ac:dyDescent="0.3">
      <c r="A609" s="105">
        <v>45924</v>
      </c>
      <c r="B609" s="112" t="s">
        <v>4508</v>
      </c>
      <c r="C609" s="15" t="s">
        <v>2519</v>
      </c>
      <c r="D609" s="118" t="s">
        <v>4513</v>
      </c>
      <c r="E609" s="290"/>
      <c r="F609" s="285">
        <v>2500</v>
      </c>
    </row>
    <row r="610" spans="1:6" ht="15" x14ac:dyDescent="0.3">
      <c r="A610" s="105">
        <v>45926</v>
      </c>
      <c r="B610" s="112" t="s">
        <v>4900</v>
      </c>
      <c r="C610" s="11" t="s">
        <v>2519</v>
      </c>
      <c r="D610" s="122" t="s">
        <v>4901</v>
      </c>
      <c r="E610" s="290"/>
      <c r="F610" s="289">
        <v>20000</v>
      </c>
    </row>
    <row r="611" spans="1:6" ht="15" x14ac:dyDescent="0.3">
      <c r="A611" s="105">
        <v>45926</v>
      </c>
      <c r="B611" s="112" t="s">
        <v>4902</v>
      </c>
      <c r="C611" s="11" t="s">
        <v>2519</v>
      </c>
      <c r="D611" s="122" t="s">
        <v>404</v>
      </c>
      <c r="E611" s="290"/>
      <c r="F611" s="289">
        <v>497500</v>
      </c>
    </row>
    <row r="612" spans="1:6" ht="15" x14ac:dyDescent="0.3">
      <c r="A612" s="105">
        <v>45926</v>
      </c>
      <c r="B612" s="112" t="s">
        <v>4902</v>
      </c>
      <c r="C612" s="11" t="s">
        <v>2519</v>
      </c>
      <c r="D612" s="122" t="s">
        <v>405</v>
      </c>
      <c r="E612" s="290"/>
      <c r="F612" s="289">
        <v>500000</v>
      </c>
    </row>
    <row r="613" spans="1:6" ht="15" x14ac:dyDescent="0.3">
      <c r="A613" s="105">
        <v>45926</v>
      </c>
      <c r="B613" s="112" t="s">
        <v>4902</v>
      </c>
      <c r="C613" s="11" t="s">
        <v>2519</v>
      </c>
      <c r="D613" s="122" t="s">
        <v>4903</v>
      </c>
      <c r="E613" s="290"/>
      <c r="F613" s="289">
        <v>1000000</v>
      </c>
    </row>
    <row r="614" spans="1:6" ht="15" x14ac:dyDescent="0.3">
      <c r="A614" s="105">
        <v>45926</v>
      </c>
      <c r="B614" s="112" t="s">
        <v>4902</v>
      </c>
      <c r="C614" s="11" t="s">
        <v>2519</v>
      </c>
      <c r="D614" s="122" t="s">
        <v>4904</v>
      </c>
      <c r="E614" s="290"/>
      <c r="F614" s="289">
        <v>24000</v>
      </c>
    </row>
    <row r="615" spans="1:6" ht="15" x14ac:dyDescent="0.3">
      <c r="A615" s="105">
        <v>45926</v>
      </c>
      <c r="B615" s="112" t="s">
        <v>4902</v>
      </c>
      <c r="C615" s="11" t="s">
        <v>2519</v>
      </c>
      <c r="D615" s="122" t="s">
        <v>4905</v>
      </c>
      <c r="E615" s="290"/>
      <c r="F615" s="289">
        <v>546500</v>
      </c>
    </row>
    <row r="616" spans="1:6" ht="15" x14ac:dyDescent="0.3">
      <c r="A616" s="105">
        <v>45929</v>
      </c>
      <c r="B616" s="112" t="s">
        <v>4906</v>
      </c>
      <c r="C616" s="530" t="s">
        <v>2519</v>
      </c>
      <c r="D616" s="550" t="s">
        <v>4907</v>
      </c>
      <c r="E616" s="375"/>
      <c r="F616" s="283">
        <v>20000</v>
      </c>
    </row>
    <row r="617" spans="1:6" ht="15" x14ac:dyDescent="0.3">
      <c r="A617" s="105">
        <v>45929</v>
      </c>
      <c r="B617" s="112" t="s">
        <v>4906</v>
      </c>
      <c r="C617" s="530" t="s">
        <v>2519</v>
      </c>
      <c r="D617" s="550" t="s">
        <v>4908</v>
      </c>
      <c r="E617" s="375"/>
      <c r="F617" s="283">
        <v>99200</v>
      </c>
    </row>
    <row r="618" spans="1:6" ht="15" x14ac:dyDescent="0.3">
      <c r="A618" s="105">
        <v>45929</v>
      </c>
      <c r="B618" s="112" t="s">
        <v>4906</v>
      </c>
      <c r="C618" s="530" t="s">
        <v>2519</v>
      </c>
      <c r="D618" s="550" t="s">
        <v>4909</v>
      </c>
      <c r="E618" s="375"/>
      <c r="F618" s="283">
        <v>130300</v>
      </c>
    </row>
    <row r="619" spans="1:6" ht="15" x14ac:dyDescent="0.3">
      <c r="A619" s="105">
        <v>45929</v>
      </c>
      <c r="B619" s="112" t="s">
        <v>4906</v>
      </c>
      <c r="C619" s="530" t="s">
        <v>2519</v>
      </c>
      <c r="D619" s="550" t="s">
        <v>4910</v>
      </c>
      <c r="E619" s="375"/>
      <c r="F619" s="283">
        <v>37500</v>
      </c>
    </row>
    <row r="620" spans="1:6" ht="15" x14ac:dyDescent="0.3">
      <c r="A620" s="105">
        <v>45929</v>
      </c>
      <c r="B620" s="112" t="s">
        <v>4906</v>
      </c>
      <c r="C620" s="530" t="s">
        <v>2519</v>
      </c>
      <c r="D620" s="550" t="s">
        <v>4911</v>
      </c>
      <c r="E620" s="375"/>
      <c r="F620" s="283">
        <v>155500</v>
      </c>
    </row>
    <row r="621" spans="1:6" ht="15" x14ac:dyDescent="0.3">
      <c r="A621" s="105">
        <v>45929</v>
      </c>
      <c r="B621" s="112" t="s">
        <v>4906</v>
      </c>
      <c r="C621" s="530" t="s">
        <v>2519</v>
      </c>
      <c r="D621" s="550" t="s">
        <v>4912</v>
      </c>
      <c r="E621" s="375"/>
      <c r="F621" s="283">
        <v>13000</v>
      </c>
    </row>
    <row r="622" spans="1:6" ht="15" x14ac:dyDescent="0.3">
      <c r="A622" s="105">
        <v>45929</v>
      </c>
      <c r="B622" s="112" t="s">
        <v>4906</v>
      </c>
      <c r="C622" s="530" t="s">
        <v>2519</v>
      </c>
      <c r="D622" s="550" t="s">
        <v>4913</v>
      </c>
      <c r="E622" s="375"/>
      <c r="F622" s="283">
        <v>37500</v>
      </c>
    </row>
    <row r="623" spans="1:6" ht="15" x14ac:dyDescent="0.3">
      <c r="A623" s="105">
        <v>45929</v>
      </c>
      <c r="B623" s="112" t="s">
        <v>4906</v>
      </c>
      <c r="C623" s="530" t="s">
        <v>2519</v>
      </c>
      <c r="D623" s="550" t="s">
        <v>4914</v>
      </c>
      <c r="E623" s="375"/>
      <c r="F623" s="283">
        <v>74500</v>
      </c>
    </row>
    <row r="624" spans="1:6" ht="15" x14ac:dyDescent="0.3">
      <c r="A624" s="105">
        <v>45929</v>
      </c>
      <c r="B624" s="112" t="s">
        <v>4516</v>
      </c>
      <c r="C624" s="15" t="s">
        <v>2519</v>
      </c>
      <c r="D624" s="118" t="s">
        <v>4915</v>
      </c>
      <c r="E624" s="375"/>
      <c r="F624" s="285">
        <v>15000</v>
      </c>
    </row>
    <row r="625" spans="1:6" ht="15" x14ac:dyDescent="0.3">
      <c r="A625" s="105">
        <v>45929</v>
      </c>
      <c r="B625" s="112" t="s">
        <v>4516</v>
      </c>
      <c r="C625" s="15" t="s">
        <v>2519</v>
      </c>
      <c r="D625" s="118" t="s">
        <v>4519</v>
      </c>
      <c r="E625" s="375"/>
      <c r="F625" s="285">
        <v>2500</v>
      </c>
    </row>
    <row r="626" spans="1:6" ht="15" x14ac:dyDescent="0.3">
      <c r="A626" s="105">
        <v>45929</v>
      </c>
      <c r="B626" s="112" t="s">
        <v>4516</v>
      </c>
      <c r="C626" s="15" t="s">
        <v>2519</v>
      </c>
      <c r="D626" s="118" t="s">
        <v>4916</v>
      </c>
      <c r="E626" s="375"/>
      <c r="F626" s="285">
        <v>140800</v>
      </c>
    </row>
    <row r="627" spans="1:6" ht="15" x14ac:dyDescent="0.3">
      <c r="A627" s="105">
        <v>45929</v>
      </c>
      <c r="B627" s="112" t="s">
        <v>4516</v>
      </c>
      <c r="C627" s="15" t="s">
        <v>2519</v>
      </c>
      <c r="D627" s="118" t="s">
        <v>4917</v>
      </c>
      <c r="E627" s="375"/>
      <c r="F627" s="285">
        <v>30000</v>
      </c>
    </row>
    <row r="628" spans="1:6" ht="15" x14ac:dyDescent="0.3">
      <c r="A628" s="105">
        <v>45929</v>
      </c>
      <c r="B628" s="112" t="s">
        <v>4516</v>
      </c>
      <c r="C628" s="15" t="s">
        <v>2519</v>
      </c>
      <c r="D628" s="118" t="s">
        <v>4918</v>
      </c>
      <c r="E628" s="375"/>
      <c r="F628" s="285">
        <v>32000</v>
      </c>
    </row>
    <row r="629" spans="1:6" ht="15" x14ac:dyDescent="0.3">
      <c r="A629" s="105">
        <v>45929</v>
      </c>
      <c r="B629" s="112" t="s">
        <v>4516</v>
      </c>
      <c r="C629" s="15" t="s">
        <v>2519</v>
      </c>
      <c r="D629" s="118" t="s">
        <v>4519</v>
      </c>
      <c r="E629" s="375"/>
      <c r="F629" s="285">
        <v>2500</v>
      </c>
    </row>
    <row r="630" spans="1:6" ht="15" x14ac:dyDescent="0.3">
      <c r="A630" s="105">
        <v>45929</v>
      </c>
      <c r="B630" s="112" t="s">
        <v>4521</v>
      </c>
      <c r="C630" s="15" t="s">
        <v>2519</v>
      </c>
      <c r="D630" s="118" t="s">
        <v>4919</v>
      </c>
      <c r="E630" s="375"/>
      <c r="F630" s="285">
        <v>2955000</v>
      </c>
    </row>
    <row r="631" spans="1:6" ht="15" x14ac:dyDescent="0.3">
      <c r="A631" s="105">
        <v>45929</v>
      </c>
      <c r="B631" s="112" t="s">
        <v>4521</v>
      </c>
      <c r="C631" s="15" t="s">
        <v>2519</v>
      </c>
      <c r="D631" s="118" t="s">
        <v>4519</v>
      </c>
      <c r="E631" s="375"/>
      <c r="F631" s="285">
        <v>2500</v>
      </c>
    </row>
    <row r="632" spans="1:6" ht="15" x14ac:dyDescent="0.3">
      <c r="A632" s="105">
        <v>45929</v>
      </c>
      <c r="B632" s="112" t="s">
        <v>4521</v>
      </c>
      <c r="C632" s="15" t="s">
        <v>2519</v>
      </c>
      <c r="D632" s="118" t="s">
        <v>4920</v>
      </c>
      <c r="E632" s="375"/>
      <c r="F632" s="285">
        <v>107150</v>
      </c>
    </row>
    <row r="633" spans="1:6" ht="15" x14ac:dyDescent="0.3">
      <c r="A633" s="105">
        <v>45929</v>
      </c>
      <c r="B633" s="112" t="s">
        <v>4521</v>
      </c>
      <c r="C633" s="15" t="s">
        <v>2519</v>
      </c>
      <c r="D633" s="118" t="s">
        <v>4519</v>
      </c>
      <c r="E633" s="375"/>
      <c r="F633" s="285">
        <v>2500</v>
      </c>
    </row>
    <row r="634" spans="1:6" ht="15" x14ac:dyDescent="0.3">
      <c r="A634" s="105">
        <v>45929</v>
      </c>
      <c r="B634" s="112" t="s">
        <v>4521</v>
      </c>
      <c r="C634" s="15" t="s">
        <v>2519</v>
      </c>
      <c r="D634" s="118" t="s">
        <v>4921</v>
      </c>
      <c r="E634" s="375"/>
      <c r="F634" s="285">
        <v>5087400</v>
      </c>
    </row>
    <row r="635" spans="1:6" ht="15" x14ac:dyDescent="0.3">
      <c r="A635" s="105">
        <v>45929</v>
      </c>
      <c r="B635" s="112" t="s">
        <v>4521</v>
      </c>
      <c r="C635" s="15" t="s">
        <v>2519</v>
      </c>
      <c r="D635" s="118" t="s">
        <v>4921</v>
      </c>
      <c r="E635" s="375"/>
      <c r="F635" s="285">
        <v>1898400</v>
      </c>
    </row>
    <row r="636" spans="1:6" ht="15" x14ac:dyDescent="0.3">
      <c r="A636" s="105">
        <v>45929</v>
      </c>
      <c r="B636" s="112" t="s">
        <v>4521</v>
      </c>
      <c r="C636" s="15" t="s">
        <v>2519</v>
      </c>
      <c r="D636" s="118" t="s">
        <v>4922</v>
      </c>
      <c r="E636" s="375"/>
      <c r="F636" s="285">
        <v>853800</v>
      </c>
    </row>
    <row r="637" spans="1:6" ht="15" x14ac:dyDescent="0.3">
      <c r="A637" s="105">
        <v>45929</v>
      </c>
      <c r="B637" s="112" t="s">
        <v>4521</v>
      </c>
      <c r="C637" s="15" t="s">
        <v>2519</v>
      </c>
      <c r="D637" s="118" t="s">
        <v>4923</v>
      </c>
      <c r="E637" s="375"/>
      <c r="F637" s="285">
        <v>551500</v>
      </c>
    </row>
    <row r="638" spans="1:6" ht="15" x14ac:dyDescent="0.3">
      <c r="A638" s="105">
        <v>45930</v>
      </c>
      <c r="B638" s="112" t="s">
        <v>4528</v>
      </c>
      <c r="C638" s="11" t="s">
        <v>2519</v>
      </c>
      <c r="D638" s="122" t="s">
        <v>4924</v>
      </c>
      <c r="E638" s="290"/>
      <c r="F638" s="289">
        <v>169500</v>
      </c>
    </row>
    <row r="639" spans="1:6" ht="15" x14ac:dyDescent="0.3">
      <c r="A639" s="105">
        <v>45930</v>
      </c>
      <c r="B639" s="112" t="s">
        <v>4528</v>
      </c>
      <c r="C639" s="11" t="s">
        <v>2519</v>
      </c>
      <c r="D639" s="122" t="s">
        <v>3477</v>
      </c>
      <c r="E639" s="290"/>
      <c r="F639" s="289">
        <v>2500</v>
      </c>
    </row>
    <row r="640" spans="1:6" ht="15" x14ac:dyDescent="0.3">
      <c r="A640" s="105">
        <v>45930</v>
      </c>
      <c r="B640" s="112" t="s">
        <v>4925</v>
      </c>
      <c r="C640" s="11" t="s">
        <v>2519</v>
      </c>
      <c r="D640" s="118" t="s">
        <v>4926</v>
      </c>
      <c r="E640" s="290">
        <v>5087400</v>
      </c>
      <c r="F640" s="289"/>
    </row>
    <row r="641" spans="1:6" ht="15" x14ac:dyDescent="0.3">
      <c r="A641" s="105">
        <v>45930</v>
      </c>
      <c r="B641" s="112" t="s">
        <v>4925</v>
      </c>
      <c r="C641" s="11" t="s">
        <v>2519</v>
      </c>
      <c r="D641" s="118" t="s">
        <v>4926</v>
      </c>
      <c r="E641" s="290">
        <v>1898400</v>
      </c>
      <c r="F641" s="289"/>
    </row>
    <row r="642" spans="1:6" ht="15" x14ac:dyDescent="0.3">
      <c r="A642" s="221">
        <v>45942</v>
      </c>
      <c r="B642" s="391" t="s">
        <v>5137</v>
      </c>
      <c r="C642" s="531" t="s">
        <v>2519</v>
      </c>
      <c r="D642" s="363" t="s">
        <v>5138</v>
      </c>
      <c r="E642" s="559"/>
      <c r="F642" s="522">
        <v>2000000</v>
      </c>
    </row>
    <row r="643" spans="1:6" ht="15" x14ac:dyDescent="0.3">
      <c r="A643" s="534">
        <v>45950</v>
      </c>
      <c r="B643" s="391" t="s">
        <v>5139</v>
      </c>
      <c r="C643" s="531" t="s">
        <v>2519</v>
      </c>
      <c r="D643" s="539" t="s">
        <v>5140</v>
      </c>
      <c r="E643" s="453"/>
      <c r="F643" s="558">
        <v>23318400</v>
      </c>
    </row>
    <row r="644" spans="1:6" ht="15" x14ac:dyDescent="0.3">
      <c r="A644" s="534">
        <v>45950</v>
      </c>
      <c r="B644" s="391" t="s">
        <v>5139</v>
      </c>
      <c r="C644" s="531" t="s">
        <v>2519</v>
      </c>
      <c r="D644" s="539" t="s">
        <v>5141</v>
      </c>
      <c r="E644" s="559"/>
      <c r="F644" s="558">
        <v>2565024</v>
      </c>
    </row>
    <row r="645" spans="1:6" ht="15" x14ac:dyDescent="0.3">
      <c r="A645" s="534">
        <v>45950</v>
      </c>
      <c r="B645" s="391" t="s">
        <v>5139</v>
      </c>
      <c r="C645" s="531" t="s">
        <v>2519</v>
      </c>
      <c r="D645" s="539" t="s">
        <v>5142</v>
      </c>
      <c r="E645" s="559"/>
      <c r="F645" s="558">
        <v>2500</v>
      </c>
    </row>
    <row r="646" spans="1:6" ht="15" x14ac:dyDescent="0.3">
      <c r="A646" s="105">
        <v>45930</v>
      </c>
      <c r="B646" s="112" t="s">
        <v>4933</v>
      </c>
      <c r="C646" s="11" t="s">
        <v>2519</v>
      </c>
      <c r="D646" s="118" t="s">
        <v>5143</v>
      </c>
      <c r="E646" s="290"/>
      <c r="F646" s="289">
        <v>148500</v>
      </c>
    </row>
    <row r="647" spans="1:6" ht="15" x14ac:dyDescent="0.3">
      <c r="A647" s="105">
        <v>45930</v>
      </c>
      <c r="B647" s="112" t="s">
        <v>4933</v>
      </c>
      <c r="C647" s="11" t="s">
        <v>2519</v>
      </c>
      <c r="D647" s="118" t="s">
        <v>4936</v>
      </c>
      <c r="E647" s="290"/>
      <c r="F647" s="289">
        <v>2500</v>
      </c>
    </row>
    <row r="648" spans="1:6" ht="15" x14ac:dyDescent="0.3">
      <c r="A648" s="105">
        <v>45930</v>
      </c>
      <c r="B648" s="112" t="s">
        <v>4933</v>
      </c>
      <c r="C648" s="11" t="s">
        <v>2519</v>
      </c>
      <c r="D648" s="118" t="s">
        <v>5144</v>
      </c>
      <c r="E648" s="290"/>
      <c r="F648" s="289">
        <v>1058500</v>
      </c>
    </row>
    <row r="649" spans="1:6" ht="15" x14ac:dyDescent="0.3">
      <c r="A649" s="105">
        <v>45930</v>
      </c>
      <c r="B649" s="112" t="s">
        <v>4933</v>
      </c>
      <c r="C649" s="11" t="s">
        <v>2519</v>
      </c>
      <c r="D649" s="118" t="s">
        <v>5145</v>
      </c>
      <c r="E649" s="290"/>
      <c r="F649" s="289">
        <v>93400</v>
      </c>
    </row>
    <row r="650" spans="1:6" ht="15" x14ac:dyDescent="0.3">
      <c r="A650" s="105">
        <v>45930</v>
      </c>
      <c r="B650" s="112" t="s">
        <v>4933</v>
      </c>
      <c r="C650" s="11" t="s">
        <v>2519</v>
      </c>
      <c r="D650" s="118" t="s">
        <v>5146</v>
      </c>
      <c r="E650" s="290"/>
      <c r="F650" s="289">
        <v>663000</v>
      </c>
    </row>
    <row r="651" spans="1:6" ht="15" x14ac:dyDescent="0.3">
      <c r="A651" s="105">
        <v>45930</v>
      </c>
      <c r="B651" s="112" t="s">
        <v>5147</v>
      </c>
      <c r="C651" s="11" t="s">
        <v>2519</v>
      </c>
      <c r="D651" s="118" t="s">
        <v>5148</v>
      </c>
      <c r="E651" s="290"/>
      <c r="F651" s="289">
        <v>3430500</v>
      </c>
    </row>
    <row r="652" spans="1:6" ht="15" x14ac:dyDescent="0.3">
      <c r="A652" s="105">
        <v>45930</v>
      </c>
      <c r="B652" s="112" t="s">
        <v>5147</v>
      </c>
      <c r="C652" s="11" t="s">
        <v>2519</v>
      </c>
      <c r="D652" s="118" t="s">
        <v>4936</v>
      </c>
      <c r="E652" s="290"/>
      <c r="F652" s="289">
        <v>2500</v>
      </c>
    </row>
    <row r="653" spans="1:6" ht="15" x14ac:dyDescent="0.3">
      <c r="A653" s="105">
        <v>45930</v>
      </c>
      <c r="B653" s="112" t="s">
        <v>5147</v>
      </c>
      <c r="C653" s="11" t="s">
        <v>2519</v>
      </c>
      <c r="D653" s="118" t="s">
        <v>5149</v>
      </c>
      <c r="E653" s="290"/>
      <c r="F653" s="289">
        <v>180500</v>
      </c>
    </row>
    <row r="654" spans="1:6" ht="15" x14ac:dyDescent="0.3">
      <c r="A654" s="105">
        <v>45930</v>
      </c>
      <c r="B654" s="112" t="s">
        <v>5147</v>
      </c>
      <c r="C654" s="11" t="s">
        <v>2519</v>
      </c>
      <c r="D654" s="118" t="s">
        <v>5150</v>
      </c>
      <c r="E654" s="290"/>
      <c r="F654" s="289">
        <v>30000</v>
      </c>
    </row>
    <row r="655" spans="1:6" ht="15" x14ac:dyDescent="0.3">
      <c r="A655" s="105">
        <v>45930</v>
      </c>
      <c r="B655" s="112" t="s">
        <v>5147</v>
      </c>
      <c r="C655" s="11" t="s">
        <v>2519</v>
      </c>
      <c r="D655" s="118" t="s">
        <v>5151</v>
      </c>
      <c r="E655" s="290"/>
      <c r="F655" s="289">
        <v>20000</v>
      </c>
    </row>
    <row r="656" spans="1:6" ht="15" x14ac:dyDescent="0.3">
      <c r="A656" s="105">
        <v>45930</v>
      </c>
      <c r="B656" s="112" t="s">
        <v>5147</v>
      </c>
      <c r="C656" s="11" t="s">
        <v>2519</v>
      </c>
      <c r="D656" s="118" t="s">
        <v>4936</v>
      </c>
      <c r="E656" s="290"/>
      <c r="F656" s="289">
        <v>2500</v>
      </c>
    </row>
    <row r="657" spans="1:6" ht="15" x14ac:dyDescent="0.3">
      <c r="A657" s="105">
        <v>45930</v>
      </c>
      <c r="B657" s="112" t="s">
        <v>5147</v>
      </c>
      <c r="C657" s="11" t="s">
        <v>2519</v>
      </c>
      <c r="D657" s="118" t="s">
        <v>5152</v>
      </c>
      <c r="E657" s="290"/>
      <c r="F657" s="289">
        <v>239500</v>
      </c>
    </row>
    <row r="658" spans="1:6" ht="15" x14ac:dyDescent="0.3">
      <c r="A658" s="105">
        <v>45930</v>
      </c>
      <c r="B658" s="112" t="s">
        <v>5147</v>
      </c>
      <c r="C658" s="11" t="s">
        <v>2519</v>
      </c>
      <c r="D658" s="118" t="s">
        <v>5153</v>
      </c>
      <c r="E658" s="290"/>
      <c r="F658" s="289">
        <v>37500</v>
      </c>
    </row>
    <row r="659" spans="1:6" ht="15" x14ac:dyDescent="0.3">
      <c r="A659" s="105">
        <v>45930</v>
      </c>
      <c r="B659" s="112" t="s">
        <v>5147</v>
      </c>
      <c r="C659" s="11" t="s">
        <v>2519</v>
      </c>
      <c r="D659" s="118" t="s">
        <v>4936</v>
      </c>
      <c r="E659" s="290"/>
      <c r="F659" s="289">
        <v>2500</v>
      </c>
    </row>
    <row r="660" spans="1:6" ht="15" x14ac:dyDescent="0.3">
      <c r="A660" s="105">
        <v>45930</v>
      </c>
      <c r="B660" s="112" t="s">
        <v>5147</v>
      </c>
      <c r="C660" s="11" t="s">
        <v>2519</v>
      </c>
      <c r="D660" s="118" t="s">
        <v>5154</v>
      </c>
      <c r="E660" s="290"/>
      <c r="F660" s="289">
        <v>30000</v>
      </c>
    </row>
    <row r="661" spans="1:6" ht="15" x14ac:dyDescent="0.3">
      <c r="A661" s="105">
        <v>45930</v>
      </c>
      <c r="B661" s="112" t="s">
        <v>5147</v>
      </c>
      <c r="C661" s="11" t="s">
        <v>2519</v>
      </c>
      <c r="D661" s="118" t="s">
        <v>4936</v>
      </c>
      <c r="E661" s="290"/>
      <c r="F661" s="289">
        <v>2500</v>
      </c>
    </row>
    <row r="662" spans="1:6" ht="15" x14ac:dyDescent="0.3">
      <c r="A662" s="105">
        <v>45930</v>
      </c>
      <c r="B662" s="112" t="s">
        <v>5147</v>
      </c>
      <c r="C662" s="11" t="s">
        <v>2519</v>
      </c>
      <c r="D662" s="118" t="s">
        <v>5155</v>
      </c>
      <c r="E662" s="290"/>
      <c r="F662" s="289">
        <v>103000</v>
      </c>
    </row>
    <row r="663" spans="1:6" ht="15" x14ac:dyDescent="0.3">
      <c r="A663" s="105">
        <v>45930</v>
      </c>
      <c r="B663" s="112" t="s">
        <v>5147</v>
      </c>
      <c r="C663" s="11" t="s">
        <v>2519</v>
      </c>
      <c r="D663" s="118" t="s">
        <v>5156</v>
      </c>
      <c r="E663" s="290"/>
      <c r="F663" s="289">
        <v>30000</v>
      </c>
    </row>
    <row r="664" spans="1:6" ht="15" x14ac:dyDescent="0.3">
      <c r="A664" s="105">
        <v>45930</v>
      </c>
      <c r="B664" s="112" t="s">
        <v>5147</v>
      </c>
      <c r="C664" s="11" t="s">
        <v>2519</v>
      </c>
      <c r="D664" s="118" t="s">
        <v>4936</v>
      </c>
      <c r="E664" s="290"/>
      <c r="F664" s="289">
        <v>2500</v>
      </c>
    </row>
    <row r="665" spans="1:6" ht="15" x14ac:dyDescent="0.3">
      <c r="A665" s="105">
        <v>45930</v>
      </c>
      <c r="B665" s="112" t="s">
        <v>5147</v>
      </c>
      <c r="C665" s="11" t="s">
        <v>2519</v>
      </c>
      <c r="D665" s="118" t="s">
        <v>5157</v>
      </c>
      <c r="E665" s="290"/>
      <c r="F665" s="289">
        <v>56300</v>
      </c>
    </row>
    <row r="666" spans="1:6" ht="15" x14ac:dyDescent="0.3">
      <c r="A666" s="105">
        <v>45930</v>
      </c>
      <c r="B666" s="112" t="s">
        <v>5147</v>
      </c>
      <c r="C666" s="11" t="s">
        <v>2519</v>
      </c>
      <c r="D666" s="118" t="s">
        <v>4936</v>
      </c>
      <c r="E666" s="290"/>
      <c r="F666" s="289">
        <v>2500</v>
      </c>
    </row>
    <row r="667" spans="1:6" ht="15" x14ac:dyDescent="0.3">
      <c r="A667" s="105">
        <v>45930</v>
      </c>
      <c r="B667" s="112" t="s">
        <v>5147</v>
      </c>
      <c r="C667" s="11" t="s">
        <v>2519</v>
      </c>
      <c r="D667" s="118" t="s">
        <v>5158</v>
      </c>
      <c r="E667" s="290"/>
      <c r="F667" s="289">
        <v>90000</v>
      </c>
    </row>
    <row r="668" spans="1:6" ht="15" x14ac:dyDescent="0.3">
      <c r="A668" s="105">
        <v>45930</v>
      </c>
      <c r="B668" s="112" t="s">
        <v>5147</v>
      </c>
      <c r="C668" s="11" t="s">
        <v>2519</v>
      </c>
      <c r="D668" s="118" t="s">
        <v>4936</v>
      </c>
      <c r="E668" s="290"/>
      <c r="F668" s="289">
        <v>2500</v>
      </c>
    </row>
    <row r="669" spans="1:6" ht="15" x14ac:dyDescent="0.3">
      <c r="A669" s="105">
        <v>45930</v>
      </c>
      <c r="B669" s="112" t="s">
        <v>5147</v>
      </c>
      <c r="C669" s="11" t="s">
        <v>2519</v>
      </c>
      <c r="D669" s="118" t="s">
        <v>5159</v>
      </c>
      <c r="E669" s="290"/>
      <c r="F669" s="289">
        <v>66000</v>
      </c>
    </row>
    <row r="670" spans="1:6" ht="15" x14ac:dyDescent="0.3">
      <c r="A670" s="105">
        <v>45930</v>
      </c>
      <c r="B670" s="112" t="s">
        <v>5147</v>
      </c>
      <c r="C670" s="11" t="s">
        <v>2519</v>
      </c>
      <c r="D670" s="118" t="s">
        <v>4936</v>
      </c>
      <c r="E670" s="290"/>
      <c r="F670" s="289">
        <v>2500</v>
      </c>
    </row>
    <row r="671" spans="1:6" ht="15" x14ac:dyDescent="0.3">
      <c r="A671" s="105">
        <v>45931</v>
      </c>
      <c r="B671" s="112" t="s">
        <v>5108</v>
      </c>
      <c r="C671" s="11" t="s">
        <v>2519</v>
      </c>
      <c r="D671" s="122" t="s">
        <v>5160</v>
      </c>
      <c r="E671" s="290"/>
      <c r="F671" s="289">
        <v>458000</v>
      </c>
    </row>
    <row r="672" spans="1:6" ht="15" x14ac:dyDescent="0.3">
      <c r="A672" s="105">
        <v>45931</v>
      </c>
      <c r="B672" s="112" t="s">
        <v>5108</v>
      </c>
      <c r="C672" s="11" t="s">
        <v>2519</v>
      </c>
      <c r="D672" s="122" t="s">
        <v>5161</v>
      </c>
      <c r="E672" s="290"/>
      <c r="F672" s="289">
        <v>1390000</v>
      </c>
    </row>
    <row r="673" spans="1:6" ht="15" x14ac:dyDescent="0.3">
      <c r="A673" s="105">
        <v>45931</v>
      </c>
      <c r="B673" s="112" t="s">
        <v>5108</v>
      </c>
      <c r="C673" s="11" t="s">
        <v>2519</v>
      </c>
      <c r="D673" s="122" t="s">
        <v>210</v>
      </c>
      <c r="E673" s="290"/>
      <c r="F673" s="289">
        <v>2500</v>
      </c>
    </row>
    <row r="674" spans="1:6" ht="15" x14ac:dyDescent="0.3">
      <c r="A674" s="105">
        <v>45931</v>
      </c>
      <c r="B674" s="112" t="s">
        <v>5108</v>
      </c>
      <c r="C674" s="11" t="s">
        <v>2519</v>
      </c>
      <c r="D674" s="122" t="s">
        <v>5162</v>
      </c>
      <c r="E674" s="290"/>
      <c r="F674" s="289">
        <v>115000</v>
      </c>
    </row>
    <row r="675" spans="1:6" ht="15" x14ac:dyDescent="0.3">
      <c r="A675" s="105">
        <v>45931</v>
      </c>
      <c r="B675" s="112" t="s">
        <v>5108</v>
      </c>
      <c r="C675" s="11" t="s">
        <v>2519</v>
      </c>
      <c r="D675" s="122" t="s">
        <v>5163</v>
      </c>
      <c r="E675" s="290"/>
      <c r="F675" s="289">
        <v>186900</v>
      </c>
    </row>
    <row r="676" spans="1:6" ht="15" x14ac:dyDescent="0.3">
      <c r="A676" s="105">
        <v>45931</v>
      </c>
      <c r="B676" s="112" t="s">
        <v>5108</v>
      </c>
      <c r="C676" s="11" t="s">
        <v>2519</v>
      </c>
      <c r="D676" s="122" t="s">
        <v>5164</v>
      </c>
      <c r="E676" s="290"/>
      <c r="F676" s="289">
        <v>42000</v>
      </c>
    </row>
    <row r="677" spans="1:6" ht="15" x14ac:dyDescent="0.3">
      <c r="A677" s="105">
        <v>45931</v>
      </c>
      <c r="B677" s="112" t="s">
        <v>5108</v>
      </c>
      <c r="C677" s="11" t="s">
        <v>2519</v>
      </c>
      <c r="D677" s="122" t="s">
        <v>5165</v>
      </c>
      <c r="E677" s="290"/>
      <c r="F677" s="289">
        <v>162500</v>
      </c>
    </row>
    <row r="678" spans="1:6" ht="15" x14ac:dyDescent="0.3">
      <c r="A678" s="105">
        <v>45931</v>
      </c>
      <c r="B678" s="112" t="s">
        <v>5108</v>
      </c>
      <c r="C678" s="11" t="s">
        <v>2519</v>
      </c>
      <c r="D678" s="122" t="s">
        <v>5166</v>
      </c>
      <c r="E678" s="290"/>
      <c r="F678" s="289">
        <v>100000</v>
      </c>
    </row>
    <row r="679" spans="1:6" ht="15" x14ac:dyDescent="0.3">
      <c r="A679" s="105">
        <v>45931</v>
      </c>
      <c r="B679" s="112" t="s">
        <v>5108</v>
      </c>
      <c r="C679" s="11" t="s">
        <v>2519</v>
      </c>
      <c r="D679" s="122" t="s">
        <v>210</v>
      </c>
      <c r="E679" s="290"/>
      <c r="F679" s="289">
        <v>5000</v>
      </c>
    </row>
    <row r="680" spans="1:6" ht="15" x14ac:dyDescent="0.3">
      <c r="A680" s="105">
        <v>45932</v>
      </c>
      <c r="B680" s="112" t="s">
        <v>5167</v>
      </c>
      <c r="C680" s="11" t="s">
        <v>2519</v>
      </c>
      <c r="D680" s="551" t="s">
        <v>5168</v>
      </c>
      <c r="E680" s="290"/>
      <c r="F680" s="289">
        <v>1320000</v>
      </c>
    </row>
    <row r="681" spans="1:6" ht="15" x14ac:dyDescent="0.3">
      <c r="A681" s="105">
        <v>45932</v>
      </c>
      <c r="B681" s="112" t="s">
        <v>5167</v>
      </c>
      <c r="C681" s="11" t="s">
        <v>2519</v>
      </c>
      <c r="D681" s="551" t="s">
        <v>5169</v>
      </c>
      <c r="E681" s="290"/>
      <c r="F681" s="289">
        <v>72000</v>
      </c>
    </row>
    <row r="682" spans="1:6" ht="15" x14ac:dyDescent="0.3">
      <c r="A682" s="105">
        <v>45932</v>
      </c>
      <c r="B682" s="112" t="s">
        <v>5167</v>
      </c>
      <c r="C682" s="11" t="s">
        <v>2519</v>
      </c>
      <c r="D682" s="551" t="s">
        <v>5170</v>
      </c>
      <c r="E682" s="290"/>
      <c r="F682" s="289">
        <v>70000</v>
      </c>
    </row>
    <row r="683" spans="1:6" ht="15" x14ac:dyDescent="0.3">
      <c r="A683" s="105">
        <v>45932</v>
      </c>
      <c r="B683" s="112" t="s">
        <v>5167</v>
      </c>
      <c r="C683" s="11" t="s">
        <v>2519</v>
      </c>
      <c r="D683" s="551" t="s">
        <v>5171</v>
      </c>
      <c r="E683" s="290"/>
      <c r="F683" s="289">
        <v>42500</v>
      </c>
    </row>
    <row r="684" spans="1:6" ht="15" x14ac:dyDescent="0.3">
      <c r="A684" s="105">
        <v>45932</v>
      </c>
      <c r="B684" s="112" t="s">
        <v>5167</v>
      </c>
      <c r="C684" s="11" t="s">
        <v>2519</v>
      </c>
      <c r="D684" s="551" t="s">
        <v>5172</v>
      </c>
      <c r="E684" s="290"/>
      <c r="F684" s="289">
        <v>51000</v>
      </c>
    </row>
    <row r="685" spans="1:6" ht="15" x14ac:dyDescent="0.3">
      <c r="A685" s="105">
        <v>45935</v>
      </c>
      <c r="B685" s="112" t="s">
        <v>5173</v>
      </c>
      <c r="C685" s="11" t="s">
        <v>2519</v>
      </c>
      <c r="D685" s="122" t="s">
        <v>5174</v>
      </c>
      <c r="E685" s="290"/>
      <c r="F685" s="289">
        <v>1650000</v>
      </c>
    </row>
    <row r="686" spans="1:6" ht="15" x14ac:dyDescent="0.3">
      <c r="A686" s="105">
        <v>45935</v>
      </c>
      <c r="B686" s="112" t="s">
        <v>5173</v>
      </c>
      <c r="C686" s="11" t="s">
        <v>2519</v>
      </c>
      <c r="D686" s="122" t="s">
        <v>5175</v>
      </c>
      <c r="E686" s="290"/>
      <c r="F686" s="289">
        <v>426325</v>
      </c>
    </row>
    <row r="687" spans="1:6" ht="15" x14ac:dyDescent="0.3">
      <c r="A687" s="105">
        <v>45935</v>
      </c>
      <c r="B687" s="112" t="s">
        <v>5173</v>
      </c>
      <c r="C687" s="11" t="s">
        <v>2519</v>
      </c>
      <c r="D687" s="122" t="s">
        <v>3477</v>
      </c>
      <c r="E687" s="290"/>
      <c r="F687" s="289">
        <v>2500</v>
      </c>
    </row>
    <row r="688" spans="1:6" ht="15" x14ac:dyDescent="0.3">
      <c r="A688" s="105">
        <v>45935</v>
      </c>
      <c r="B688" s="112" t="s">
        <v>5173</v>
      </c>
      <c r="C688" s="11" t="s">
        <v>2519</v>
      </c>
      <c r="D688" s="122" t="s">
        <v>5176</v>
      </c>
      <c r="E688" s="290"/>
      <c r="F688" s="289">
        <v>138800</v>
      </c>
    </row>
    <row r="689" spans="1:6" ht="15" x14ac:dyDescent="0.3">
      <c r="A689" s="105">
        <v>45935</v>
      </c>
      <c r="B689" s="112" t="s">
        <v>5173</v>
      </c>
      <c r="C689" s="11" t="s">
        <v>2519</v>
      </c>
      <c r="D689" s="122" t="s">
        <v>5177</v>
      </c>
      <c r="E689" s="290"/>
      <c r="F689" s="289">
        <v>64000</v>
      </c>
    </row>
    <row r="690" spans="1:6" ht="15" x14ac:dyDescent="0.3">
      <c r="A690" s="105">
        <v>45935</v>
      </c>
      <c r="B690" s="112" t="s">
        <v>5173</v>
      </c>
      <c r="C690" s="11" t="s">
        <v>2519</v>
      </c>
      <c r="D690" s="122" t="s">
        <v>3477</v>
      </c>
      <c r="E690" s="290"/>
      <c r="F690" s="289">
        <v>2500</v>
      </c>
    </row>
    <row r="691" spans="1:6" ht="15" x14ac:dyDescent="0.3">
      <c r="A691" s="105">
        <v>45935</v>
      </c>
      <c r="B691" s="112" t="s">
        <v>5173</v>
      </c>
      <c r="C691" s="11" t="s">
        <v>2519</v>
      </c>
      <c r="D691" s="122" t="s">
        <v>5178</v>
      </c>
      <c r="E691" s="290"/>
      <c r="F691" s="289">
        <v>50000</v>
      </c>
    </row>
    <row r="692" spans="1:6" ht="15" x14ac:dyDescent="0.3">
      <c r="A692" s="105">
        <v>45935</v>
      </c>
      <c r="B692" s="112" t="s">
        <v>5173</v>
      </c>
      <c r="C692" s="11" t="s">
        <v>2519</v>
      </c>
      <c r="D692" s="122" t="s">
        <v>3477</v>
      </c>
      <c r="E692" s="290"/>
      <c r="F692" s="289">
        <v>2500</v>
      </c>
    </row>
    <row r="693" spans="1:6" ht="15" x14ac:dyDescent="0.3">
      <c r="A693" s="105">
        <v>45935</v>
      </c>
      <c r="B693" s="112" t="s">
        <v>5173</v>
      </c>
      <c r="C693" s="11" t="s">
        <v>2519</v>
      </c>
      <c r="D693" s="122" t="s">
        <v>5179</v>
      </c>
      <c r="E693" s="290"/>
      <c r="F693" s="289">
        <v>42000</v>
      </c>
    </row>
    <row r="694" spans="1:6" ht="15" x14ac:dyDescent="0.3">
      <c r="A694" s="105">
        <v>45935</v>
      </c>
      <c r="B694" s="112" t="s">
        <v>5173</v>
      </c>
      <c r="C694" s="11" t="s">
        <v>2519</v>
      </c>
      <c r="D694" s="122" t="s">
        <v>3477</v>
      </c>
      <c r="E694" s="290"/>
      <c r="F694" s="289">
        <v>2500</v>
      </c>
    </row>
    <row r="695" spans="1:6" ht="15" x14ac:dyDescent="0.3">
      <c r="A695" s="105">
        <v>45935</v>
      </c>
      <c r="B695" s="112" t="s">
        <v>5173</v>
      </c>
      <c r="C695" s="11" t="s">
        <v>2519</v>
      </c>
      <c r="D695" s="122" t="s">
        <v>5180</v>
      </c>
      <c r="E695" s="290"/>
      <c r="F695" s="289">
        <v>350000</v>
      </c>
    </row>
    <row r="696" spans="1:6" ht="15" x14ac:dyDescent="0.3">
      <c r="A696" s="105">
        <v>45935</v>
      </c>
      <c r="B696" s="112" t="s">
        <v>5173</v>
      </c>
      <c r="C696" s="11" t="s">
        <v>2519</v>
      </c>
      <c r="D696" s="122" t="s">
        <v>5175</v>
      </c>
      <c r="E696" s="290"/>
      <c r="F696" s="289">
        <v>504750</v>
      </c>
    </row>
    <row r="697" spans="1:6" ht="15" x14ac:dyDescent="0.3">
      <c r="A697" s="105">
        <v>45935</v>
      </c>
      <c r="B697" s="112" t="s">
        <v>5173</v>
      </c>
      <c r="C697" s="11" t="s">
        <v>2519</v>
      </c>
      <c r="D697" s="122" t="s">
        <v>3477</v>
      </c>
      <c r="E697" s="290"/>
      <c r="F697" s="289">
        <v>2500</v>
      </c>
    </row>
    <row r="698" spans="1:6" ht="15" x14ac:dyDescent="0.3">
      <c r="A698" s="105">
        <v>45936</v>
      </c>
      <c r="B698" s="112" t="s">
        <v>5181</v>
      </c>
      <c r="C698" s="11" t="s">
        <v>2519</v>
      </c>
      <c r="D698" s="122" t="s">
        <v>3571</v>
      </c>
      <c r="E698" s="290"/>
      <c r="F698" s="289">
        <v>116500</v>
      </c>
    </row>
    <row r="699" spans="1:6" ht="15" x14ac:dyDescent="0.3">
      <c r="A699" s="105">
        <v>45936</v>
      </c>
      <c r="B699" s="112" t="s">
        <v>5182</v>
      </c>
      <c r="C699" s="11" t="s">
        <v>2519</v>
      </c>
      <c r="D699" s="122" t="s">
        <v>1426</v>
      </c>
      <c r="E699" s="290"/>
      <c r="F699" s="289">
        <v>350000</v>
      </c>
    </row>
    <row r="700" spans="1:6" ht="15" x14ac:dyDescent="0.3">
      <c r="A700" s="105">
        <v>45936</v>
      </c>
      <c r="B700" s="112" t="s">
        <v>5182</v>
      </c>
      <c r="C700" s="11" t="s">
        <v>2519</v>
      </c>
      <c r="D700" s="122" t="s">
        <v>1425</v>
      </c>
      <c r="E700" s="290"/>
      <c r="F700" s="289">
        <v>185000</v>
      </c>
    </row>
    <row r="701" spans="1:6" ht="15" x14ac:dyDescent="0.3">
      <c r="A701" s="105">
        <v>45936</v>
      </c>
      <c r="B701" s="112" t="s">
        <v>5182</v>
      </c>
      <c r="C701" s="11" t="s">
        <v>2519</v>
      </c>
      <c r="D701" s="122" t="s">
        <v>5183</v>
      </c>
      <c r="E701" s="290"/>
      <c r="F701" s="289">
        <v>75000</v>
      </c>
    </row>
    <row r="702" spans="1:6" ht="15" x14ac:dyDescent="0.3">
      <c r="A702" s="105">
        <v>45936</v>
      </c>
      <c r="B702" s="112" t="s">
        <v>5182</v>
      </c>
      <c r="C702" s="11" t="s">
        <v>2519</v>
      </c>
      <c r="D702" s="122" t="s">
        <v>5184</v>
      </c>
      <c r="E702" s="290"/>
      <c r="F702" s="289">
        <v>20000</v>
      </c>
    </row>
    <row r="703" spans="1:6" ht="15" x14ac:dyDescent="0.3">
      <c r="A703" s="105">
        <v>45936</v>
      </c>
      <c r="B703" s="112" t="s">
        <v>5185</v>
      </c>
      <c r="C703" s="11" t="s">
        <v>2519</v>
      </c>
      <c r="D703" s="122" t="s">
        <v>5186</v>
      </c>
      <c r="E703" s="290"/>
      <c r="F703" s="289">
        <v>43000</v>
      </c>
    </row>
    <row r="704" spans="1:6" ht="15" x14ac:dyDescent="0.3">
      <c r="A704" s="105">
        <v>45936</v>
      </c>
      <c r="B704" s="112" t="s">
        <v>5187</v>
      </c>
      <c r="C704" s="11" t="s">
        <v>2519</v>
      </c>
      <c r="D704" s="122" t="s">
        <v>405</v>
      </c>
      <c r="E704" s="290"/>
      <c r="F704" s="289">
        <v>300000</v>
      </c>
    </row>
    <row r="705" spans="1:6" ht="15" x14ac:dyDescent="0.3">
      <c r="A705" s="105">
        <v>45936</v>
      </c>
      <c r="B705" s="112" t="s">
        <v>5187</v>
      </c>
      <c r="C705" s="11" t="s">
        <v>2519</v>
      </c>
      <c r="D705" s="122" t="s">
        <v>5188</v>
      </c>
      <c r="E705" s="290"/>
      <c r="F705" s="289">
        <v>1000000</v>
      </c>
    </row>
    <row r="706" spans="1:6" ht="15" x14ac:dyDescent="0.3">
      <c r="A706" s="105">
        <v>45936</v>
      </c>
      <c r="B706" s="112" t="s">
        <v>5187</v>
      </c>
      <c r="C706" s="11" t="s">
        <v>2519</v>
      </c>
      <c r="D706" s="122" t="s">
        <v>404</v>
      </c>
      <c r="E706" s="290"/>
      <c r="F706" s="289">
        <v>114000</v>
      </c>
    </row>
    <row r="707" spans="1:6" ht="15" x14ac:dyDescent="0.3">
      <c r="A707" s="105">
        <v>45936</v>
      </c>
      <c r="B707" s="112" t="s">
        <v>5187</v>
      </c>
      <c r="C707" s="11" t="s">
        <v>2519</v>
      </c>
      <c r="D707" s="122" t="s">
        <v>5189</v>
      </c>
      <c r="E707" s="290"/>
      <c r="F707" s="289">
        <v>220000</v>
      </c>
    </row>
    <row r="708" spans="1:6" ht="15" x14ac:dyDescent="0.3">
      <c r="A708" s="105">
        <v>45936</v>
      </c>
      <c r="B708" s="112" t="s">
        <v>5190</v>
      </c>
      <c r="C708" s="11" t="s">
        <v>2519</v>
      </c>
      <c r="D708" s="122" t="s">
        <v>481</v>
      </c>
      <c r="E708" s="290"/>
      <c r="F708" s="289">
        <v>369050</v>
      </c>
    </row>
    <row r="709" spans="1:6" ht="15" x14ac:dyDescent="0.3">
      <c r="A709" s="105">
        <v>45936</v>
      </c>
      <c r="B709" s="112" t="s">
        <v>5190</v>
      </c>
      <c r="C709" s="11" t="s">
        <v>2519</v>
      </c>
      <c r="D709" s="122" t="s">
        <v>953</v>
      </c>
      <c r="E709" s="290"/>
      <c r="F709" s="289">
        <v>59500</v>
      </c>
    </row>
    <row r="710" spans="1:6" ht="15" x14ac:dyDescent="0.3">
      <c r="A710" s="105">
        <v>45936</v>
      </c>
      <c r="B710" s="112" t="s">
        <v>4943</v>
      </c>
      <c r="C710" s="532" t="s">
        <v>2519</v>
      </c>
      <c r="D710" s="552" t="s">
        <v>5191</v>
      </c>
      <c r="E710" s="290"/>
      <c r="F710" s="289">
        <v>80000</v>
      </c>
    </row>
    <row r="711" spans="1:6" ht="15" x14ac:dyDescent="0.3">
      <c r="A711" s="105">
        <v>45936</v>
      </c>
      <c r="B711" s="112" t="s">
        <v>4943</v>
      </c>
      <c r="C711" s="532" t="s">
        <v>2519</v>
      </c>
      <c r="D711" s="552" t="s">
        <v>5192</v>
      </c>
      <c r="E711" s="290"/>
      <c r="F711" s="289">
        <v>76900</v>
      </c>
    </row>
    <row r="712" spans="1:6" ht="15" x14ac:dyDescent="0.3">
      <c r="A712" s="105">
        <v>45936</v>
      </c>
      <c r="B712" s="112" t="s">
        <v>4943</v>
      </c>
      <c r="C712" s="532" t="s">
        <v>2519</v>
      </c>
      <c r="D712" s="552" t="s">
        <v>5193</v>
      </c>
      <c r="E712" s="290"/>
      <c r="F712" s="289">
        <v>62700</v>
      </c>
    </row>
    <row r="713" spans="1:6" ht="15" x14ac:dyDescent="0.3">
      <c r="A713" s="105">
        <v>45936</v>
      </c>
      <c r="B713" s="112" t="s">
        <v>4943</v>
      </c>
      <c r="C713" s="532" t="s">
        <v>2519</v>
      </c>
      <c r="D713" s="552" t="s">
        <v>5194</v>
      </c>
      <c r="E713" s="290"/>
      <c r="F713" s="289">
        <v>476500</v>
      </c>
    </row>
    <row r="714" spans="1:6" ht="15" x14ac:dyDescent="0.3">
      <c r="A714" s="105">
        <v>45936</v>
      </c>
      <c r="B714" s="112" t="s">
        <v>4943</v>
      </c>
      <c r="C714" s="532" t="s">
        <v>2519</v>
      </c>
      <c r="D714" s="552" t="s">
        <v>5195</v>
      </c>
      <c r="E714" s="290"/>
      <c r="F714" s="289">
        <v>40000</v>
      </c>
    </row>
    <row r="715" spans="1:6" ht="15" x14ac:dyDescent="0.3">
      <c r="A715" s="105">
        <v>45936</v>
      </c>
      <c r="B715" s="112" t="s">
        <v>4943</v>
      </c>
      <c r="C715" s="532" t="s">
        <v>2519</v>
      </c>
      <c r="D715" s="552" t="s">
        <v>5196</v>
      </c>
      <c r="E715" s="290"/>
      <c r="F715" s="289">
        <v>1361730</v>
      </c>
    </row>
    <row r="716" spans="1:6" ht="15" x14ac:dyDescent="0.3">
      <c r="A716" s="105">
        <v>45936</v>
      </c>
      <c r="B716" s="112" t="s">
        <v>4943</v>
      </c>
      <c r="C716" s="532" t="s">
        <v>2519</v>
      </c>
      <c r="D716" s="552" t="s">
        <v>5197</v>
      </c>
      <c r="E716" s="290"/>
      <c r="F716" s="289">
        <v>2920000</v>
      </c>
    </row>
    <row r="717" spans="1:6" ht="15" x14ac:dyDescent="0.3">
      <c r="A717" s="105">
        <v>45936</v>
      </c>
      <c r="B717" s="112" t="s">
        <v>4943</v>
      </c>
      <c r="C717" s="532" t="s">
        <v>2519</v>
      </c>
      <c r="D717" s="552" t="s">
        <v>5198</v>
      </c>
      <c r="E717" s="290"/>
      <c r="F717" s="289">
        <v>738500</v>
      </c>
    </row>
    <row r="718" spans="1:6" ht="15" x14ac:dyDescent="0.3">
      <c r="A718" s="105">
        <v>45936</v>
      </c>
      <c r="B718" s="112" t="s">
        <v>4943</v>
      </c>
      <c r="C718" s="532" t="s">
        <v>2519</v>
      </c>
      <c r="D718" s="552" t="s">
        <v>5199</v>
      </c>
      <c r="E718" s="290"/>
      <c r="F718" s="289">
        <v>816327</v>
      </c>
    </row>
    <row r="719" spans="1:6" ht="15" x14ac:dyDescent="0.3">
      <c r="A719" s="105">
        <v>45936</v>
      </c>
      <c r="B719" s="112" t="s">
        <v>4943</v>
      </c>
      <c r="C719" s="532" t="s">
        <v>2519</v>
      </c>
      <c r="D719" s="552" t="s">
        <v>5200</v>
      </c>
      <c r="E719" s="290"/>
      <c r="F719" s="289">
        <v>-16327</v>
      </c>
    </row>
    <row r="720" spans="1:6" ht="15" x14ac:dyDescent="0.3">
      <c r="A720" s="105">
        <v>45936</v>
      </c>
      <c r="B720" s="112" t="s">
        <v>4943</v>
      </c>
      <c r="C720" s="532" t="s">
        <v>2519</v>
      </c>
      <c r="D720" s="552" t="s">
        <v>4980</v>
      </c>
      <c r="E720" s="290"/>
      <c r="F720" s="289">
        <v>2500</v>
      </c>
    </row>
    <row r="721" spans="1:6" ht="15" x14ac:dyDescent="0.3">
      <c r="A721" s="105">
        <v>45937</v>
      </c>
      <c r="B721" s="112" t="s">
        <v>5201</v>
      </c>
      <c r="C721" s="11" t="s">
        <v>2519</v>
      </c>
      <c r="D721" s="122" t="s">
        <v>5202</v>
      </c>
      <c r="E721" s="290"/>
      <c r="F721" s="289">
        <v>289951925</v>
      </c>
    </row>
    <row r="722" spans="1:6" ht="15" x14ac:dyDescent="0.3">
      <c r="A722" s="105">
        <v>45937</v>
      </c>
      <c r="B722" s="112" t="s">
        <v>5201</v>
      </c>
      <c r="C722" s="11" t="s">
        <v>2519</v>
      </c>
      <c r="D722" s="122" t="s">
        <v>5203</v>
      </c>
      <c r="E722" s="290"/>
      <c r="F722" s="289">
        <v>-14497596.25</v>
      </c>
    </row>
    <row r="723" spans="1:6" ht="15" x14ac:dyDescent="0.3">
      <c r="A723" s="105">
        <v>45937</v>
      </c>
      <c r="B723" s="112" t="s">
        <v>5201</v>
      </c>
      <c r="C723" s="11" t="s">
        <v>2519</v>
      </c>
      <c r="D723" s="122" t="s">
        <v>5204</v>
      </c>
      <c r="E723" s="290"/>
      <c r="F723" s="289">
        <v>-11598077</v>
      </c>
    </row>
    <row r="724" spans="1:6" ht="15" x14ac:dyDescent="0.3">
      <c r="A724" s="105">
        <v>45937</v>
      </c>
      <c r="B724" s="112" t="s">
        <v>5201</v>
      </c>
      <c r="C724" s="11" t="s">
        <v>2519</v>
      </c>
      <c r="D724" s="122" t="s">
        <v>5205</v>
      </c>
      <c r="E724" s="290"/>
      <c r="F724" s="289">
        <v>2900</v>
      </c>
    </row>
    <row r="725" spans="1:6" ht="15" x14ac:dyDescent="0.3">
      <c r="A725" s="105">
        <v>45937</v>
      </c>
      <c r="B725" s="112" t="s">
        <v>5206</v>
      </c>
      <c r="C725" s="11" t="s">
        <v>2519</v>
      </c>
      <c r="D725" s="122" t="s">
        <v>5207</v>
      </c>
      <c r="E725" s="290"/>
      <c r="F725" s="289">
        <v>17510</v>
      </c>
    </row>
    <row r="726" spans="1:6" ht="15" x14ac:dyDescent="0.3">
      <c r="A726" s="105">
        <v>45937</v>
      </c>
      <c r="B726" s="112" t="s">
        <v>5206</v>
      </c>
      <c r="C726" s="11" t="s">
        <v>2519</v>
      </c>
      <c r="D726" s="122" t="s">
        <v>5208</v>
      </c>
      <c r="E726" s="290"/>
      <c r="F726" s="289">
        <v>1364755</v>
      </c>
    </row>
    <row r="727" spans="1:6" ht="15" x14ac:dyDescent="0.3">
      <c r="A727" s="105">
        <v>45937</v>
      </c>
      <c r="B727" s="112" t="s">
        <v>5206</v>
      </c>
      <c r="C727" s="11" t="s">
        <v>2519</v>
      </c>
      <c r="D727" s="122" t="s">
        <v>3477</v>
      </c>
      <c r="E727" s="290"/>
      <c r="F727" s="289">
        <v>2500</v>
      </c>
    </row>
    <row r="728" spans="1:6" ht="15" x14ac:dyDescent="0.3">
      <c r="A728" s="105">
        <v>45938</v>
      </c>
      <c r="B728" s="112" t="s">
        <v>5209</v>
      </c>
      <c r="C728" s="11" t="s">
        <v>2519</v>
      </c>
      <c r="D728" s="122" t="s">
        <v>5210</v>
      </c>
      <c r="E728" s="290"/>
      <c r="F728" s="289">
        <v>150000</v>
      </c>
    </row>
    <row r="729" spans="1:6" ht="15" x14ac:dyDescent="0.3">
      <c r="A729" s="105">
        <v>45938</v>
      </c>
      <c r="B729" s="112" t="s">
        <v>5209</v>
      </c>
      <c r="C729" s="11" t="s">
        <v>2519</v>
      </c>
      <c r="D729" s="122" t="s">
        <v>5211</v>
      </c>
      <c r="E729" s="290"/>
      <c r="F729" s="289">
        <v>80000</v>
      </c>
    </row>
    <row r="730" spans="1:6" ht="15" x14ac:dyDescent="0.3">
      <c r="A730" s="105">
        <v>45938</v>
      </c>
      <c r="B730" s="112" t="s">
        <v>5209</v>
      </c>
      <c r="C730" s="11" t="s">
        <v>2519</v>
      </c>
      <c r="D730" s="122" t="s">
        <v>5212</v>
      </c>
      <c r="E730" s="290"/>
      <c r="F730" s="289">
        <v>2324000</v>
      </c>
    </row>
    <row r="731" spans="1:6" ht="15" x14ac:dyDescent="0.3">
      <c r="A731" s="105">
        <v>45938</v>
      </c>
      <c r="B731" s="112" t="s">
        <v>5209</v>
      </c>
      <c r="C731" s="11" t="s">
        <v>2519</v>
      </c>
      <c r="D731" s="122" t="s">
        <v>5163</v>
      </c>
      <c r="E731" s="290"/>
      <c r="F731" s="289">
        <v>70000</v>
      </c>
    </row>
    <row r="732" spans="1:6" ht="15" x14ac:dyDescent="0.3">
      <c r="A732" s="105">
        <v>45938</v>
      </c>
      <c r="B732" s="112" t="s">
        <v>5213</v>
      </c>
      <c r="C732" s="11" t="s">
        <v>2519</v>
      </c>
      <c r="D732" s="122" t="s">
        <v>5214</v>
      </c>
      <c r="E732" s="290"/>
      <c r="F732" s="289">
        <v>2900</v>
      </c>
    </row>
    <row r="733" spans="1:6" ht="15" x14ac:dyDescent="0.3">
      <c r="A733" s="105">
        <v>45938</v>
      </c>
      <c r="B733" s="112" t="s">
        <v>5215</v>
      </c>
      <c r="C733" s="11" t="s">
        <v>2519</v>
      </c>
      <c r="D733" s="122" t="s">
        <v>5216</v>
      </c>
      <c r="E733" s="290"/>
      <c r="F733" s="289">
        <v>28000000</v>
      </c>
    </row>
    <row r="734" spans="1:6" ht="15" x14ac:dyDescent="0.3">
      <c r="A734" s="105">
        <v>45938</v>
      </c>
      <c r="B734" s="112" t="s">
        <v>5215</v>
      </c>
      <c r="C734" s="11" t="s">
        <v>2519</v>
      </c>
      <c r="D734" s="122" t="s">
        <v>5217</v>
      </c>
      <c r="E734" s="290"/>
      <c r="F734" s="289">
        <v>-356370</v>
      </c>
    </row>
    <row r="735" spans="1:6" ht="15" x14ac:dyDescent="0.3">
      <c r="A735" s="105">
        <v>45938</v>
      </c>
      <c r="B735" s="112" t="s">
        <v>5215</v>
      </c>
      <c r="C735" s="11" t="s">
        <v>5218</v>
      </c>
      <c r="D735" s="122" t="s">
        <v>2013</v>
      </c>
      <c r="E735" s="290"/>
      <c r="F735" s="289">
        <v>2900</v>
      </c>
    </row>
    <row r="736" spans="1:6" ht="15" x14ac:dyDescent="0.3">
      <c r="A736" s="105">
        <v>45939</v>
      </c>
      <c r="B736" s="112" t="s">
        <v>5035</v>
      </c>
      <c r="C736" s="533" t="s">
        <v>2519</v>
      </c>
      <c r="D736" s="553" t="s">
        <v>5219</v>
      </c>
      <c r="E736" s="290"/>
      <c r="F736" s="289">
        <v>202500</v>
      </c>
    </row>
    <row r="737" spans="1:6" ht="15" x14ac:dyDescent="0.3">
      <c r="A737" s="105">
        <v>45939</v>
      </c>
      <c r="B737" s="112" t="s">
        <v>5035</v>
      </c>
      <c r="C737" s="533" t="s">
        <v>2519</v>
      </c>
      <c r="D737" s="553" t="s">
        <v>5220</v>
      </c>
      <c r="E737" s="290"/>
      <c r="F737" s="289">
        <v>5600</v>
      </c>
    </row>
    <row r="738" spans="1:6" ht="15" x14ac:dyDescent="0.3">
      <c r="A738" s="105">
        <v>45939</v>
      </c>
      <c r="B738" s="112" t="s">
        <v>5035</v>
      </c>
      <c r="C738" s="533" t="s">
        <v>2519</v>
      </c>
      <c r="D738" s="553" t="s">
        <v>5221</v>
      </c>
      <c r="E738" s="290"/>
      <c r="F738" s="289">
        <v>157300</v>
      </c>
    </row>
    <row r="739" spans="1:6" ht="15" x14ac:dyDescent="0.3">
      <c r="A739" s="105">
        <v>45939</v>
      </c>
      <c r="B739" s="112" t="s">
        <v>5035</v>
      </c>
      <c r="C739" s="533" t="s">
        <v>2519</v>
      </c>
      <c r="D739" s="553" t="s">
        <v>5222</v>
      </c>
      <c r="E739" s="290"/>
      <c r="F739" s="289">
        <v>102500</v>
      </c>
    </row>
    <row r="740" spans="1:6" ht="15" x14ac:dyDescent="0.3">
      <c r="A740" s="105">
        <v>45939</v>
      </c>
      <c r="B740" s="112" t="s">
        <v>5035</v>
      </c>
      <c r="C740" s="533" t="s">
        <v>2519</v>
      </c>
      <c r="D740" s="553" t="s">
        <v>5223</v>
      </c>
      <c r="E740" s="290"/>
      <c r="F740" s="289">
        <v>143500</v>
      </c>
    </row>
    <row r="741" spans="1:6" ht="15" x14ac:dyDescent="0.3">
      <c r="A741" s="105">
        <v>45939</v>
      </c>
      <c r="B741" s="112" t="s">
        <v>5035</v>
      </c>
      <c r="C741" s="533" t="s">
        <v>2519</v>
      </c>
      <c r="D741" s="553" t="s">
        <v>5224</v>
      </c>
      <c r="E741" s="290"/>
      <c r="F741" s="289">
        <v>27500</v>
      </c>
    </row>
    <row r="742" spans="1:6" ht="15" x14ac:dyDescent="0.3">
      <c r="A742" s="105">
        <v>45939</v>
      </c>
      <c r="B742" s="112" t="s">
        <v>5114</v>
      </c>
      <c r="C742" s="15" t="s">
        <v>2519</v>
      </c>
      <c r="D742" s="118" t="s">
        <v>5225</v>
      </c>
      <c r="E742" s="375"/>
      <c r="F742" s="285">
        <v>273000</v>
      </c>
    </row>
    <row r="743" spans="1:6" ht="15" x14ac:dyDescent="0.3">
      <c r="A743" s="105">
        <v>45939</v>
      </c>
      <c r="B743" s="112" t="s">
        <v>5114</v>
      </c>
      <c r="C743" s="15" t="s">
        <v>2519</v>
      </c>
      <c r="D743" s="118" t="s">
        <v>50</v>
      </c>
      <c r="E743" s="375"/>
      <c r="F743" s="285">
        <v>2500</v>
      </c>
    </row>
    <row r="744" spans="1:6" ht="15" x14ac:dyDescent="0.3">
      <c r="A744" s="105">
        <v>45939</v>
      </c>
      <c r="B744" s="112" t="s">
        <v>5114</v>
      </c>
      <c r="C744" s="15" t="s">
        <v>2519</v>
      </c>
      <c r="D744" s="118" t="s">
        <v>5226</v>
      </c>
      <c r="E744" s="375"/>
      <c r="F744" s="285">
        <v>138000</v>
      </c>
    </row>
    <row r="745" spans="1:6" ht="15" x14ac:dyDescent="0.3">
      <c r="A745" s="105">
        <v>45939</v>
      </c>
      <c r="B745" s="112" t="s">
        <v>5114</v>
      </c>
      <c r="C745" s="15" t="s">
        <v>2519</v>
      </c>
      <c r="D745" s="118" t="s">
        <v>5227</v>
      </c>
      <c r="E745" s="375"/>
      <c r="F745" s="285">
        <v>158000</v>
      </c>
    </row>
    <row r="746" spans="1:6" ht="15" x14ac:dyDescent="0.3">
      <c r="A746" s="105">
        <v>45939</v>
      </c>
      <c r="B746" s="112" t="s">
        <v>5114</v>
      </c>
      <c r="C746" s="15" t="s">
        <v>2519</v>
      </c>
      <c r="D746" s="118" t="s">
        <v>5228</v>
      </c>
      <c r="E746" s="375"/>
      <c r="F746" s="285">
        <v>405000</v>
      </c>
    </row>
    <row r="747" spans="1:6" ht="15" x14ac:dyDescent="0.3">
      <c r="A747" s="105">
        <v>45940</v>
      </c>
      <c r="B747" s="112" t="s">
        <v>5229</v>
      </c>
      <c r="C747" s="533" t="s">
        <v>2519</v>
      </c>
      <c r="D747" s="553" t="s">
        <v>5230</v>
      </c>
      <c r="E747" s="290"/>
      <c r="F747" s="289">
        <v>95500</v>
      </c>
    </row>
    <row r="748" spans="1:6" ht="15" x14ac:dyDescent="0.3">
      <c r="A748" s="105">
        <v>45940</v>
      </c>
      <c r="B748" s="112" t="s">
        <v>5229</v>
      </c>
      <c r="C748" s="533" t="s">
        <v>2519</v>
      </c>
      <c r="D748" s="553" t="s">
        <v>981</v>
      </c>
      <c r="E748" s="290"/>
      <c r="F748" s="289">
        <v>2500</v>
      </c>
    </row>
    <row r="749" spans="1:6" ht="15" x14ac:dyDescent="0.3">
      <c r="A749" s="105">
        <v>45940</v>
      </c>
      <c r="B749" s="112" t="s">
        <v>5229</v>
      </c>
      <c r="C749" s="533" t="s">
        <v>2519</v>
      </c>
      <c r="D749" s="553" t="s">
        <v>5231</v>
      </c>
      <c r="E749" s="290"/>
      <c r="F749" s="289">
        <v>126000</v>
      </c>
    </row>
    <row r="750" spans="1:6" ht="15" x14ac:dyDescent="0.3">
      <c r="A750" s="105">
        <v>45940</v>
      </c>
      <c r="B750" s="112" t="s">
        <v>5229</v>
      </c>
      <c r="C750" s="533" t="s">
        <v>2519</v>
      </c>
      <c r="D750" s="553" t="s">
        <v>5232</v>
      </c>
      <c r="E750" s="290"/>
      <c r="F750" s="289">
        <v>100000</v>
      </c>
    </row>
    <row r="751" spans="1:6" ht="15" x14ac:dyDescent="0.3">
      <c r="A751" s="105">
        <v>45940</v>
      </c>
      <c r="B751" s="112" t="s">
        <v>5229</v>
      </c>
      <c r="C751" s="533" t="s">
        <v>2519</v>
      </c>
      <c r="D751" s="553" t="s">
        <v>981</v>
      </c>
      <c r="E751" s="290"/>
      <c r="F751" s="289">
        <v>2500</v>
      </c>
    </row>
    <row r="752" spans="1:6" ht="15" x14ac:dyDescent="0.3">
      <c r="A752" s="105">
        <v>45942</v>
      </c>
      <c r="B752" s="112" t="s">
        <v>5233</v>
      </c>
      <c r="C752" s="11" t="s">
        <v>2519</v>
      </c>
      <c r="D752" s="129" t="s">
        <v>5234</v>
      </c>
      <c r="E752" s="290"/>
      <c r="F752" s="283">
        <v>170600</v>
      </c>
    </row>
    <row r="753" spans="1:6" ht="15" x14ac:dyDescent="0.3">
      <c r="A753" s="105">
        <v>45942</v>
      </c>
      <c r="B753" s="112" t="s">
        <v>5233</v>
      </c>
      <c r="C753" s="11" t="s">
        <v>2519</v>
      </c>
      <c r="D753" s="129" t="s">
        <v>5235</v>
      </c>
      <c r="E753" s="290"/>
      <c r="F753" s="283">
        <v>300000</v>
      </c>
    </row>
    <row r="754" spans="1:6" ht="15" x14ac:dyDescent="0.3">
      <c r="A754" s="105">
        <v>45942</v>
      </c>
      <c r="B754" s="112" t="s">
        <v>5233</v>
      </c>
      <c r="C754" s="11" t="s">
        <v>2519</v>
      </c>
      <c r="D754" s="129" t="s">
        <v>5236</v>
      </c>
      <c r="E754" s="290"/>
      <c r="F754" s="283">
        <v>52500</v>
      </c>
    </row>
    <row r="755" spans="1:6" ht="15" x14ac:dyDescent="0.3">
      <c r="A755" s="105">
        <v>45942</v>
      </c>
      <c r="B755" s="112" t="s">
        <v>5233</v>
      </c>
      <c r="C755" s="11" t="s">
        <v>2519</v>
      </c>
      <c r="D755" s="129" t="s">
        <v>5237</v>
      </c>
      <c r="E755" s="290"/>
      <c r="F755" s="283">
        <v>40000</v>
      </c>
    </row>
    <row r="756" spans="1:6" ht="15" x14ac:dyDescent="0.3">
      <c r="A756" s="105">
        <v>45942</v>
      </c>
      <c r="B756" s="112" t="s">
        <v>5233</v>
      </c>
      <c r="C756" s="11" t="s">
        <v>2519</v>
      </c>
      <c r="D756" s="129" t="s">
        <v>5238</v>
      </c>
      <c r="E756" s="290"/>
      <c r="F756" s="283">
        <v>102500</v>
      </c>
    </row>
    <row r="757" spans="1:6" ht="15" x14ac:dyDescent="0.3">
      <c r="A757" s="105">
        <v>45942</v>
      </c>
      <c r="B757" s="112" t="s">
        <v>5233</v>
      </c>
      <c r="C757" s="11" t="s">
        <v>2519</v>
      </c>
      <c r="D757" s="129" t="s">
        <v>5239</v>
      </c>
      <c r="E757" s="290"/>
      <c r="F757" s="283">
        <v>224500</v>
      </c>
    </row>
    <row r="758" spans="1:6" ht="15" x14ac:dyDescent="0.3">
      <c r="A758" s="105">
        <v>45942</v>
      </c>
      <c r="B758" s="112" t="s">
        <v>5233</v>
      </c>
      <c r="C758" s="11" t="s">
        <v>2519</v>
      </c>
      <c r="D758" s="129" t="s">
        <v>5240</v>
      </c>
      <c r="E758" s="290"/>
      <c r="F758" s="283">
        <v>1900000</v>
      </c>
    </row>
    <row r="759" spans="1:6" ht="15" x14ac:dyDescent="0.3">
      <c r="A759" s="105">
        <v>45942</v>
      </c>
      <c r="B759" s="112" t="s">
        <v>5233</v>
      </c>
      <c r="C759" s="11" t="s">
        <v>2519</v>
      </c>
      <c r="D759" s="129" t="s">
        <v>5241</v>
      </c>
      <c r="E759" s="290"/>
      <c r="F759" s="283">
        <v>-38000</v>
      </c>
    </row>
    <row r="760" spans="1:6" ht="15" x14ac:dyDescent="0.3">
      <c r="A760" s="105">
        <v>45942</v>
      </c>
      <c r="B760" s="112" t="s">
        <v>5233</v>
      </c>
      <c r="C760" s="11" t="s">
        <v>2519</v>
      </c>
      <c r="D760" s="129" t="s">
        <v>4980</v>
      </c>
      <c r="E760" s="290"/>
      <c r="F760" s="283">
        <v>2500</v>
      </c>
    </row>
    <row r="761" spans="1:6" ht="15" x14ac:dyDescent="0.3">
      <c r="A761" s="105">
        <v>45942</v>
      </c>
      <c r="B761" s="112" t="s">
        <v>5233</v>
      </c>
      <c r="C761" s="11" t="s">
        <v>2519</v>
      </c>
      <c r="D761" s="129" t="s">
        <v>5242</v>
      </c>
      <c r="E761" s="290"/>
      <c r="F761" s="283">
        <v>152500</v>
      </c>
    </row>
    <row r="762" spans="1:6" ht="15" x14ac:dyDescent="0.3">
      <c r="A762" s="105">
        <v>45942</v>
      </c>
      <c r="B762" s="112" t="s">
        <v>5233</v>
      </c>
      <c r="C762" s="11" t="s">
        <v>2519</v>
      </c>
      <c r="D762" s="129" t="s">
        <v>5243</v>
      </c>
      <c r="E762" s="290"/>
      <c r="F762" s="283">
        <v>65500</v>
      </c>
    </row>
    <row r="763" spans="1:6" ht="15" x14ac:dyDescent="0.3">
      <c r="A763" s="105">
        <v>45942</v>
      </c>
      <c r="B763" s="112" t="s">
        <v>5233</v>
      </c>
      <c r="C763" s="11" t="s">
        <v>2519</v>
      </c>
      <c r="D763" s="129" t="s">
        <v>5224</v>
      </c>
      <c r="E763" s="290"/>
      <c r="F763" s="283">
        <v>22500</v>
      </c>
    </row>
    <row r="764" spans="1:6" ht="15" x14ac:dyDescent="0.3">
      <c r="A764" s="105">
        <v>45943</v>
      </c>
      <c r="B764" s="112" t="s">
        <v>5244</v>
      </c>
      <c r="C764" s="11" t="s">
        <v>2519</v>
      </c>
      <c r="D764" s="122" t="s">
        <v>4385</v>
      </c>
      <c r="E764" s="290"/>
      <c r="F764" s="289">
        <v>100000</v>
      </c>
    </row>
    <row r="765" spans="1:6" ht="15" x14ac:dyDescent="0.3">
      <c r="A765" s="105">
        <v>45943</v>
      </c>
      <c r="B765" s="112" t="s">
        <v>5244</v>
      </c>
      <c r="C765" s="11" t="s">
        <v>2519</v>
      </c>
      <c r="D765" s="122" t="s">
        <v>4255</v>
      </c>
      <c r="E765" s="290"/>
      <c r="F765" s="289">
        <v>41000</v>
      </c>
    </row>
    <row r="766" spans="1:6" ht="15" x14ac:dyDescent="0.3">
      <c r="A766" s="105">
        <v>45943</v>
      </c>
      <c r="B766" s="112" t="s">
        <v>5244</v>
      </c>
      <c r="C766" s="11" t="s">
        <v>2519</v>
      </c>
      <c r="D766" s="122" t="s">
        <v>4204</v>
      </c>
      <c r="E766" s="290"/>
      <c r="F766" s="289">
        <v>2900</v>
      </c>
    </row>
    <row r="767" spans="1:6" ht="15" x14ac:dyDescent="0.3">
      <c r="A767" s="105">
        <v>45943</v>
      </c>
      <c r="B767" s="112" t="s">
        <v>4951</v>
      </c>
      <c r="C767" s="11" t="s">
        <v>2519</v>
      </c>
      <c r="D767" s="122" t="s">
        <v>5245</v>
      </c>
      <c r="E767" s="290"/>
      <c r="F767" s="289">
        <v>20000</v>
      </c>
    </row>
    <row r="768" spans="1:6" ht="15" x14ac:dyDescent="0.3">
      <c r="A768" s="105">
        <v>45943</v>
      </c>
      <c r="B768" s="112" t="s">
        <v>4953</v>
      </c>
      <c r="C768" s="11" t="s">
        <v>2519</v>
      </c>
      <c r="D768" s="122" t="s">
        <v>5246</v>
      </c>
      <c r="E768" s="290"/>
      <c r="F768" s="289">
        <v>500000</v>
      </c>
    </row>
    <row r="769" spans="1:6" ht="15" x14ac:dyDescent="0.3">
      <c r="A769" s="105">
        <v>45943</v>
      </c>
      <c r="B769" s="112" t="s">
        <v>4953</v>
      </c>
      <c r="C769" s="11" t="s">
        <v>2519</v>
      </c>
      <c r="D769" s="122" t="s">
        <v>4955</v>
      </c>
      <c r="E769" s="290"/>
      <c r="F769" s="289">
        <v>3000</v>
      </c>
    </row>
    <row r="770" spans="1:6" ht="15" x14ac:dyDescent="0.3">
      <c r="A770" s="105">
        <v>45943</v>
      </c>
      <c r="B770" s="112" t="s">
        <v>4953</v>
      </c>
      <c r="C770" s="11" t="s">
        <v>2519</v>
      </c>
      <c r="D770" s="122" t="s">
        <v>5247</v>
      </c>
      <c r="E770" s="290"/>
      <c r="F770" s="289">
        <v>25000</v>
      </c>
    </row>
    <row r="771" spans="1:6" ht="15" x14ac:dyDescent="0.3">
      <c r="A771" s="105">
        <v>45943</v>
      </c>
      <c r="B771" s="112" t="s">
        <v>4953</v>
      </c>
      <c r="C771" s="11" t="s">
        <v>2519</v>
      </c>
      <c r="D771" s="122" t="s">
        <v>210</v>
      </c>
      <c r="E771" s="290"/>
      <c r="F771" s="289">
        <v>2500</v>
      </c>
    </row>
    <row r="772" spans="1:6" ht="15" x14ac:dyDescent="0.3">
      <c r="A772" s="105">
        <v>45943</v>
      </c>
      <c r="B772" s="112" t="s">
        <v>4953</v>
      </c>
      <c r="C772" s="11" t="s">
        <v>2519</v>
      </c>
      <c r="D772" s="122" t="s">
        <v>5248</v>
      </c>
      <c r="E772" s="290"/>
      <c r="F772" s="289">
        <v>669500</v>
      </c>
    </row>
    <row r="773" spans="1:6" ht="15" x14ac:dyDescent="0.3">
      <c r="A773" s="105">
        <v>45943</v>
      </c>
      <c r="B773" s="112" t="s">
        <v>4953</v>
      </c>
      <c r="C773" s="11" t="s">
        <v>2519</v>
      </c>
      <c r="D773" s="122" t="s">
        <v>5249</v>
      </c>
      <c r="E773" s="290"/>
      <c r="F773" s="289">
        <v>597046</v>
      </c>
    </row>
    <row r="774" spans="1:6" ht="15" x14ac:dyDescent="0.3">
      <c r="A774" s="105">
        <v>45943</v>
      </c>
      <c r="B774" s="112" t="s">
        <v>4953</v>
      </c>
      <c r="C774" s="11" t="s">
        <v>2519</v>
      </c>
      <c r="D774" s="122" t="s">
        <v>5250</v>
      </c>
      <c r="E774" s="290"/>
      <c r="F774" s="289">
        <v>4000</v>
      </c>
    </row>
    <row r="775" spans="1:6" ht="15" x14ac:dyDescent="0.3">
      <c r="A775" s="105">
        <v>45943</v>
      </c>
      <c r="B775" s="112" t="s">
        <v>4953</v>
      </c>
      <c r="C775" s="11" t="s">
        <v>2519</v>
      </c>
      <c r="D775" s="122" t="s">
        <v>210</v>
      </c>
      <c r="E775" s="290"/>
      <c r="F775" s="289">
        <v>2500</v>
      </c>
    </row>
    <row r="776" spans="1:6" ht="15" x14ac:dyDescent="0.3">
      <c r="A776" s="105">
        <v>45943</v>
      </c>
      <c r="B776" s="112" t="s">
        <v>4953</v>
      </c>
      <c r="C776" s="11" t="s">
        <v>2519</v>
      </c>
      <c r="D776" s="122" t="s">
        <v>5251</v>
      </c>
      <c r="E776" s="290"/>
      <c r="F776" s="289">
        <v>200000</v>
      </c>
    </row>
    <row r="777" spans="1:6" ht="15" x14ac:dyDescent="0.3">
      <c r="A777" s="105">
        <v>45943</v>
      </c>
      <c r="B777" s="112" t="s">
        <v>4953</v>
      </c>
      <c r="C777" s="11" t="s">
        <v>2519</v>
      </c>
      <c r="D777" s="122" t="s">
        <v>5252</v>
      </c>
      <c r="E777" s="290"/>
      <c r="F777" s="289">
        <v>300000</v>
      </c>
    </row>
    <row r="778" spans="1:6" ht="15" x14ac:dyDescent="0.3">
      <c r="A778" s="105">
        <v>45943</v>
      </c>
      <c r="B778" s="112" t="s">
        <v>4953</v>
      </c>
      <c r="C778" s="11" t="s">
        <v>2519</v>
      </c>
      <c r="D778" s="122" t="s">
        <v>5253</v>
      </c>
      <c r="E778" s="290"/>
      <c r="F778" s="289">
        <v>21000</v>
      </c>
    </row>
    <row r="779" spans="1:6" ht="15" x14ac:dyDescent="0.3">
      <c r="A779" s="105">
        <v>45943</v>
      </c>
      <c r="B779" s="112" t="s">
        <v>4953</v>
      </c>
      <c r="C779" s="11" t="s">
        <v>2519</v>
      </c>
      <c r="D779" s="122" t="s">
        <v>5254</v>
      </c>
      <c r="E779" s="290"/>
      <c r="F779" s="289">
        <v>95100</v>
      </c>
    </row>
    <row r="780" spans="1:6" ht="15" x14ac:dyDescent="0.3">
      <c r="A780" s="105">
        <v>45943</v>
      </c>
      <c r="B780" s="112" t="s">
        <v>4953</v>
      </c>
      <c r="C780" s="11" t="s">
        <v>2519</v>
      </c>
      <c r="D780" s="122" t="s">
        <v>210</v>
      </c>
      <c r="E780" s="290"/>
      <c r="F780" s="289">
        <v>2500</v>
      </c>
    </row>
    <row r="781" spans="1:6" ht="15" x14ac:dyDescent="0.3">
      <c r="A781" s="105">
        <v>45943</v>
      </c>
      <c r="B781" s="112" t="s">
        <v>5038</v>
      </c>
      <c r="C781" s="11" t="s">
        <v>2519</v>
      </c>
      <c r="D781" s="122" t="s">
        <v>5255</v>
      </c>
      <c r="E781" s="290"/>
      <c r="F781" s="289">
        <v>200000</v>
      </c>
    </row>
    <row r="782" spans="1:6" ht="15" x14ac:dyDescent="0.3">
      <c r="A782" s="105">
        <v>45943</v>
      </c>
      <c r="B782" s="112" t="s">
        <v>5038</v>
      </c>
      <c r="C782" s="11" t="s">
        <v>2519</v>
      </c>
      <c r="D782" s="122" t="s">
        <v>5256</v>
      </c>
      <c r="E782" s="290"/>
      <c r="F782" s="289">
        <v>400000</v>
      </c>
    </row>
    <row r="783" spans="1:6" ht="15" x14ac:dyDescent="0.3">
      <c r="A783" s="105">
        <v>45943</v>
      </c>
      <c r="B783" s="112" t="s">
        <v>5038</v>
      </c>
      <c r="C783" s="11" t="s">
        <v>2519</v>
      </c>
      <c r="D783" s="122" t="s">
        <v>5257</v>
      </c>
      <c r="E783" s="290"/>
      <c r="F783" s="289">
        <v>77000</v>
      </c>
    </row>
    <row r="784" spans="1:6" ht="15" x14ac:dyDescent="0.3">
      <c r="A784" s="105">
        <v>45943</v>
      </c>
      <c r="B784" s="112" t="s">
        <v>5038</v>
      </c>
      <c r="C784" s="11" t="s">
        <v>2519</v>
      </c>
      <c r="D784" s="122" t="s">
        <v>50</v>
      </c>
      <c r="E784" s="290"/>
      <c r="F784" s="289">
        <v>2500</v>
      </c>
    </row>
    <row r="785" spans="1:6" ht="15" x14ac:dyDescent="0.3">
      <c r="A785" s="105">
        <v>45943</v>
      </c>
      <c r="B785" s="112" t="s">
        <v>5038</v>
      </c>
      <c r="C785" s="11" t="s">
        <v>2519</v>
      </c>
      <c r="D785" s="122" t="s">
        <v>5258</v>
      </c>
      <c r="E785" s="290"/>
      <c r="F785" s="289">
        <v>155000</v>
      </c>
    </row>
    <row r="786" spans="1:6" ht="15" x14ac:dyDescent="0.3">
      <c r="A786" s="105">
        <v>45943</v>
      </c>
      <c r="B786" s="112" t="s">
        <v>5038</v>
      </c>
      <c r="C786" s="11" t="s">
        <v>2519</v>
      </c>
      <c r="D786" s="122" t="s">
        <v>5259</v>
      </c>
      <c r="E786" s="290"/>
      <c r="F786" s="289">
        <v>100000</v>
      </c>
    </row>
    <row r="787" spans="1:6" ht="15" x14ac:dyDescent="0.3">
      <c r="A787" s="105">
        <v>45944</v>
      </c>
      <c r="B787" s="112" t="s">
        <v>4956</v>
      </c>
      <c r="C787" s="11" t="s">
        <v>2519</v>
      </c>
      <c r="D787" s="122" t="s">
        <v>5260</v>
      </c>
      <c r="E787" s="290"/>
      <c r="F787" s="289">
        <v>63500</v>
      </c>
    </row>
    <row r="788" spans="1:6" ht="15" x14ac:dyDescent="0.3">
      <c r="A788" s="105">
        <v>45944</v>
      </c>
      <c r="B788" s="112" t="s">
        <v>4956</v>
      </c>
      <c r="C788" s="11" t="s">
        <v>2519</v>
      </c>
      <c r="D788" s="122" t="s">
        <v>5261</v>
      </c>
      <c r="E788" s="290"/>
      <c r="F788" s="289">
        <v>25000</v>
      </c>
    </row>
    <row r="789" spans="1:6" ht="15" x14ac:dyDescent="0.3">
      <c r="A789" s="105">
        <v>45944</v>
      </c>
      <c r="B789" s="112" t="s">
        <v>4956</v>
      </c>
      <c r="C789" s="11" t="s">
        <v>2519</v>
      </c>
      <c r="D789" s="122" t="s">
        <v>3477</v>
      </c>
      <c r="E789" s="290"/>
      <c r="F789" s="289">
        <v>2500</v>
      </c>
    </row>
    <row r="790" spans="1:6" ht="15" x14ac:dyDescent="0.3">
      <c r="A790" s="105">
        <v>45944</v>
      </c>
      <c r="B790" s="112" t="s">
        <v>4956</v>
      </c>
      <c r="C790" s="11" t="s">
        <v>2519</v>
      </c>
      <c r="D790" s="122" t="s">
        <v>5262</v>
      </c>
      <c r="E790" s="290"/>
      <c r="F790" s="289">
        <v>40000</v>
      </c>
    </row>
    <row r="791" spans="1:6" ht="15" x14ac:dyDescent="0.3">
      <c r="A791" s="105">
        <v>45944</v>
      </c>
      <c r="B791" s="112" t="s">
        <v>4956</v>
      </c>
      <c r="C791" s="11" t="s">
        <v>2519</v>
      </c>
      <c r="D791" s="122" t="s">
        <v>3477</v>
      </c>
      <c r="E791" s="290"/>
      <c r="F791" s="289">
        <v>2500</v>
      </c>
    </row>
    <row r="792" spans="1:6" ht="15" x14ac:dyDescent="0.3">
      <c r="A792" s="105">
        <v>45944</v>
      </c>
      <c r="B792" s="112" t="s">
        <v>4956</v>
      </c>
      <c r="C792" s="11" t="s">
        <v>2519</v>
      </c>
      <c r="D792" s="122" t="s">
        <v>5263</v>
      </c>
      <c r="E792" s="290"/>
      <c r="F792" s="289">
        <v>17000</v>
      </c>
    </row>
    <row r="793" spans="1:6" ht="15" x14ac:dyDescent="0.3">
      <c r="A793" s="105">
        <v>45944</v>
      </c>
      <c r="B793" s="112" t="s">
        <v>4956</v>
      </c>
      <c r="C793" s="11" t="s">
        <v>2519</v>
      </c>
      <c r="D793" s="122" t="s">
        <v>3477</v>
      </c>
      <c r="E793" s="290"/>
      <c r="F793" s="289">
        <v>2500</v>
      </c>
    </row>
    <row r="794" spans="1:6" ht="15" x14ac:dyDescent="0.3">
      <c r="A794" s="105">
        <v>45945</v>
      </c>
      <c r="B794" s="112" t="s">
        <v>5264</v>
      </c>
      <c r="C794" s="11" t="s">
        <v>2519</v>
      </c>
      <c r="D794" s="122" t="s">
        <v>5265</v>
      </c>
      <c r="E794" s="290"/>
      <c r="F794" s="289">
        <v>500000</v>
      </c>
    </row>
    <row r="795" spans="1:6" ht="15" x14ac:dyDescent="0.3">
      <c r="A795" s="105">
        <v>45945</v>
      </c>
      <c r="B795" s="112" t="s">
        <v>5264</v>
      </c>
      <c r="C795" s="11" t="s">
        <v>2519</v>
      </c>
      <c r="D795" s="122" t="s">
        <v>210</v>
      </c>
      <c r="E795" s="290"/>
      <c r="F795" s="289">
        <v>2500</v>
      </c>
    </row>
    <row r="796" spans="1:6" ht="15" x14ac:dyDescent="0.3">
      <c r="A796" s="105">
        <v>45945</v>
      </c>
      <c r="B796" s="112" t="s">
        <v>5264</v>
      </c>
      <c r="C796" s="11" t="s">
        <v>2519</v>
      </c>
      <c r="D796" s="122" t="s">
        <v>5266</v>
      </c>
      <c r="E796" s="290"/>
      <c r="F796" s="289">
        <v>60000</v>
      </c>
    </row>
    <row r="797" spans="1:6" ht="15" x14ac:dyDescent="0.3">
      <c r="A797" s="105">
        <v>45945</v>
      </c>
      <c r="B797" s="112" t="s">
        <v>5264</v>
      </c>
      <c r="C797" s="11" t="s">
        <v>2519</v>
      </c>
      <c r="D797" s="122" t="s">
        <v>5267</v>
      </c>
      <c r="E797" s="290"/>
      <c r="F797" s="289">
        <v>30000</v>
      </c>
    </row>
    <row r="798" spans="1:6" ht="15" x14ac:dyDescent="0.3">
      <c r="A798" s="105">
        <v>45945</v>
      </c>
      <c r="B798" s="112" t="s">
        <v>5264</v>
      </c>
      <c r="C798" s="11" t="s">
        <v>2519</v>
      </c>
      <c r="D798" s="122" t="s">
        <v>210</v>
      </c>
      <c r="E798" s="290"/>
      <c r="F798" s="289">
        <v>2500</v>
      </c>
    </row>
    <row r="799" spans="1:6" ht="15" x14ac:dyDescent="0.3">
      <c r="A799" s="105">
        <v>45945</v>
      </c>
      <c r="B799" s="112" t="s">
        <v>5264</v>
      </c>
      <c r="C799" s="11" t="s">
        <v>2519</v>
      </c>
      <c r="D799" s="122" t="s">
        <v>5268</v>
      </c>
      <c r="E799" s="290"/>
      <c r="F799" s="289">
        <v>549450</v>
      </c>
    </row>
    <row r="800" spans="1:6" ht="15" x14ac:dyDescent="0.3">
      <c r="A800" s="105">
        <v>45945</v>
      </c>
      <c r="B800" s="112" t="s">
        <v>5264</v>
      </c>
      <c r="C800" s="11" t="s">
        <v>2519</v>
      </c>
      <c r="D800" s="122" t="s">
        <v>210</v>
      </c>
      <c r="E800" s="290"/>
      <c r="F800" s="289">
        <v>2500</v>
      </c>
    </row>
    <row r="801" spans="1:6" ht="15" x14ac:dyDescent="0.3">
      <c r="A801" s="105">
        <v>45945</v>
      </c>
      <c r="B801" s="112" t="s">
        <v>5264</v>
      </c>
      <c r="C801" s="11" t="s">
        <v>2519</v>
      </c>
      <c r="D801" s="122" t="s">
        <v>5251</v>
      </c>
      <c r="E801" s="290"/>
      <c r="F801" s="289">
        <v>125000</v>
      </c>
    </row>
    <row r="802" spans="1:6" ht="15" x14ac:dyDescent="0.3">
      <c r="A802" s="105">
        <v>45945</v>
      </c>
      <c r="B802" s="112" t="s">
        <v>5264</v>
      </c>
      <c r="C802" s="11" t="s">
        <v>2519</v>
      </c>
      <c r="D802" s="122" t="s">
        <v>5269</v>
      </c>
      <c r="E802" s="290"/>
      <c r="F802" s="289">
        <v>598000</v>
      </c>
    </row>
    <row r="803" spans="1:6" ht="15" x14ac:dyDescent="0.3">
      <c r="A803" s="105">
        <v>45945</v>
      </c>
      <c r="B803" s="112" t="s">
        <v>5264</v>
      </c>
      <c r="C803" s="11" t="s">
        <v>2519</v>
      </c>
      <c r="D803" s="122" t="s">
        <v>5270</v>
      </c>
      <c r="E803" s="290"/>
      <c r="F803" s="289">
        <v>63000</v>
      </c>
    </row>
    <row r="804" spans="1:6" ht="15" x14ac:dyDescent="0.3">
      <c r="A804" s="105">
        <v>45945</v>
      </c>
      <c r="B804" s="112" t="s">
        <v>5264</v>
      </c>
      <c r="C804" s="11" t="s">
        <v>2519</v>
      </c>
      <c r="D804" s="122" t="s">
        <v>210</v>
      </c>
      <c r="E804" s="290"/>
      <c r="F804" s="289">
        <v>5000</v>
      </c>
    </row>
    <row r="805" spans="1:6" ht="15" x14ac:dyDescent="0.3">
      <c r="A805" s="105">
        <v>45945</v>
      </c>
      <c r="B805" s="112" t="s">
        <v>5264</v>
      </c>
      <c r="C805" s="11" t="s">
        <v>2519</v>
      </c>
      <c r="D805" s="122" t="s">
        <v>5271</v>
      </c>
      <c r="E805" s="290"/>
      <c r="F805" s="289">
        <v>561000</v>
      </c>
    </row>
    <row r="806" spans="1:6" ht="15" x14ac:dyDescent="0.3">
      <c r="A806" s="105">
        <v>45945</v>
      </c>
      <c r="B806" s="112" t="s">
        <v>5272</v>
      </c>
      <c r="C806" s="11" t="s">
        <v>2519</v>
      </c>
      <c r="D806" s="122" t="s">
        <v>5273</v>
      </c>
      <c r="E806" s="290"/>
      <c r="F806" s="289">
        <v>14198400</v>
      </c>
    </row>
    <row r="807" spans="1:6" ht="15" x14ac:dyDescent="0.3">
      <c r="A807" s="105">
        <v>45945</v>
      </c>
      <c r="B807" s="112" t="s">
        <v>5272</v>
      </c>
      <c r="C807" s="11" t="s">
        <v>2519</v>
      </c>
      <c r="D807" s="122" t="s">
        <v>5274</v>
      </c>
      <c r="E807" s="290"/>
      <c r="F807" s="289">
        <v>2900</v>
      </c>
    </row>
    <row r="808" spans="1:6" ht="15" x14ac:dyDescent="0.3">
      <c r="A808" s="105">
        <v>45946</v>
      </c>
      <c r="B808" s="112" t="s">
        <v>4961</v>
      </c>
      <c r="C808" s="11" t="s">
        <v>2519</v>
      </c>
      <c r="D808" s="129" t="s">
        <v>5193</v>
      </c>
      <c r="E808" s="290"/>
      <c r="F808" s="283">
        <v>102500</v>
      </c>
    </row>
    <row r="809" spans="1:6" ht="15" x14ac:dyDescent="0.3">
      <c r="A809" s="105">
        <v>45946</v>
      </c>
      <c r="B809" s="112" t="s">
        <v>4961</v>
      </c>
      <c r="C809" s="11" t="s">
        <v>2519</v>
      </c>
      <c r="D809" s="129" t="s">
        <v>5275</v>
      </c>
      <c r="E809" s="290"/>
      <c r="F809" s="283">
        <v>5000000</v>
      </c>
    </row>
    <row r="810" spans="1:6" ht="15" x14ac:dyDescent="0.3">
      <c r="A810" s="105">
        <v>45946</v>
      </c>
      <c r="B810" s="112" t="s">
        <v>4961</v>
      </c>
      <c r="C810" s="11" t="s">
        <v>2519</v>
      </c>
      <c r="D810" s="129" t="s">
        <v>5276</v>
      </c>
      <c r="E810" s="290"/>
      <c r="F810" s="283">
        <v>105000</v>
      </c>
    </row>
    <row r="811" spans="1:6" ht="15" x14ac:dyDescent="0.3">
      <c r="A811" s="105">
        <v>45946</v>
      </c>
      <c r="B811" s="112" t="s">
        <v>4961</v>
      </c>
      <c r="C811" s="11" t="s">
        <v>2519</v>
      </c>
      <c r="D811" s="129" t="s">
        <v>5277</v>
      </c>
      <c r="E811" s="290"/>
      <c r="F811" s="283">
        <v>190000</v>
      </c>
    </row>
    <row r="812" spans="1:6" ht="15" x14ac:dyDescent="0.3">
      <c r="A812" s="105">
        <v>45946</v>
      </c>
      <c r="B812" s="112" t="s">
        <v>4961</v>
      </c>
      <c r="C812" s="11" t="s">
        <v>2519</v>
      </c>
      <c r="D812" s="129" t="s">
        <v>5278</v>
      </c>
      <c r="E812" s="290"/>
      <c r="F812" s="283">
        <v>1150300</v>
      </c>
    </row>
    <row r="813" spans="1:6" ht="15" x14ac:dyDescent="0.3">
      <c r="A813" s="105">
        <v>45946</v>
      </c>
      <c r="B813" s="112" t="s">
        <v>4961</v>
      </c>
      <c r="C813" s="11" t="s">
        <v>2519</v>
      </c>
      <c r="D813" s="129" t="s">
        <v>5279</v>
      </c>
      <c r="E813" s="290"/>
      <c r="F813" s="283">
        <v>401320</v>
      </c>
    </row>
    <row r="814" spans="1:6" ht="15" x14ac:dyDescent="0.3">
      <c r="A814" s="105">
        <v>45946</v>
      </c>
      <c r="B814" s="112" t="s">
        <v>4961</v>
      </c>
      <c r="C814" s="11" t="s">
        <v>2519</v>
      </c>
      <c r="D814" s="129" t="s">
        <v>5280</v>
      </c>
      <c r="E814" s="290"/>
      <c r="F814" s="283">
        <v>202500</v>
      </c>
    </row>
    <row r="815" spans="1:6" ht="15" x14ac:dyDescent="0.3">
      <c r="A815" s="105">
        <v>45946</v>
      </c>
      <c r="B815" s="112" t="s">
        <v>4961</v>
      </c>
      <c r="C815" s="11" t="s">
        <v>2519</v>
      </c>
      <c r="D815" s="129" t="s">
        <v>5281</v>
      </c>
      <c r="E815" s="290"/>
      <c r="F815" s="283">
        <v>16000</v>
      </c>
    </row>
    <row r="816" spans="1:6" ht="15" x14ac:dyDescent="0.3">
      <c r="A816" s="105">
        <v>45946</v>
      </c>
      <c r="B816" s="112" t="s">
        <v>4961</v>
      </c>
      <c r="C816" s="11" t="s">
        <v>2519</v>
      </c>
      <c r="D816" s="129" t="s">
        <v>5282</v>
      </c>
      <c r="E816" s="290"/>
      <c r="F816" s="283">
        <v>100000</v>
      </c>
    </row>
    <row r="817" spans="1:6" ht="15" x14ac:dyDescent="0.3">
      <c r="A817" s="105">
        <v>45946</v>
      </c>
      <c r="B817" s="112" t="s">
        <v>4961</v>
      </c>
      <c r="C817" s="11" t="s">
        <v>2519</v>
      </c>
      <c r="D817" s="129" t="s">
        <v>5283</v>
      </c>
      <c r="E817" s="290"/>
      <c r="F817" s="283">
        <v>60000</v>
      </c>
    </row>
    <row r="818" spans="1:6" ht="15" x14ac:dyDescent="0.3">
      <c r="A818" s="105">
        <v>45946</v>
      </c>
      <c r="B818" s="112" t="s">
        <v>4961</v>
      </c>
      <c r="C818" s="11" t="s">
        <v>2519</v>
      </c>
      <c r="D818" s="129" t="s">
        <v>5284</v>
      </c>
      <c r="E818" s="290"/>
      <c r="F818" s="283">
        <v>55000</v>
      </c>
    </row>
    <row r="819" spans="1:6" ht="15" x14ac:dyDescent="0.3">
      <c r="A819" s="105">
        <v>45946</v>
      </c>
      <c r="B819" s="112" t="s">
        <v>4961</v>
      </c>
      <c r="C819" s="11" t="s">
        <v>2519</v>
      </c>
      <c r="D819" s="129" t="s">
        <v>5285</v>
      </c>
      <c r="E819" s="290"/>
      <c r="F819" s="283">
        <v>102500</v>
      </c>
    </row>
    <row r="820" spans="1:6" ht="15" x14ac:dyDescent="0.3">
      <c r="A820" s="105">
        <v>45946</v>
      </c>
      <c r="B820" s="112" t="s">
        <v>4961</v>
      </c>
      <c r="C820" s="11" t="s">
        <v>2519</v>
      </c>
      <c r="D820" s="129" t="s">
        <v>5286</v>
      </c>
      <c r="E820" s="290"/>
      <c r="F820" s="283">
        <v>306122</v>
      </c>
    </row>
    <row r="821" spans="1:6" ht="15" x14ac:dyDescent="0.3">
      <c r="A821" s="105">
        <v>45946</v>
      </c>
      <c r="B821" s="112" t="s">
        <v>4961</v>
      </c>
      <c r="C821" s="11" t="s">
        <v>2519</v>
      </c>
      <c r="D821" s="129" t="s">
        <v>5287</v>
      </c>
      <c r="E821" s="290"/>
      <c r="F821" s="283">
        <v>-6122</v>
      </c>
    </row>
    <row r="822" spans="1:6" ht="15" x14ac:dyDescent="0.3">
      <c r="A822" s="105">
        <v>45946</v>
      </c>
      <c r="B822" s="112" t="s">
        <v>4961</v>
      </c>
      <c r="C822" s="11" t="s">
        <v>2519</v>
      </c>
      <c r="D822" s="129" t="s">
        <v>5288</v>
      </c>
      <c r="E822" s="290"/>
      <c r="F822" s="283">
        <v>5510204</v>
      </c>
    </row>
    <row r="823" spans="1:6" ht="15" x14ac:dyDescent="0.3">
      <c r="A823" s="105">
        <v>45946</v>
      </c>
      <c r="B823" s="112" t="s">
        <v>4961</v>
      </c>
      <c r="C823" s="11" t="s">
        <v>2519</v>
      </c>
      <c r="D823" s="129" t="s">
        <v>5289</v>
      </c>
      <c r="E823" s="290"/>
      <c r="F823" s="283">
        <v>-110204</v>
      </c>
    </row>
    <row r="824" spans="1:6" ht="15" x14ac:dyDescent="0.3">
      <c r="A824" s="105">
        <v>45946</v>
      </c>
      <c r="B824" s="112" t="s">
        <v>4961</v>
      </c>
      <c r="C824" s="11" t="s">
        <v>2519</v>
      </c>
      <c r="D824" s="129" t="s">
        <v>4980</v>
      </c>
      <c r="E824" s="290"/>
      <c r="F824" s="283">
        <v>2500</v>
      </c>
    </row>
    <row r="825" spans="1:6" ht="15" x14ac:dyDescent="0.3">
      <c r="A825" s="105">
        <v>45946</v>
      </c>
      <c r="B825" s="112" t="s">
        <v>5290</v>
      </c>
      <c r="C825" s="11" t="s">
        <v>2519</v>
      </c>
      <c r="D825" s="122" t="s">
        <v>5291</v>
      </c>
      <c r="E825" s="290"/>
      <c r="F825" s="289">
        <v>108900000</v>
      </c>
    </row>
    <row r="826" spans="1:6" ht="15" x14ac:dyDescent="0.3">
      <c r="A826" s="105">
        <v>45946</v>
      </c>
      <c r="B826" s="112" t="s">
        <v>5290</v>
      </c>
      <c r="C826" s="11" t="s">
        <v>2519</v>
      </c>
      <c r="D826" s="122" t="s">
        <v>5292</v>
      </c>
      <c r="E826" s="290"/>
      <c r="F826" s="289">
        <v>11979000</v>
      </c>
    </row>
    <row r="827" spans="1:6" ht="15" x14ac:dyDescent="0.3">
      <c r="A827" s="105">
        <v>45946</v>
      </c>
      <c r="B827" s="112" t="s">
        <v>5290</v>
      </c>
      <c r="C827" s="11" t="s">
        <v>2519</v>
      </c>
      <c r="D827" s="122" t="s">
        <v>5293</v>
      </c>
      <c r="E827" s="290"/>
      <c r="F827" s="289">
        <v>2900</v>
      </c>
    </row>
    <row r="828" spans="1:6" ht="15" x14ac:dyDescent="0.3">
      <c r="A828" s="105">
        <v>45946</v>
      </c>
      <c r="B828" s="112" t="s">
        <v>5294</v>
      </c>
      <c r="C828" s="11" t="s">
        <v>2519</v>
      </c>
      <c r="D828" s="122" t="s">
        <v>5295</v>
      </c>
      <c r="E828" s="290"/>
      <c r="F828" s="289">
        <v>17080000</v>
      </c>
    </row>
    <row r="829" spans="1:6" ht="15" x14ac:dyDescent="0.3">
      <c r="A829" s="105">
        <v>45946</v>
      </c>
      <c r="B829" s="112" t="s">
        <v>5294</v>
      </c>
      <c r="C829" s="11" t="s">
        <v>2519</v>
      </c>
      <c r="D829" s="122" t="s">
        <v>5296</v>
      </c>
      <c r="E829" s="290"/>
      <c r="F829" s="289">
        <v>1878800</v>
      </c>
    </row>
    <row r="830" spans="1:6" ht="15" x14ac:dyDescent="0.3">
      <c r="A830" s="105">
        <v>45946</v>
      </c>
      <c r="B830" s="112" t="s">
        <v>5294</v>
      </c>
      <c r="C830" s="11" t="s">
        <v>2519</v>
      </c>
      <c r="D830" s="122" t="s">
        <v>5297</v>
      </c>
      <c r="E830" s="290"/>
      <c r="F830" s="289">
        <v>2900</v>
      </c>
    </row>
    <row r="831" spans="1:6" ht="15" x14ac:dyDescent="0.3">
      <c r="A831" s="105">
        <v>45946</v>
      </c>
      <c r="B831" s="112" t="s">
        <v>5298</v>
      </c>
      <c r="C831" s="11" t="s">
        <v>2519</v>
      </c>
      <c r="D831" s="122" t="s">
        <v>5299</v>
      </c>
      <c r="E831" s="290"/>
      <c r="F831" s="289">
        <v>520000</v>
      </c>
    </row>
    <row r="832" spans="1:6" ht="15" x14ac:dyDescent="0.3">
      <c r="A832" s="105">
        <v>45946</v>
      </c>
      <c r="B832" s="112" t="s">
        <v>5298</v>
      </c>
      <c r="C832" s="11" t="s">
        <v>2519</v>
      </c>
      <c r="D832" s="122" t="s">
        <v>5300</v>
      </c>
      <c r="E832" s="290"/>
      <c r="F832" s="289">
        <v>57200</v>
      </c>
    </row>
    <row r="833" spans="1:6" ht="15" x14ac:dyDescent="0.3">
      <c r="A833" s="105">
        <v>45946</v>
      </c>
      <c r="B833" s="112" t="s">
        <v>5298</v>
      </c>
      <c r="C833" s="11" t="s">
        <v>2519</v>
      </c>
      <c r="D833" s="122" t="s">
        <v>5301</v>
      </c>
      <c r="E833" s="290"/>
      <c r="F833" s="289">
        <v>15600000</v>
      </c>
    </row>
    <row r="834" spans="1:6" ht="15" x14ac:dyDescent="0.3">
      <c r="A834" s="105">
        <v>45946</v>
      </c>
      <c r="B834" s="112" t="s">
        <v>5298</v>
      </c>
      <c r="C834" s="11" t="s">
        <v>2519</v>
      </c>
      <c r="D834" s="122" t="s">
        <v>5302</v>
      </c>
      <c r="E834" s="290"/>
      <c r="F834" s="289">
        <v>1716000</v>
      </c>
    </row>
    <row r="835" spans="1:6" ht="15" x14ac:dyDescent="0.3">
      <c r="A835" s="105">
        <v>45946</v>
      </c>
      <c r="B835" s="112" t="s">
        <v>5298</v>
      </c>
      <c r="C835" s="11" t="s">
        <v>2519</v>
      </c>
      <c r="D835" s="122" t="s">
        <v>5303</v>
      </c>
      <c r="E835" s="290"/>
      <c r="F835" s="289">
        <v>2900</v>
      </c>
    </row>
    <row r="836" spans="1:6" ht="15" x14ac:dyDescent="0.3">
      <c r="A836" s="105">
        <v>45947</v>
      </c>
      <c r="B836" s="112" t="s">
        <v>5304</v>
      </c>
      <c r="C836" s="11" t="s">
        <v>2519</v>
      </c>
      <c r="D836" s="122" t="s">
        <v>5305</v>
      </c>
      <c r="E836" s="290"/>
      <c r="F836" s="289">
        <v>20000000</v>
      </c>
    </row>
    <row r="837" spans="1:6" ht="15" x14ac:dyDescent="0.3">
      <c r="A837" s="105">
        <v>45947</v>
      </c>
      <c r="B837" s="112" t="s">
        <v>5304</v>
      </c>
      <c r="C837" s="11" t="s">
        <v>2519</v>
      </c>
      <c r="D837" s="122" t="s">
        <v>5306</v>
      </c>
      <c r="E837" s="290"/>
      <c r="F837" s="289">
        <v>2200000</v>
      </c>
    </row>
    <row r="838" spans="1:6" ht="15" x14ac:dyDescent="0.3">
      <c r="A838" s="105">
        <v>45947</v>
      </c>
      <c r="B838" s="112" t="s">
        <v>5304</v>
      </c>
      <c r="C838" s="11" t="s">
        <v>2519</v>
      </c>
      <c r="D838" s="122" t="s">
        <v>5307</v>
      </c>
      <c r="E838" s="290"/>
      <c r="F838" s="289">
        <v>2900</v>
      </c>
    </row>
    <row r="839" spans="1:6" ht="15" x14ac:dyDescent="0.3">
      <c r="A839" s="105">
        <v>45947</v>
      </c>
      <c r="B839" s="112" t="s">
        <v>5308</v>
      </c>
      <c r="C839" s="11" t="s">
        <v>2519</v>
      </c>
      <c r="D839" s="122" t="s">
        <v>5186</v>
      </c>
      <c r="E839" s="290"/>
      <c r="F839" s="289">
        <v>219500</v>
      </c>
    </row>
    <row r="840" spans="1:6" ht="15" x14ac:dyDescent="0.3">
      <c r="A840" s="105">
        <v>45947</v>
      </c>
      <c r="B840" s="112" t="s">
        <v>5308</v>
      </c>
      <c r="C840" s="11" t="s">
        <v>2519</v>
      </c>
      <c r="D840" s="122" t="s">
        <v>5309</v>
      </c>
      <c r="E840" s="290"/>
      <c r="F840" s="289">
        <v>31000</v>
      </c>
    </row>
    <row r="841" spans="1:6" ht="15" x14ac:dyDescent="0.3">
      <c r="A841" s="105">
        <v>45947</v>
      </c>
      <c r="B841" s="112" t="s">
        <v>5130</v>
      </c>
      <c r="C841" s="11" t="s">
        <v>2519</v>
      </c>
      <c r="D841" s="122" t="s">
        <v>447</v>
      </c>
      <c r="E841" s="290"/>
      <c r="F841" s="289">
        <v>217000</v>
      </c>
    </row>
    <row r="842" spans="1:6" ht="15" x14ac:dyDescent="0.3">
      <c r="A842" s="105">
        <v>45947</v>
      </c>
      <c r="B842" s="112" t="s">
        <v>4963</v>
      </c>
      <c r="C842" s="11" t="s">
        <v>2519</v>
      </c>
      <c r="D842" s="122" t="s">
        <v>5310</v>
      </c>
      <c r="E842" s="290"/>
      <c r="F842" s="289">
        <v>27000</v>
      </c>
    </row>
    <row r="843" spans="1:6" ht="15" x14ac:dyDescent="0.3">
      <c r="A843" s="105">
        <v>45947</v>
      </c>
      <c r="B843" s="112" t="s">
        <v>4963</v>
      </c>
      <c r="C843" s="11" t="s">
        <v>2519</v>
      </c>
      <c r="D843" s="122" t="s">
        <v>5311</v>
      </c>
      <c r="E843" s="290"/>
      <c r="F843" s="289">
        <v>25000</v>
      </c>
    </row>
    <row r="844" spans="1:6" ht="15" x14ac:dyDescent="0.3">
      <c r="A844" s="105">
        <v>45947</v>
      </c>
      <c r="B844" s="112" t="s">
        <v>4963</v>
      </c>
      <c r="C844" s="11" t="s">
        <v>2519</v>
      </c>
      <c r="D844" s="122" t="s">
        <v>5312</v>
      </c>
      <c r="E844" s="290"/>
      <c r="F844" s="289">
        <v>21000</v>
      </c>
    </row>
    <row r="845" spans="1:6" ht="15" x14ac:dyDescent="0.3">
      <c r="A845" s="105">
        <v>45947</v>
      </c>
      <c r="B845" s="112" t="s">
        <v>4963</v>
      </c>
      <c r="C845" s="11" t="s">
        <v>2519</v>
      </c>
      <c r="D845" s="122" t="s">
        <v>981</v>
      </c>
      <c r="E845" s="290"/>
      <c r="F845" s="289">
        <v>2500</v>
      </c>
    </row>
    <row r="846" spans="1:6" ht="15" x14ac:dyDescent="0.3">
      <c r="A846" s="105">
        <v>45947</v>
      </c>
      <c r="B846" s="112" t="s">
        <v>4963</v>
      </c>
      <c r="C846" s="11" t="s">
        <v>2519</v>
      </c>
      <c r="D846" s="122" t="s">
        <v>5313</v>
      </c>
      <c r="E846" s="290"/>
      <c r="F846" s="289">
        <v>2780100</v>
      </c>
    </row>
    <row r="847" spans="1:6" ht="15" x14ac:dyDescent="0.3">
      <c r="A847" s="105">
        <v>45950</v>
      </c>
      <c r="B847" s="112" t="s">
        <v>4966</v>
      </c>
      <c r="C847" s="11" t="s">
        <v>2519</v>
      </c>
      <c r="D847" s="122" t="s">
        <v>447</v>
      </c>
      <c r="E847" s="290"/>
      <c r="F847" s="289">
        <v>601000</v>
      </c>
    </row>
    <row r="848" spans="1:6" ht="15" x14ac:dyDescent="0.3">
      <c r="A848" s="105">
        <v>45950</v>
      </c>
      <c r="B848" s="112" t="s">
        <v>4966</v>
      </c>
      <c r="C848" s="11" t="s">
        <v>2519</v>
      </c>
      <c r="D848" s="122" t="s">
        <v>446</v>
      </c>
      <c r="E848" s="290"/>
      <c r="F848" s="289">
        <v>204340</v>
      </c>
    </row>
    <row r="849" spans="1:6" ht="15" x14ac:dyDescent="0.3">
      <c r="A849" s="105">
        <v>45950</v>
      </c>
      <c r="B849" s="112" t="s">
        <v>4966</v>
      </c>
      <c r="C849" s="11" t="s">
        <v>2519</v>
      </c>
      <c r="D849" s="122" t="s">
        <v>2030</v>
      </c>
      <c r="E849" s="290"/>
      <c r="F849" s="289">
        <v>4000</v>
      </c>
    </row>
    <row r="850" spans="1:6" ht="15" x14ac:dyDescent="0.3">
      <c r="A850" s="105">
        <v>45950</v>
      </c>
      <c r="B850" s="112" t="s">
        <v>4966</v>
      </c>
      <c r="C850" s="11" t="s">
        <v>2519</v>
      </c>
      <c r="D850" s="122" t="s">
        <v>5314</v>
      </c>
      <c r="E850" s="290"/>
      <c r="F850" s="289">
        <v>150000</v>
      </c>
    </row>
    <row r="851" spans="1:6" ht="15" x14ac:dyDescent="0.3">
      <c r="A851" s="105">
        <v>45950</v>
      </c>
      <c r="B851" s="112" t="s">
        <v>4966</v>
      </c>
      <c r="C851" s="11" t="s">
        <v>2519</v>
      </c>
      <c r="D851" s="122" t="s">
        <v>5315</v>
      </c>
      <c r="E851" s="290"/>
      <c r="F851" s="289">
        <v>61000</v>
      </c>
    </row>
    <row r="852" spans="1:6" ht="15" x14ac:dyDescent="0.3">
      <c r="A852" s="105">
        <v>45950</v>
      </c>
      <c r="B852" s="112" t="s">
        <v>5316</v>
      </c>
      <c r="C852" s="11" t="s">
        <v>2519</v>
      </c>
      <c r="D852" s="122" t="s">
        <v>5317</v>
      </c>
      <c r="E852" s="290"/>
      <c r="F852" s="289">
        <v>25000</v>
      </c>
    </row>
    <row r="853" spans="1:6" ht="15" x14ac:dyDescent="0.3">
      <c r="A853" s="105">
        <v>45950</v>
      </c>
      <c r="B853" s="112" t="s">
        <v>5316</v>
      </c>
      <c r="C853" s="11" t="s">
        <v>2519</v>
      </c>
      <c r="D853" s="122" t="s">
        <v>5318</v>
      </c>
      <c r="E853" s="290"/>
      <c r="F853" s="289">
        <v>1244000</v>
      </c>
    </row>
    <row r="854" spans="1:6" ht="15" x14ac:dyDescent="0.3">
      <c r="A854" s="105">
        <v>45950</v>
      </c>
      <c r="B854" s="112" t="s">
        <v>5316</v>
      </c>
      <c r="C854" s="11" t="s">
        <v>2519</v>
      </c>
      <c r="D854" s="122" t="s">
        <v>5319</v>
      </c>
      <c r="E854" s="290"/>
      <c r="F854" s="289">
        <v>541100</v>
      </c>
    </row>
    <row r="855" spans="1:6" ht="15" x14ac:dyDescent="0.3">
      <c r="A855" s="105">
        <v>45950</v>
      </c>
      <c r="B855" s="112" t="s">
        <v>5316</v>
      </c>
      <c r="C855" s="11" t="s">
        <v>2519</v>
      </c>
      <c r="D855" s="122" t="s">
        <v>4955</v>
      </c>
      <c r="E855" s="290"/>
      <c r="F855" s="289">
        <v>2000</v>
      </c>
    </row>
    <row r="856" spans="1:6" ht="15" x14ac:dyDescent="0.3">
      <c r="A856" s="105">
        <v>45950</v>
      </c>
      <c r="B856" s="112" t="s">
        <v>5316</v>
      </c>
      <c r="C856" s="11" t="s">
        <v>2519</v>
      </c>
      <c r="D856" s="122" t="s">
        <v>5320</v>
      </c>
      <c r="E856" s="290"/>
      <c r="F856" s="289">
        <v>808000</v>
      </c>
    </row>
    <row r="857" spans="1:6" ht="15" x14ac:dyDescent="0.3">
      <c r="A857" s="105">
        <v>45950</v>
      </c>
      <c r="B857" s="112" t="s">
        <v>5316</v>
      </c>
      <c r="C857" s="11" t="s">
        <v>2519</v>
      </c>
      <c r="D857" s="122" t="s">
        <v>210</v>
      </c>
      <c r="E857" s="290"/>
      <c r="F857" s="289">
        <v>5000</v>
      </c>
    </row>
    <row r="858" spans="1:6" ht="15" x14ac:dyDescent="0.3">
      <c r="A858" s="105">
        <v>45950</v>
      </c>
      <c r="B858" s="112" t="s">
        <v>5316</v>
      </c>
      <c r="C858" s="11" t="s">
        <v>2519</v>
      </c>
      <c r="D858" s="122" t="s">
        <v>5321</v>
      </c>
      <c r="E858" s="290"/>
      <c r="F858" s="289">
        <v>73000</v>
      </c>
    </row>
    <row r="859" spans="1:6" ht="15" x14ac:dyDescent="0.3">
      <c r="A859" s="105">
        <v>45950</v>
      </c>
      <c r="B859" s="112" t="s">
        <v>5316</v>
      </c>
      <c r="C859" s="11" t="s">
        <v>2519</v>
      </c>
      <c r="D859" s="122" t="s">
        <v>210</v>
      </c>
      <c r="E859" s="290"/>
      <c r="F859" s="289">
        <v>5000</v>
      </c>
    </row>
    <row r="860" spans="1:6" ht="15" x14ac:dyDescent="0.3">
      <c r="A860" s="105">
        <v>45950</v>
      </c>
      <c r="B860" s="112" t="s">
        <v>5316</v>
      </c>
      <c r="C860" s="11" t="s">
        <v>2519</v>
      </c>
      <c r="D860" s="122" t="s">
        <v>5163</v>
      </c>
      <c r="E860" s="290"/>
      <c r="F860" s="289">
        <v>40000</v>
      </c>
    </row>
    <row r="861" spans="1:6" ht="15" x14ac:dyDescent="0.3">
      <c r="A861" s="105">
        <v>45950</v>
      </c>
      <c r="B861" s="112" t="s">
        <v>5316</v>
      </c>
      <c r="C861" s="11" t="s">
        <v>2519</v>
      </c>
      <c r="D861" s="122" t="s">
        <v>5322</v>
      </c>
      <c r="E861" s="290"/>
      <c r="F861" s="289">
        <v>300000</v>
      </c>
    </row>
    <row r="862" spans="1:6" ht="15" x14ac:dyDescent="0.3">
      <c r="A862" s="105">
        <v>45950</v>
      </c>
      <c r="B862" s="112" t="s">
        <v>5316</v>
      </c>
      <c r="C862" s="11" t="s">
        <v>2519</v>
      </c>
      <c r="D862" s="122" t="s">
        <v>5323</v>
      </c>
      <c r="E862" s="290"/>
      <c r="F862" s="289">
        <v>80000</v>
      </c>
    </row>
    <row r="863" spans="1:6" ht="15" x14ac:dyDescent="0.3">
      <c r="A863" s="105">
        <v>45950</v>
      </c>
      <c r="B863" s="112" t="s">
        <v>4968</v>
      </c>
      <c r="C863" s="11" t="s">
        <v>2519</v>
      </c>
      <c r="D863" s="122" t="s">
        <v>5324</v>
      </c>
      <c r="E863" s="290"/>
      <c r="F863" s="289">
        <v>3333333</v>
      </c>
    </row>
    <row r="864" spans="1:6" ht="15" x14ac:dyDescent="0.3">
      <c r="A864" s="105">
        <v>45950</v>
      </c>
      <c r="B864" s="112" t="s">
        <v>4968</v>
      </c>
      <c r="C864" s="11" t="s">
        <v>2519</v>
      </c>
      <c r="D864" s="122" t="s">
        <v>5325</v>
      </c>
      <c r="E864" s="290"/>
      <c r="F864" s="289">
        <v>-333333</v>
      </c>
    </row>
    <row r="865" spans="1:6" ht="15" x14ac:dyDescent="0.3">
      <c r="A865" s="105">
        <v>45950</v>
      </c>
      <c r="B865" s="112" t="s">
        <v>4968</v>
      </c>
      <c r="C865" s="11" t="s">
        <v>2519</v>
      </c>
      <c r="D865" s="122" t="s">
        <v>5326</v>
      </c>
      <c r="E865" s="290"/>
      <c r="F865" s="289">
        <v>100000</v>
      </c>
    </row>
    <row r="866" spans="1:6" ht="15" x14ac:dyDescent="0.3">
      <c r="A866" s="105">
        <v>45950</v>
      </c>
      <c r="B866" s="112" t="s">
        <v>4968</v>
      </c>
      <c r="C866" s="11" t="s">
        <v>2519</v>
      </c>
      <c r="D866" s="122" t="s">
        <v>5327</v>
      </c>
      <c r="E866" s="290"/>
      <c r="F866" s="289">
        <v>100000</v>
      </c>
    </row>
    <row r="867" spans="1:6" ht="15" x14ac:dyDescent="0.3">
      <c r="A867" s="105">
        <v>45950</v>
      </c>
      <c r="B867" s="112" t="s">
        <v>4968</v>
      </c>
      <c r="C867" s="11" t="s">
        <v>2519</v>
      </c>
      <c r="D867" s="122" t="s">
        <v>981</v>
      </c>
      <c r="E867" s="290"/>
      <c r="F867" s="289">
        <v>2500</v>
      </c>
    </row>
    <row r="868" spans="1:6" ht="15" x14ac:dyDescent="0.3">
      <c r="A868" s="105">
        <v>45950</v>
      </c>
      <c r="B868" s="112" t="s">
        <v>4968</v>
      </c>
      <c r="C868" s="11" t="s">
        <v>2519</v>
      </c>
      <c r="D868" s="122" t="s">
        <v>5328</v>
      </c>
      <c r="E868" s="290"/>
      <c r="F868" s="289">
        <v>54300</v>
      </c>
    </row>
    <row r="869" spans="1:6" ht="15" x14ac:dyDescent="0.3">
      <c r="A869" s="105">
        <v>45950</v>
      </c>
      <c r="B869" s="112" t="s">
        <v>4968</v>
      </c>
      <c r="C869" s="11" t="s">
        <v>2519</v>
      </c>
      <c r="D869" s="122" t="s">
        <v>981</v>
      </c>
      <c r="E869" s="290"/>
      <c r="F869" s="289">
        <v>2500</v>
      </c>
    </row>
    <row r="870" spans="1:6" ht="15" x14ac:dyDescent="0.3">
      <c r="A870" s="105">
        <v>45951</v>
      </c>
      <c r="B870" s="112" t="s">
        <v>4973</v>
      </c>
      <c r="C870" s="11" t="s">
        <v>2519</v>
      </c>
      <c r="D870" s="122" t="s">
        <v>5329</v>
      </c>
      <c r="E870" s="290"/>
      <c r="F870" s="289">
        <v>1860000</v>
      </c>
    </row>
    <row r="871" spans="1:6" ht="15" x14ac:dyDescent="0.3">
      <c r="A871" s="105">
        <v>45951</v>
      </c>
      <c r="B871" s="112" t="s">
        <v>4973</v>
      </c>
      <c r="C871" s="11" t="s">
        <v>2519</v>
      </c>
      <c r="D871" s="122" t="s">
        <v>3477</v>
      </c>
      <c r="E871" s="290"/>
      <c r="F871" s="289">
        <v>2500</v>
      </c>
    </row>
    <row r="872" spans="1:6" ht="15" x14ac:dyDescent="0.3">
      <c r="A872" s="105">
        <v>45951</v>
      </c>
      <c r="B872" s="112" t="s">
        <v>4973</v>
      </c>
      <c r="C872" s="11" t="s">
        <v>2519</v>
      </c>
      <c r="D872" s="122" t="s">
        <v>5330</v>
      </c>
      <c r="E872" s="290"/>
      <c r="F872" s="289">
        <v>503500</v>
      </c>
    </row>
    <row r="873" spans="1:6" ht="15" x14ac:dyDescent="0.3">
      <c r="A873" s="105">
        <v>45951</v>
      </c>
      <c r="B873" s="112" t="s">
        <v>4973</v>
      </c>
      <c r="C873" s="11" t="s">
        <v>2519</v>
      </c>
      <c r="D873" s="122" t="s">
        <v>5331</v>
      </c>
      <c r="E873" s="290"/>
      <c r="F873" s="289">
        <v>456300</v>
      </c>
    </row>
    <row r="874" spans="1:6" ht="15" x14ac:dyDescent="0.3">
      <c r="A874" s="105">
        <v>45951</v>
      </c>
      <c r="B874" s="112" t="s">
        <v>4973</v>
      </c>
      <c r="C874" s="11" t="s">
        <v>2519</v>
      </c>
      <c r="D874" s="122" t="s">
        <v>5332</v>
      </c>
      <c r="E874" s="290"/>
      <c r="F874" s="289">
        <v>32500</v>
      </c>
    </row>
    <row r="875" spans="1:6" ht="15" x14ac:dyDescent="0.3">
      <c r="A875" s="105">
        <v>45951</v>
      </c>
      <c r="B875" s="112" t="s">
        <v>4973</v>
      </c>
      <c r="C875" s="11" t="s">
        <v>2519</v>
      </c>
      <c r="D875" s="122" t="s">
        <v>5333</v>
      </c>
      <c r="E875" s="290"/>
      <c r="F875" s="289">
        <v>45000</v>
      </c>
    </row>
    <row r="876" spans="1:6" ht="15" x14ac:dyDescent="0.3">
      <c r="A876" s="105">
        <v>45951</v>
      </c>
      <c r="B876" s="112" t="s">
        <v>4973</v>
      </c>
      <c r="C876" s="11" t="s">
        <v>2519</v>
      </c>
      <c r="D876" s="122" t="s">
        <v>3477</v>
      </c>
      <c r="E876" s="290"/>
      <c r="F876" s="289">
        <v>2500</v>
      </c>
    </row>
    <row r="877" spans="1:6" ht="15" x14ac:dyDescent="0.3">
      <c r="A877" s="105">
        <v>45951</v>
      </c>
      <c r="B877" s="112" t="s">
        <v>4973</v>
      </c>
      <c r="C877" s="11" t="s">
        <v>2519</v>
      </c>
      <c r="D877" s="122" t="s">
        <v>5334</v>
      </c>
      <c r="E877" s="290"/>
      <c r="F877" s="289">
        <v>100000</v>
      </c>
    </row>
    <row r="878" spans="1:6" ht="15" x14ac:dyDescent="0.3">
      <c r="A878" s="105">
        <v>45951</v>
      </c>
      <c r="B878" s="112" t="s">
        <v>4973</v>
      </c>
      <c r="C878" s="11" t="s">
        <v>2519</v>
      </c>
      <c r="D878" s="122" t="s">
        <v>3477</v>
      </c>
      <c r="E878" s="290"/>
      <c r="F878" s="289">
        <v>2500</v>
      </c>
    </row>
    <row r="879" spans="1:6" ht="15" x14ac:dyDescent="0.3">
      <c r="A879" s="105">
        <v>45951</v>
      </c>
      <c r="B879" s="112" t="s">
        <v>4973</v>
      </c>
      <c r="C879" s="11" t="s">
        <v>2519</v>
      </c>
      <c r="D879" s="122" t="s">
        <v>5335</v>
      </c>
      <c r="E879" s="290"/>
      <c r="F879" s="289">
        <v>47500</v>
      </c>
    </row>
    <row r="880" spans="1:6" ht="15" x14ac:dyDescent="0.3">
      <c r="A880" s="105">
        <v>45951</v>
      </c>
      <c r="B880" s="112" t="s">
        <v>4973</v>
      </c>
      <c r="C880" s="11" t="s">
        <v>2519</v>
      </c>
      <c r="D880" s="122" t="s">
        <v>5261</v>
      </c>
      <c r="E880" s="290"/>
      <c r="F880" s="289">
        <v>100000</v>
      </c>
    </row>
    <row r="881" spans="1:6" ht="15" x14ac:dyDescent="0.3">
      <c r="A881" s="105">
        <v>45951</v>
      </c>
      <c r="B881" s="112" t="s">
        <v>4973</v>
      </c>
      <c r="C881" s="11" t="s">
        <v>2519</v>
      </c>
      <c r="D881" s="122" t="s">
        <v>3477</v>
      </c>
      <c r="E881" s="290"/>
      <c r="F881" s="289">
        <v>2500</v>
      </c>
    </row>
    <row r="882" spans="1:6" ht="15" x14ac:dyDescent="0.3">
      <c r="A882" s="105">
        <v>45952</v>
      </c>
      <c r="B882" s="112" t="s">
        <v>5336</v>
      </c>
      <c r="C882" s="11" t="s">
        <v>2519</v>
      </c>
      <c r="D882" s="122" t="s">
        <v>5337</v>
      </c>
      <c r="E882" s="290"/>
      <c r="F882" s="289">
        <v>8800000</v>
      </c>
    </row>
    <row r="883" spans="1:6" ht="15" x14ac:dyDescent="0.3">
      <c r="A883" s="105">
        <v>45952</v>
      </c>
      <c r="B883" s="112" t="s">
        <v>5336</v>
      </c>
      <c r="C883" s="11" t="s">
        <v>2519</v>
      </c>
      <c r="D883" s="122" t="s">
        <v>5338</v>
      </c>
      <c r="E883" s="290"/>
      <c r="F883" s="289">
        <v>968000</v>
      </c>
    </row>
    <row r="884" spans="1:6" ht="15" x14ac:dyDescent="0.3">
      <c r="A884" s="105">
        <v>45952</v>
      </c>
      <c r="B884" s="112" t="s">
        <v>5336</v>
      </c>
      <c r="C884" s="11" t="s">
        <v>2519</v>
      </c>
      <c r="D884" s="122" t="s">
        <v>5339</v>
      </c>
      <c r="E884" s="290"/>
      <c r="F884" s="289">
        <v>2900</v>
      </c>
    </row>
    <row r="885" spans="1:6" ht="15" x14ac:dyDescent="0.3">
      <c r="A885" s="105">
        <v>45952</v>
      </c>
      <c r="B885" s="112" t="s">
        <v>5340</v>
      </c>
      <c r="C885" s="11" t="s">
        <v>2519</v>
      </c>
      <c r="D885" s="122" t="s">
        <v>5341</v>
      </c>
      <c r="E885" s="290"/>
      <c r="F885" s="289">
        <v>195025925</v>
      </c>
    </row>
    <row r="886" spans="1:6" ht="15" x14ac:dyDescent="0.3">
      <c r="A886" s="105">
        <v>45952</v>
      </c>
      <c r="B886" s="112" t="s">
        <v>5340</v>
      </c>
      <c r="C886" s="11" t="s">
        <v>2519</v>
      </c>
      <c r="D886" s="122" t="s">
        <v>5342</v>
      </c>
      <c r="E886" s="290"/>
      <c r="F886" s="289">
        <v>-7801037</v>
      </c>
    </row>
    <row r="887" spans="1:6" ht="15" x14ac:dyDescent="0.3">
      <c r="A887" s="105">
        <v>45952</v>
      </c>
      <c r="B887" s="112" t="s">
        <v>5340</v>
      </c>
      <c r="C887" s="11" t="s">
        <v>2519</v>
      </c>
      <c r="D887" s="122" t="s">
        <v>5343</v>
      </c>
      <c r="E887" s="290"/>
      <c r="F887" s="289">
        <v>-9751296.25</v>
      </c>
    </row>
    <row r="888" spans="1:6" ht="15" x14ac:dyDescent="0.3">
      <c r="A888" s="105">
        <v>45952</v>
      </c>
      <c r="B888" s="112" t="s">
        <v>5340</v>
      </c>
      <c r="C888" s="11" t="s">
        <v>2519</v>
      </c>
      <c r="D888" s="122" t="s">
        <v>5344</v>
      </c>
      <c r="E888" s="290"/>
      <c r="F888" s="289">
        <v>2900</v>
      </c>
    </row>
    <row r="889" spans="1:6" ht="15" x14ac:dyDescent="0.3">
      <c r="A889" s="105">
        <v>45952</v>
      </c>
      <c r="B889" s="112" t="s">
        <v>4975</v>
      </c>
      <c r="C889" s="11" t="s">
        <v>2519</v>
      </c>
      <c r="D889" s="122" t="s">
        <v>5345</v>
      </c>
      <c r="E889" s="290"/>
      <c r="F889" s="289">
        <v>1400000</v>
      </c>
    </row>
    <row r="890" spans="1:6" ht="15" x14ac:dyDescent="0.3">
      <c r="A890" s="105">
        <v>45952</v>
      </c>
      <c r="B890" s="112" t="s">
        <v>4975</v>
      </c>
      <c r="C890" s="11" t="s">
        <v>2519</v>
      </c>
      <c r="D890" s="122" t="s">
        <v>210</v>
      </c>
      <c r="E890" s="290"/>
      <c r="F890" s="289">
        <v>2500</v>
      </c>
    </row>
    <row r="891" spans="1:6" ht="15" x14ac:dyDescent="0.3">
      <c r="A891" s="105">
        <v>45952</v>
      </c>
      <c r="B891" s="112" t="s">
        <v>4975</v>
      </c>
      <c r="C891" s="11" t="s">
        <v>2519</v>
      </c>
      <c r="D891" s="122" t="s">
        <v>5346</v>
      </c>
      <c r="E891" s="290"/>
      <c r="F891" s="289">
        <v>90000</v>
      </c>
    </row>
    <row r="892" spans="1:6" ht="15" x14ac:dyDescent="0.3">
      <c r="A892" s="105">
        <v>45952</v>
      </c>
      <c r="B892" s="112" t="s">
        <v>4975</v>
      </c>
      <c r="C892" s="11" t="s">
        <v>2519</v>
      </c>
      <c r="D892" s="122" t="s">
        <v>210</v>
      </c>
      <c r="E892" s="290"/>
      <c r="F892" s="289">
        <v>2500</v>
      </c>
    </row>
    <row r="893" spans="1:6" ht="15" x14ac:dyDescent="0.3">
      <c r="A893" s="105">
        <v>45952</v>
      </c>
      <c r="B893" s="112" t="s">
        <v>4975</v>
      </c>
      <c r="C893" s="11" t="s">
        <v>2519</v>
      </c>
      <c r="D893" s="122" t="s">
        <v>5163</v>
      </c>
      <c r="E893" s="290"/>
      <c r="F893" s="289">
        <v>124800</v>
      </c>
    </row>
    <row r="894" spans="1:6" ht="15" x14ac:dyDescent="0.3">
      <c r="A894" s="105">
        <v>45952</v>
      </c>
      <c r="B894" s="112" t="s">
        <v>4975</v>
      </c>
      <c r="C894" s="11" t="s">
        <v>2519</v>
      </c>
      <c r="D894" s="122" t="s">
        <v>5347</v>
      </c>
      <c r="E894" s="290"/>
      <c r="F894" s="289">
        <v>300000</v>
      </c>
    </row>
    <row r="895" spans="1:6" ht="15" x14ac:dyDescent="0.3">
      <c r="A895" s="105">
        <v>45952</v>
      </c>
      <c r="B895" s="112" t="s">
        <v>4975</v>
      </c>
      <c r="C895" s="11" t="s">
        <v>2519</v>
      </c>
      <c r="D895" s="122" t="s">
        <v>210</v>
      </c>
      <c r="E895" s="290"/>
      <c r="F895" s="289">
        <v>2500</v>
      </c>
    </row>
    <row r="896" spans="1:6" ht="15" x14ac:dyDescent="0.3">
      <c r="A896" s="105">
        <v>45952</v>
      </c>
      <c r="B896" s="112" t="s">
        <v>4975</v>
      </c>
      <c r="C896" s="11" t="s">
        <v>2519</v>
      </c>
      <c r="D896" s="122" t="s">
        <v>5348</v>
      </c>
      <c r="E896" s="290"/>
      <c r="F896" s="289">
        <v>173300</v>
      </c>
    </row>
    <row r="897" spans="1:6" ht="15" x14ac:dyDescent="0.3">
      <c r="A897" s="105">
        <v>45952</v>
      </c>
      <c r="B897" s="112" t="s">
        <v>4975</v>
      </c>
      <c r="C897" s="11" t="s">
        <v>2519</v>
      </c>
      <c r="D897" s="122" t="s">
        <v>210</v>
      </c>
      <c r="E897" s="290"/>
      <c r="F897" s="289">
        <v>2500</v>
      </c>
    </row>
    <row r="898" spans="1:6" ht="15" x14ac:dyDescent="0.3">
      <c r="A898" s="105">
        <v>45952</v>
      </c>
      <c r="B898" s="112" t="s">
        <v>4975</v>
      </c>
      <c r="C898" s="11" t="s">
        <v>2519</v>
      </c>
      <c r="D898" s="122" t="s">
        <v>5349</v>
      </c>
      <c r="E898" s="290"/>
      <c r="F898" s="289">
        <v>313500</v>
      </c>
    </row>
    <row r="899" spans="1:6" ht="15" x14ac:dyDescent="0.3">
      <c r="A899" s="105">
        <v>45952</v>
      </c>
      <c r="B899" s="112" t="s">
        <v>4975</v>
      </c>
      <c r="C899" s="11" t="s">
        <v>2519</v>
      </c>
      <c r="D899" s="122" t="s">
        <v>210</v>
      </c>
      <c r="E899" s="290"/>
      <c r="F899" s="289">
        <v>2500</v>
      </c>
    </row>
    <row r="900" spans="1:6" ht="15" x14ac:dyDescent="0.3">
      <c r="A900" s="105">
        <v>45953</v>
      </c>
      <c r="B900" s="112" t="s">
        <v>4977</v>
      </c>
      <c r="C900" s="11" t="s">
        <v>2519</v>
      </c>
      <c r="D900" s="129" t="s">
        <v>5350</v>
      </c>
      <c r="E900" s="375"/>
      <c r="F900" s="283">
        <v>300000</v>
      </c>
    </row>
    <row r="901" spans="1:6" ht="15" x14ac:dyDescent="0.3">
      <c r="A901" s="105">
        <v>45953</v>
      </c>
      <c r="B901" s="112" t="s">
        <v>4977</v>
      </c>
      <c r="C901" s="11" t="s">
        <v>2519</v>
      </c>
      <c r="D901" s="129" t="s">
        <v>5351</v>
      </c>
      <c r="E901" s="375"/>
      <c r="F901" s="283">
        <v>12500</v>
      </c>
    </row>
    <row r="902" spans="1:6" ht="15" x14ac:dyDescent="0.3">
      <c r="A902" s="105">
        <v>45953</v>
      </c>
      <c r="B902" s="112" t="s">
        <v>4977</v>
      </c>
      <c r="C902" s="11" t="s">
        <v>2519</v>
      </c>
      <c r="D902" s="129" t="s">
        <v>5352</v>
      </c>
      <c r="E902" s="375"/>
      <c r="F902" s="283">
        <v>1200000</v>
      </c>
    </row>
    <row r="903" spans="1:6" ht="15" x14ac:dyDescent="0.3">
      <c r="A903" s="105">
        <v>45953</v>
      </c>
      <c r="B903" s="112" t="s">
        <v>4977</v>
      </c>
      <c r="C903" s="11" t="s">
        <v>2519</v>
      </c>
      <c r="D903" s="129" t="s">
        <v>5353</v>
      </c>
      <c r="E903" s="375"/>
      <c r="F903" s="283">
        <v>270000</v>
      </c>
    </row>
    <row r="904" spans="1:6" ht="15" x14ac:dyDescent="0.3">
      <c r="A904" s="105">
        <v>45953</v>
      </c>
      <c r="B904" s="112" t="s">
        <v>4977</v>
      </c>
      <c r="C904" s="11" t="s">
        <v>2519</v>
      </c>
      <c r="D904" s="129" t="s">
        <v>5354</v>
      </c>
      <c r="E904" s="375"/>
      <c r="F904" s="283">
        <v>160000</v>
      </c>
    </row>
    <row r="905" spans="1:6" ht="15" x14ac:dyDescent="0.3">
      <c r="A905" s="105">
        <v>45953</v>
      </c>
      <c r="B905" s="112" t="s">
        <v>4977</v>
      </c>
      <c r="C905" s="11" t="s">
        <v>2519</v>
      </c>
      <c r="D905" s="129" t="s">
        <v>5355</v>
      </c>
      <c r="E905" s="375"/>
      <c r="F905" s="283">
        <v>56000</v>
      </c>
    </row>
    <row r="906" spans="1:6" ht="15" x14ac:dyDescent="0.3">
      <c r="A906" s="105">
        <v>45954</v>
      </c>
      <c r="B906" s="112" t="s">
        <v>5356</v>
      </c>
      <c r="C906" s="11" t="s">
        <v>2519</v>
      </c>
      <c r="D906" s="122" t="s">
        <v>5357</v>
      </c>
      <c r="E906" s="290"/>
      <c r="F906" s="289">
        <v>400000</v>
      </c>
    </row>
    <row r="907" spans="1:6" ht="15" x14ac:dyDescent="0.3">
      <c r="A907" s="105">
        <v>45954</v>
      </c>
      <c r="B907" s="112" t="s">
        <v>5356</v>
      </c>
      <c r="C907" s="11" t="s">
        <v>2519</v>
      </c>
      <c r="D907" s="122" t="s">
        <v>5358</v>
      </c>
      <c r="E907" s="290"/>
      <c r="F907" s="289">
        <v>14000</v>
      </c>
    </row>
    <row r="908" spans="1:6" ht="15" x14ac:dyDescent="0.3">
      <c r="A908" s="105">
        <v>45954</v>
      </c>
      <c r="B908" s="112" t="s">
        <v>5356</v>
      </c>
      <c r="C908" s="11" t="s">
        <v>2519</v>
      </c>
      <c r="D908" s="122" t="s">
        <v>5359</v>
      </c>
      <c r="E908" s="290"/>
      <c r="F908" s="289">
        <v>44000</v>
      </c>
    </row>
    <row r="909" spans="1:6" ht="15" x14ac:dyDescent="0.3">
      <c r="A909" s="105">
        <v>45954</v>
      </c>
      <c r="B909" s="112" t="s">
        <v>5356</v>
      </c>
      <c r="C909" s="11" t="s">
        <v>2519</v>
      </c>
      <c r="D909" s="122" t="s">
        <v>5360</v>
      </c>
      <c r="E909" s="290"/>
      <c r="F909" s="289">
        <v>395500</v>
      </c>
    </row>
    <row r="910" spans="1:6" ht="15" x14ac:dyDescent="0.3">
      <c r="A910" s="105">
        <v>45954</v>
      </c>
      <c r="B910" s="112" t="s">
        <v>5356</v>
      </c>
      <c r="C910" s="11" t="s">
        <v>2519</v>
      </c>
      <c r="D910" s="122" t="s">
        <v>5361</v>
      </c>
      <c r="E910" s="290"/>
      <c r="F910" s="289">
        <v>141300</v>
      </c>
    </row>
    <row r="911" spans="1:6" ht="15" x14ac:dyDescent="0.3">
      <c r="A911" s="105">
        <v>45954</v>
      </c>
      <c r="B911" s="112" t="s">
        <v>5362</v>
      </c>
      <c r="C911" s="11" t="s">
        <v>2519</v>
      </c>
      <c r="D911" s="122" t="s">
        <v>447</v>
      </c>
      <c r="E911" s="290"/>
      <c r="F911" s="289">
        <v>202000</v>
      </c>
    </row>
    <row r="912" spans="1:6" ht="15" x14ac:dyDescent="0.3">
      <c r="A912" s="105">
        <v>45954</v>
      </c>
      <c r="B912" s="112" t="s">
        <v>5362</v>
      </c>
      <c r="C912" s="11" t="s">
        <v>2519</v>
      </c>
      <c r="D912" s="122" t="s">
        <v>446</v>
      </c>
      <c r="E912" s="290"/>
      <c r="F912" s="289">
        <v>200000</v>
      </c>
    </row>
    <row r="913" spans="1:6" ht="15" x14ac:dyDescent="0.3">
      <c r="A913" s="105">
        <v>45954</v>
      </c>
      <c r="B913" s="112" t="s">
        <v>5362</v>
      </c>
      <c r="C913" s="11" t="s">
        <v>2519</v>
      </c>
      <c r="D913" s="122" t="s">
        <v>2030</v>
      </c>
      <c r="E913" s="290"/>
      <c r="F913" s="289">
        <v>4000</v>
      </c>
    </row>
    <row r="914" spans="1:6" ht="15" x14ac:dyDescent="0.3">
      <c r="A914" s="105">
        <v>45954</v>
      </c>
      <c r="B914" s="112" t="s">
        <v>5362</v>
      </c>
      <c r="C914" s="11" t="s">
        <v>2519</v>
      </c>
      <c r="D914" s="122" t="s">
        <v>5363</v>
      </c>
      <c r="E914" s="290"/>
      <c r="F914" s="289">
        <v>288004</v>
      </c>
    </row>
    <row r="915" spans="1:6" ht="15" x14ac:dyDescent="0.3">
      <c r="A915" s="105">
        <v>45954</v>
      </c>
      <c r="B915" s="112" t="s">
        <v>5362</v>
      </c>
      <c r="C915" s="11" t="s">
        <v>2519</v>
      </c>
      <c r="D915" s="122" t="s">
        <v>2018</v>
      </c>
      <c r="E915" s="290"/>
      <c r="F915" s="289">
        <v>2900</v>
      </c>
    </row>
    <row r="916" spans="1:6" ht="15" x14ac:dyDescent="0.3">
      <c r="A916" s="105">
        <v>45954</v>
      </c>
      <c r="B916" s="112" t="s">
        <v>5364</v>
      </c>
      <c r="C916" s="11" t="s">
        <v>2519</v>
      </c>
      <c r="D916" s="122" t="s">
        <v>5365</v>
      </c>
      <c r="E916" s="290"/>
      <c r="F916" s="289">
        <v>2600000</v>
      </c>
    </row>
    <row r="917" spans="1:6" ht="15" x14ac:dyDescent="0.3">
      <c r="A917" s="105">
        <v>45954</v>
      </c>
      <c r="B917" s="112" t="s">
        <v>5364</v>
      </c>
      <c r="C917" s="11" t="s">
        <v>2519</v>
      </c>
      <c r="D917" s="122" t="s">
        <v>5366</v>
      </c>
      <c r="E917" s="290"/>
      <c r="F917" s="289">
        <v>286000</v>
      </c>
    </row>
    <row r="918" spans="1:6" ht="15" x14ac:dyDescent="0.3">
      <c r="A918" s="105">
        <v>45954</v>
      </c>
      <c r="B918" s="112" t="s">
        <v>5364</v>
      </c>
      <c r="C918" s="11" t="s">
        <v>2519</v>
      </c>
      <c r="D918" s="122" t="s">
        <v>5367</v>
      </c>
      <c r="E918" s="290"/>
      <c r="F918" s="289">
        <v>2900</v>
      </c>
    </row>
    <row r="919" spans="1:6" ht="15" x14ac:dyDescent="0.3">
      <c r="A919" s="105">
        <v>45954</v>
      </c>
      <c r="B919" s="112" t="s">
        <v>5368</v>
      </c>
      <c r="C919" s="11" t="s">
        <v>2519</v>
      </c>
      <c r="D919" s="122" t="s">
        <v>5369</v>
      </c>
      <c r="E919" s="290"/>
      <c r="F919" s="289">
        <v>17538462</v>
      </c>
    </row>
    <row r="920" spans="1:6" ht="15" x14ac:dyDescent="0.3">
      <c r="A920" s="105">
        <v>45954</v>
      </c>
      <c r="B920" s="112" t="s">
        <v>5368</v>
      </c>
      <c r="C920" s="11" t="s">
        <v>2519</v>
      </c>
      <c r="D920" s="122" t="s">
        <v>5370</v>
      </c>
      <c r="E920" s="290"/>
      <c r="F920" s="289">
        <v>-438462</v>
      </c>
    </row>
    <row r="921" spans="1:6" ht="15" x14ac:dyDescent="0.3">
      <c r="A921" s="105">
        <v>45954</v>
      </c>
      <c r="B921" s="112" t="s">
        <v>5368</v>
      </c>
      <c r="C921" s="11" t="s">
        <v>2519</v>
      </c>
      <c r="D921" s="122" t="s">
        <v>5371</v>
      </c>
      <c r="E921" s="290"/>
      <c r="F921" s="289">
        <v>2900</v>
      </c>
    </row>
    <row r="922" spans="1:6" ht="15" x14ac:dyDescent="0.3">
      <c r="A922" s="105">
        <v>45954</v>
      </c>
      <c r="B922" s="112" t="s">
        <v>5372</v>
      </c>
      <c r="C922" s="11" t="s">
        <v>2519</v>
      </c>
      <c r="D922" s="122" t="s">
        <v>5373</v>
      </c>
      <c r="E922" s="290"/>
      <c r="F922" s="289">
        <v>87500</v>
      </c>
    </row>
    <row r="923" spans="1:6" ht="15" x14ac:dyDescent="0.3">
      <c r="A923" s="105">
        <v>45954</v>
      </c>
      <c r="B923" s="112" t="s">
        <v>5372</v>
      </c>
      <c r="C923" s="11" t="s">
        <v>2519</v>
      </c>
      <c r="D923" s="122" t="s">
        <v>4204</v>
      </c>
      <c r="E923" s="290"/>
      <c r="F923" s="289">
        <v>2900</v>
      </c>
    </row>
    <row r="924" spans="1:6" ht="15" x14ac:dyDescent="0.3">
      <c r="A924" s="105">
        <v>45954</v>
      </c>
      <c r="B924" s="112" t="s">
        <v>5374</v>
      </c>
      <c r="C924" s="11" t="s">
        <v>2519</v>
      </c>
      <c r="D924" s="122" t="s">
        <v>5375</v>
      </c>
      <c r="E924" s="290"/>
      <c r="F924" s="289">
        <v>300000</v>
      </c>
    </row>
    <row r="925" spans="1:6" ht="15" x14ac:dyDescent="0.3">
      <c r="A925" s="105">
        <v>45954</v>
      </c>
      <c r="B925" s="112" t="s">
        <v>5374</v>
      </c>
      <c r="C925" s="11" t="s">
        <v>2519</v>
      </c>
      <c r="D925" s="122" t="s">
        <v>5376</v>
      </c>
      <c r="E925" s="290"/>
      <c r="F925" s="289">
        <v>528000</v>
      </c>
    </row>
    <row r="926" spans="1:6" ht="15" x14ac:dyDescent="0.3">
      <c r="A926" s="105">
        <v>45954</v>
      </c>
      <c r="B926" s="112" t="s">
        <v>5374</v>
      </c>
      <c r="C926" s="11" t="s">
        <v>2519</v>
      </c>
      <c r="D926" s="122" t="s">
        <v>5377</v>
      </c>
      <c r="E926" s="290"/>
      <c r="F926" s="289">
        <v>284500</v>
      </c>
    </row>
    <row r="927" spans="1:6" ht="15" x14ac:dyDescent="0.3">
      <c r="A927" s="105">
        <v>45954</v>
      </c>
      <c r="B927" s="112" t="s">
        <v>5374</v>
      </c>
      <c r="C927" s="11" t="s">
        <v>2519</v>
      </c>
      <c r="D927" s="122" t="s">
        <v>5378</v>
      </c>
      <c r="E927" s="290"/>
      <c r="F927" s="289">
        <v>80000</v>
      </c>
    </row>
    <row r="928" spans="1:6" ht="15" x14ac:dyDescent="0.3">
      <c r="A928" s="105">
        <v>45954</v>
      </c>
      <c r="B928" s="112" t="s">
        <v>5374</v>
      </c>
      <c r="C928" s="11" t="s">
        <v>2519</v>
      </c>
      <c r="D928" s="122" t="s">
        <v>5379</v>
      </c>
      <c r="E928" s="290"/>
      <c r="F928" s="289">
        <v>53500</v>
      </c>
    </row>
    <row r="929" spans="1:6" ht="15" x14ac:dyDescent="0.3">
      <c r="A929" s="105">
        <v>45954</v>
      </c>
      <c r="B929" s="112" t="s">
        <v>5374</v>
      </c>
      <c r="C929" s="11" t="s">
        <v>2519</v>
      </c>
      <c r="D929" s="122" t="s">
        <v>5380</v>
      </c>
      <c r="E929" s="290"/>
      <c r="F929" s="289">
        <v>17000</v>
      </c>
    </row>
    <row r="930" spans="1:6" ht="15" x14ac:dyDescent="0.3">
      <c r="A930" s="105">
        <v>45954</v>
      </c>
      <c r="B930" s="112" t="s">
        <v>5374</v>
      </c>
      <c r="C930" s="11" t="s">
        <v>2519</v>
      </c>
      <c r="D930" s="122" t="s">
        <v>5381</v>
      </c>
      <c r="E930" s="290"/>
      <c r="F930" s="289">
        <v>594500</v>
      </c>
    </row>
    <row r="931" spans="1:6" ht="15" x14ac:dyDescent="0.3">
      <c r="A931" s="105">
        <v>45954</v>
      </c>
      <c r="B931" s="112" t="s">
        <v>5374</v>
      </c>
      <c r="C931" s="11" t="s">
        <v>2519</v>
      </c>
      <c r="D931" s="122" t="s">
        <v>5382</v>
      </c>
      <c r="E931" s="290"/>
      <c r="F931" s="289">
        <v>42000</v>
      </c>
    </row>
    <row r="932" spans="1:6" ht="15" x14ac:dyDescent="0.3">
      <c r="A932" s="105">
        <v>45954</v>
      </c>
      <c r="B932" s="112" t="s">
        <v>5383</v>
      </c>
      <c r="C932" s="11" t="s">
        <v>2519</v>
      </c>
      <c r="D932" s="122" t="s">
        <v>5384</v>
      </c>
      <c r="E932" s="290"/>
      <c r="F932" s="289">
        <v>205500</v>
      </c>
    </row>
    <row r="933" spans="1:6" ht="15" x14ac:dyDescent="0.3">
      <c r="A933" s="105">
        <v>45954</v>
      </c>
      <c r="B933" s="112" t="s">
        <v>5082</v>
      </c>
      <c r="C933" s="11" t="s">
        <v>2519</v>
      </c>
      <c r="D933" s="122" t="s">
        <v>5385</v>
      </c>
      <c r="E933" s="290"/>
      <c r="F933" s="289">
        <v>20000</v>
      </c>
    </row>
    <row r="934" spans="1:6" ht="15" x14ac:dyDescent="0.3">
      <c r="A934" s="32">
        <v>45960</v>
      </c>
      <c r="B934" s="142" t="s">
        <v>5566</v>
      </c>
      <c r="C934" s="9" t="s">
        <v>2519</v>
      </c>
      <c r="D934" s="554" t="s">
        <v>5567</v>
      </c>
      <c r="E934" s="335"/>
      <c r="F934" s="295">
        <v>10561950</v>
      </c>
    </row>
    <row r="935" spans="1:6" ht="15" x14ac:dyDescent="0.3">
      <c r="A935" s="32">
        <v>45960</v>
      </c>
      <c r="B935" s="142" t="s">
        <v>5566</v>
      </c>
      <c r="C935" s="9" t="s">
        <v>2519</v>
      </c>
      <c r="D935" s="554" t="s">
        <v>5568</v>
      </c>
      <c r="E935" s="335"/>
      <c r="F935" s="295">
        <v>419125</v>
      </c>
    </row>
    <row r="936" spans="1:6" ht="15" x14ac:dyDescent="0.3">
      <c r="A936" s="105">
        <v>45957</v>
      </c>
      <c r="B936" s="112" t="s">
        <v>5403</v>
      </c>
      <c r="C936" s="11" t="s">
        <v>2519</v>
      </c>
      <c r="D936" s="259" t="s">
        <v>5569</v>
      </c>
      <c r="E936" s="290"/>
      <c r="F936" s="289">
        <v>123000</v>
      </c>
    </row>
    <row r="937" spans="1:6" ht="15" x14ac:dyDescent="0.3">
      <c r="A937" s="105">
        <v>45957</v>
      </c>
      <c r="B937" s="112" t="s">
        <v>5403</v>
      </c>
      <c r="C937" s="11" t="s">
        <v>2519</v>
      </c>
      <c r="D937" s="259" t="s">
        <v>5570</v>
      </c>
      <c r="E937" s="290"/>
      <c r="F937" s="289">
        <v>25000</v>
      </c>
    </row>
    <row r="938" spans="1:6" ht="15" x14ac:dyDescent="0.3">
      <c r="A938" s="105">
        <v>45957</v>
      </c>
      <c r="B938" s="112" t="s">
        <v>5403</v>
      </c>
      <c r="C938" s="11" t="s">
        <v>2519</v>
      </c>
      <c r="D938" s="259" t="s">
        <v>5571</v>
      </c>
      <c r="E938" s="290"/>
      <c r="F938" s="289">
        <v>20000</v>
      </c>
    </row>
    <row r="939" spans="1:6" ht="15" x14ac:dyDescent="0.3">
      <c r="A939" s="105">
        <v>45957</v>
      </c>
      <c r="B939" s="112" t="s">
        <v>5403</v>
      </c>
      <c r="C939" s="11" t="s">
        <v>2519</v>
      </c>
      <c r="D939" s="259" t="s">
        <v>5572</v>
      </c>
      <c r="E939" s="290"/>
      <c r="F939" s="289">
        <v>47000</v>
      </c>
    </row>
    <row r="940" spans="1:6" ht="15" x14ac:dyDescent="0.3">
      <c r="A940" s="105">
        <v>45957</v>
      </c>
      <c r="B940" s="112" t="s">
        <v>5403</v>
      </c>
      <c r="C940" s="11" t="s">
        <v>2519</v>
      </c>
      <c r="D940" s="259" t="s">
        <v>5573</v>
      </c>
      <c r="E940" s="290"/>
      <c r="F940" s="289">
        <v>1700000</v>
      </c>
    </row>
    <row r="941" spans="1:6" ht="15" x14ac:dyDescent="0.3">
      <c r="A941" s="105">
        <v>45957</v>
      </c>
      <c r="B941" s="112" t="s">
        <v>5403</v>
      </c>
      <c r="C941" s="11" t="s">
        <v>2519</v>
      </c>
      <c r="D941" s="259" t="s">
        <v>981</v>
      </c>
      <c r="E941" s="290"/>
      <c r="F941" s="289">
        <v>2500</v>
      </c>
    </row>
    <row r="942" spans="1:6" ht="15" x14ac:dyDescent="0.3">
      <c r="A942" s="105">
        <v>45957</v>
      </c>
      <c r="B942" s="112" t="s">
        <v>5403</v>
      </c>
      <c r="C942" s="11" t="s">
        <v>2519</v>
      </c>
      <c r="D942" s="259" t="s">
        <v>5574</v>
      </c>
      <c r="E942" s="290"/>
      <c r="F942" s="289">
        <v>25000</v>
      </c>
    </row>
    <row r="943" spans="1:6" ht="15" x14ac:dyDescent="0.3">
      <c r="A943" s="105">
        <v>45957</v>
      </c>
      <c r="B943" s="112" t="s">
        <v>5403</v>
      </c>
      <c r="C943" s="11" t="s">
        <v>2519</v>
      </c>
      <c r="D943" s="259" t="s">
        <v>981</v>
      </c>
      <c r="E943" s="290"/>
      <c r="F943" s="289">
        <v>2500</v>
      </c>
    </row>
    <row r="944" spans="1:6" ht="15" x14ac:dyDescent="0.3">
      <c r="A944" s="105">
        <v>45957</v>
      </c>
      <c r="B944" s="112" t="s">
        <v>5403</v>
      </c>
      <c r="C944" s="11" t="s">
        <v>2519</v>
      </c>
      <c r="D944" s="259" t="s">
        <v>5575</v>
      </c>
      <c r="E944" s="290"/>
      <c r="F944" s="289">
        <v>39772</v>
      </c>
    </row>
    <row r="945" spans="1:6" ht="15" x14ac:dyDescent="0.3">
      <c r="A945" s="105">
        <v>45957</v>
      </c>
      <c r="B945" s="112" t="s">
        <v>5403</v>
      </c>
      <c r="C945" s="11" t="s">
        <v>2519</v>
      </c>
      <c r="D945" s="259" t="s">
        <v>981</v>
      </c>
      <c r="E945" s="290"/>
      <c r="F945" s="289">
        <v>2500</v>
      </c>
    </row>
    <row r="946" spans="1:6" ht="15" x14ac:dyDescent="0.3">
      <c r="A946" s="105">
        <v>45957</v>
      </c>
      <c r="B946" s="112" t="s">
        <v>5403</v>
      </c>
      <c r="C946" s="11" t="s">
        <v>2519</v>
      </c>
      <c r="D946" s="259" t="s">
        <v>5576</v>
      </c>
      <c r="E946" s="290"/>
      <c r="F946" s="289">
        <v>80000</v>
      </c>
    </row>
    <row r="947" spans="1:6" ht="15" x14ac:dyDescent="0.3">
      <c r="A947" s="105">
        <v>45957</v>
      </c>
      <c r="B947" s="112" t="s">
        <v>5403</v>
      </c>
      <c r="C947" s="11" t="s">
        <v>2519</v>
      </c>
      <c r="D947" s="259" t="s">
        <v>5577</v>
      </c>
      <c r="E947" s="290"/>
      <c r="F947" s="289">
        <v>839000</v>
      </c>
    </row>
    <row r="948" spans="1:6" ht="15" x14ac:dyDescent="0.3">
      <c r="A948" s="105">
        <v>45957</v>
      </c>
      <c r="B948" s="112" t="s">
        <v>5411</v>
      </c>
      <c r="C948" s="11" t="s">
        <v>2519</v>
      </c>
      <c r="D948" s="259" t="s">
        <v>5578</v>
      </c>
      <c r="E948" s="290"/>
      <c r="F948" s="289">
        <v>150000</v>
      </c>
    </row>
    <row r="949" spans="1:6" ht="15" x14ac:dyDescent="0.3">
      <c r="A949" s="105">
        <v>45958</v>
      </c>
      <c r="B949" s="112" t="s">
        <v>5416</v>
      </c>
      <c r="C949" s="11" t="s">
        <v>2519</v>
      </c>
      <c r="D949" s="259" t="s">
        <v>5579</v>
      </c>
      <c r="E949" s="290"/>
      <c r="F949" s="289">
        <v>3076923</v>
      </c>
    </row>
    <row r="950" spans="1:6" ht="15" x14ac:dyDescent="0.3">
      <c r="A950" s="105">
        <v>45958</v>
      </c>
      <c r="B950" s="112" t="s">
        <v>5416</v>
      </c>
      <c r="C950" s="11" t="s">
        <v>2519</v>
      </c>
      <c r="D950" s="259" t="s">
        <v>5580</v>
      </c>
      <c r="E950" s="290"/>
      <c r="F950" s="289">
        <v>-76923</v>
      </c>
    </row>
    <row r="951" spans="1:6" ht="15" x14ac:dyDescent="0.3">
      <c r="A951" s="105">
        <v>45959</v>
      </c>
      <c r="B951" s="112" t="s">
        <v>5432</v>
      </c>
      <c r="C951" s="11" t="s">
        <v>2519</v>
      </c>
      <c r="D951" s="259" t="s">
        <v>5581</v>
      </c>
      <c r="E951" s="290"/>
      <c r="F951" s="289">
        <v>25000</v>
      </c>
    </row>
    <row r="952" spans="1:6" ht="15" x14ac:dyDescent="0.3">
      <c r="A952" s="105">
        <v>45959</v>
      </c>
      <c r="B952" s="112" t="s">
        <v>5432</v>
      </c>
      <c r="C952" s="11" t="s">
        <v>2519</v>
      </c>
      <c r="D952" s="259" t="s">
        <v>5582</v>
      </c>
      <c r="E952" s="290"/>
      <c r="F952" s="289">
        <v>500000</v>
      </c>
    </row>
    <row r="953" spans="1:6" ht="15" x14ac:dyDescent="0.3">
      <c r="A953" s="105">
        <v>45959</v>
      </c>
      <c r="B953" s="112" t="s">
        <v>5583</v>
      </c>
      <c r="C953" s="11" t="s">
        <v>2519</v>
      </c>
      <c r="D953" s="259" t="s">
        <v>5584</v>
      </c>
      <c r="E953" s="290"/>
      <c r="F953" s="289">
        <v>715734000</v>
      </c>
    </row>
    <row r="954" spans="1:6" ht="15" x14ac:dyDescent="0.3">
      <c r="A954" s="105">
        <v>45959</v>
      </c>
      <c r="B954" s="112" t="s">
        <v>5583</v>
      </c>
      <c r="C954" s="11" t="s">
        <v>2519</v>
      </c>
      <c r="D954" s="259" t="s">
        <v>5585</v>
      </c>
      <c r="E954" s="290"/>
      <c r="F954" s="289">
        <v>78730740</v>
      </c>
    </row>
    <row r="955" spans="1:6" ht="15" x14ac:dyDescent="0.3">
      <c r="A955" s="105">
        <v>45959</v>
      </c>
      <c r="B955" s="112" t="s">
        <v>5583</v>
      </c>
      <c r="C955" s="11" t="s">
        <v>2519</v>
      </c>
      <c r="D955" s="259" t="s">
        <v>5586</v>
      </c>
      <c r="E955" s="290"/>
      <c r="F955" s="289">
        <v>2900</v>
      </c>
    </row>
    <row r="956" spans="1:6" ht="15" x14ac:dyDescent="0.3">
      <c r="A956" s="105">
        <v>45960</v>
      </c>
      <c r="B956" s="112" t="s">
        <v>5442</v>
      </c>
      <c r="C956" s="11" t="s">
        <v>2519</v>
      </c>
      <c r="D956" s="129" t="s">
        <v>5237</v>
      </c>
      <c r="E956" s="290"/>
      <c r="F956" s="283">
        <v>77940</v>
      </c>
    </row>
    <row r="957" spans="1:6" ht="15" x14ac:dyDescent="0.3">
      <c r="A957" s="105">
        <v>45960</v>
      </c>
      <c r="B957" s="112" t="s">
        <v>5442</v>
      </c>
      <c r="C957" s="11" t="s">
        <v>2519</v>
      </c>
      <c r="D957" s="129" t="s">
        <v>5587</v>
      </c>
      <c r="E957" s="290"/>
      <c r="F957" s="283">
        <v>25000</v>
      </c>
    </row>
    <row r="958" spans="1:6" ht="15" x14ac:dyDescent="0.3">
      <c r="A958" s="105">
        <v>45960</v>
      </c>
      <c r="B958" s="112" t="s">
        <v>5442</v>
      </c>
      <c r="C958" s="11" t="s">
        <v>2519</v>
      </c>
      <c r="D958" s="129" t="s">
        <v>5221</v>
      </c>
      <c r="E958" s="290"/>
      <c r="F958" s="283">
        <v>42000</v>
      </c>
    </row>
    <row r="959" spans="1:6" ht="15" x14ac:dyDescent="0.3">
      <c r="A959" s="105">
        <v>45960</v>
      </c>
      <c r="B959" s="112" t="s">
        <v>5442</v>
      </c>
      <c r="C959" s="11" t="s">
        <v>2519</v>
      </c>
      <c r="D959" s="129" t="s">
        <v>5224</v>
      </c>
      <c r="E959" s="290"/>
      <c r="F959" s="283">
        <v>20000</v>
      </c>
    </row>
    <row r="960" spans="1:6" ht="15" x14ac:dyDescent="0.3">
      <c r="A960" s="105">
        <v>45960</v>
      </c>
      <c r="B960" s="112" t="s">
        <v>5442</v>
      </c>
      <c r="C960" s="11" t="s">
        <v>2519</v>
      </c>
      <c r="D960" s="129" t="s">
        <v>5086</v>
      </c>
      <c r="E960" s="290"/>
      <c r="F960" s="283">
        <v>36500</v>
      </c>
    </row>
    <row r="961" spans="1:6" ht="15" x14ac:dyDescent="0.3">
      <c r="A961" s="105">
        <v>45960</v>
      </c>
      <c r="B961" s="112" t="s">
        <v>5442</v>
      </c>
      <c r="C961" s="11" t="s">
        <v>2519</v>
      </c>
      <c r="D961" s="260" t="s">
        <v>5588</v>
      </c>
      <c r="E961" s="290"/>
      <c r="F961" s="283">
        <v>102500</v>
      </c>
    </row>
    <row r="962" spans="1:6" ht="15" x14ac:dyDescent="0.3">
      <c r="A962" s="105">
        <v>45960</v>
      </c>
      <c r="B962" s="112" t="s">
        <v>5442</v>
      </c>
      <c r="C962" s="11" t="s">
        <v>2519</v>
      </c>
      <c r="D962" s="260" t="s">
        <v>5589</v>
      </c>
      <c r="E962" s="290"/>
      <c r="F962" s="283">
        <v>100000</v>
      </c>
    </row>
    <row r="963" spans="1:6" ht="15" x14ac:dyDescent="0.3">
      <c r="A963" s="105">
        <v>45960</v>
      </c>
      <c r="B963" s="112" t="s">
        <v>5442</v>
      </c>
      <c r="C963" s="11" t="s">
        <v>2519</v>
      </c>
      <c r="D963" s="260" t="s">
        <v>5590</v>
      </c>
      <c r="E963" s="290"/>
      <c r="F963" s="283">
        <v>90000</v>
      </c>
    </row>
    <row r="964" spans="1:6" ht="15" x14ac:dyDescent="0.3">
      <c r="A964" s="105">
        <v>45960</v>
      </c>
      <c r="B964" s="112" t="s">
        <v>5450</v>
      </c>
      <c r="C964" s="11" t="s">
        <v>2519</v>
      </c>
      <c r="D964" s="129" t="s">
        <v>5591</v>
      </c>
      <c r="E964" s="290"/>
      <c r="F964" s="283">
        <v>77000</v>
      </c>
    </row>
    <row r="965" spans="1:6" ht="15" x14ac:dyDescent="0.3">
      <c r="A965" s="105">
        <v>45960</v>
      </c>
      <c r="B965" s="112" t="s">
        <v>5455</v>
      </c>
      <c r="C965" s="11" t="s">
        <v>2519</v>
      </c>
      <c r="D965" s="129" t="s">
        <v>5592</v>
      </c>
      <c r="E965" s="290"/>
      <c r="F965" s="283">
        <v>275000</v>
      </c>
    </row>
    <row r="966" spans="1:6" ht="15" x14ac:dyDescent="0.3">
      <c r="A966" s="105">
        <v>45960</v>
      </c>
      <c r="B966" s="112" t="s">
        <v>5455</v>
      </c>
      <c r="C966" s="11" t="s">
        <v>2519</v>
      </c>
      <c r="D966" s="129" t="s">
        <v>2539</v>
      </c>
      <c r="E966" s="290"/>
      <c r="F966" s="283">
        <v>2500</v>
      </c>
    </row>
    <row r="967" spans="1:6" ht="15" x14ac:dyDescent="0.3">
      <c r="A967" s="105">
        <v>45960</v>
      </c>
      <c r="B967" s="112" t="s">
        <v>5455</v>
      </c>
      <c r="C967" s="11" t="s">
        <v>2519</v>
      </c>
      <c r="D967" s="129" t="s">
        <v>5593</v>
      </c>
      <c r="E967" s="290"/>
      <c r="F967" s="283">
        <v>112900</v>
      </c>
    </row>
    <row r="968" spans="1:6" ht="15" x14ac:dyDescent="0.3">
      <c r="A968" s="105">
        <v>45960</v>
      </c>
      <c r="B968" s="112" t="s">
        <v>5455</v>
      </c>
      <c r="C968" s="11" t="s">
        <v>2519</v>
      </c>
      <c r="D968" s="129" t="s">
        <v>2539</v>
      </c>
      <c r="E968" s="290"/>
      <c r="F968" s="283">
        <v>2500</v>
      </c>
    </row>
    <row r="969" spans="1:6" ht="15" x14ac:dyDescent="0.3">
      <c r="A969" s="105">
        <v>45960</v>
      </c>
      <c r="B969" s="112" t="s">
        <v>5455</v>
      </c>
      <c r="C969" s="11" t="s">
        <v>2519</v>
      </c>
      <c r="D969" s="129" t="s">
        <v>5594</v>
      </c>
      <c r="E969" s="290"/>
      <c r="F969" s="283">
        <v>150000</v>
      </c>
    </row>
    <row r="970" spans="1:6" ht="15" x14ac:dyDescent="0.3">
      <c r="A970" s="105">
        <v>45961</v>
      </c>
      <c r="B970" s="112" t="s">
        <v>5595</v>
      </c>
      <c r="C970" s="11" t="s">
        <v>2519</v>
      </c>
      <c r="D970" s="259" t="s">
        <v>5596</v>
      </c>
      <c r="E970" s="290"/>
      <c r="F970" s="289">
        <v>334300</v>
      </c>
    </row>
    <row r="971" spans="1:6" ht="15" x14ac:dyDescent="0.3">
      <c r="A971" s="105">
        <v>45961</v>
      </c>
      <c r="B971" s="112" t="s">
        <v>5595</v>
      </c>
      <c r="C971" s="11" t="s">
        <v>2519</v>
      </c>
      <c r="D971" s="259" t="s">
        <v>5597</v>
      </c>
      <c r="E971" s="290"/>
      <c r="F971" s="289">
        <v>344793</v>
      </c>
    </row>
    <row r="972" spans="1:6" ht="15" x14ac:dyDescent="0.3">
      <c r="A972" s="105">
        <v>45961</v>
      </c>
      <c r="B972" s="112" t="s">
        <v>5595</v>
      </c>
      <c r="C972" s="11" t="s">
        <v>2519</v>
      </c>
      <c r="D972" s="259" t="s">
        <v>5598</v>
      </c>
      <c r="E972" s="290"/>
      <c r="F972" s="289">
        <v>119000</v>
      </c>
    </row>
    <row r="973" spans="1:6" ht="15" x14ac:dyDescent="0.3">
      <c r="A973" s="105">
        <v>45961</v>
      </c>
      <c r="B973" s="112" t="s">
        <v>5595</v>
      </c>
      <c r="C973" s="11" t="s">
        <v>2519</v>
      </c>
      <c r="D973" s="259" t="s">
        <v>5599</v>
      </c>
      <c r="E973" s="290"/>
      <c r="F973" s="289">
        <v>2900</v>
      </c>
    </row>
    <row r="974" spans="1:6" ht="15" x14ac:dyDescent="0.3">
      <c r="A974" s="105">
        <v>45961</v>
      </c>
      <c r="B974" s="112" t="s">
        <v>5467</v>
      </c>
      <c r="C974" s="11" t="s">
        <v>2519</v>
      </c>
      <c r="D974" s="259" t="s">
        <v>5600</v>
      </c>
      <c r="E974" s="290"/>
      <c r="F974" s="289">
        <v>25000</v>
      </c>
    </row>
    <row r="975" spans="1:6" ht="15" x14ac:dyDescent="0.3">
      <c r="A975" s="105">
        <v>45961</v>
      </c>
      <c r="B975" s="112" t="s">
        <v>5467</v>
      </c>
      <c r="C975" s="11" t="s">
        <v>2519</v>
      </c>
      <c r="D975" s="259" t="s">
        <v>981</v>
      </c>
      <c r="E975" s="290"/>
      <c r="F975" s="289">
        <v>2500</v>
      </c>
    </row>
    <row r="976" spans="1:6" ht="15" x14ac:dyDescent="0.3">
      <c r="A976" s="105">
        <v>45961</v>
      </c>
      <c r="B976" s="112" t="s">
        <v>5467</v>
      </c>
      <c r="C976" s="11" t="s">
        <v>2519</v>
      </c>
      <c r="D976" s="259" t="s">
        <v>5601</v>
      </c>
      <c r="E976" s="290"/>
      <c r="F976" s="289">
        <v>60000</v>
      </c>
    </row>
    <row r="977" spans="1:6" ht="15" x14ac:dyDescent="0.3">
      <c r="A977" s="105">
        <v>45961</v>
      </c>
      <c r="B977" s="112" t="s">
        <v>5467</v>
      </c>
      <c r="C977" s="11" t="s">
        <v>2519</v>
      </c>
      <c r="D977" s="259" t="s">
        <v>981</v>
      </c>
      <c r="E977" s="290"/>
      <c r="F977" s="289">
        <v>2500</v>
      </c>
    </row>
    <row r="978" spans="1:6" ht="15" x14ac:dyDescent="0.3">
      <c r="A978" s="105">
        <v>45961</v>
      </c>
      <c r="B978" s="112" t="s">
        <v>5467</v>
      </c>
      <c r="C978" s="11" t="s">
        <v>2519</v>
      </c>
      <c r="D978" s="259" t="s">
        <v>5602</v>
      </c>
      <c r="E978" s="290"/>
      <c r="F978" s="289">
        <v>500000</v>
      </c>
    </row>
    <row r="979" spans="1:6" ht="15" x14ac:dyDescent="0.3">
      <c r="A979" s="105">
        <v>45961</v>
      </c>
      <c r="B979" s="112" t="s">
        <v>5467</v>
      </c>
      <c r="C979" s="11" t="s">
        <v>2519</v>
      </c>
      <c r="D979" s="259" t="s">
        <v>5603</v>
      </c>
      <c r="E979" s="290"/>
      <c r="F979" s="289">
        <v>100000</v>
      </c>
    </row>
    <row r="980" spans="1:6" ht="15" x14ac:dyDescent="0.3">
      <c r="A980" s="105">
        <v>45961</v>
      </c>
      <c r="B980" s="112" t="s">
        <v>5467</v>
      </c>
      <c r="C980" s="11" t="s">
        <v>2519</v>
      </c>
      <c r="D980" s="259" t="s">
        <v>5604</v>
      </c>
      <c r="E980" s="290"/>
      <c r="F980" s="289">
        <v>159999</v>
      </c>
    </row>
    <row r="981" spans="1:6" ht="15" x14ac:dyDescent="0.3">
      <c r="A981" s="105">
        <v>45961</v>
      </c>
      <c r="B981" s="112" t="s">
        <v>5467</v>
      </c>
      <c r="C981" s="11" t="s">
        <v>2519</v>
      </c>
      <c r="D981" s="259" t="s">
        <v>981</v>
      </c>
      <c r="E981" s="290"/>
      <c r="F981" s="289">
        <v>2500</v>
      </c>
    </row>
    <row r="982" spans="1:6" ht="15" x14ac:dyDescent="0.3">
      <c r="A982" s="105">
        <v>45961</v>
      </c>
      <c r="B982" s="112" t="s">
        <v>5467</v>
      </c>
      <c r="C982" s="11" t="s">
        <v>2519</v>
      </c>
      <c r="D982" s="259" t="s">
        <v>5605</v>
      </c>
      <c r="E982" s="290"/>
      <c r="F982" s="289">
        <v>100000</v>
      </c>
    </row>
    <row r="983" spans="1:6" ht="15" x14ac:dyDescent="0.3">
      <c r="A983" s="105">
        <v>45961</v>
      </c>
      <c r="B983" s="112" t="s">
        <v>5467</v>
      </c>
      <c r="C983" s="11" t="s">
        <v>2519</v>
      </c>
      <c r="D983" s="259" t="s">
        <v>5606</v>
      </c>
      <c r="E983" s="290"/>
      <c r="F983" s="289">
        <v>20000</v>
      </c>
    </row>
    <row r="984" spans="1:6" ht="15" x14ac:dyDescent="0.3">
      <c r="A984" s="105">
        <v>45961</v>
      </c>
      <c r="B984" s="112" t="s">
        <v>5467</v>
      </c>
      <c r="C984" s="11" t="s">
        <v>2519</v>
      </c>
      <c r="D984" s="259" t="s">
        <v>981</v>
      </c>
      <c r="E984" s="290"/>
      <c r="F984" s="289">
        <v>2500</v>
      </c>
    </row>
    <row r="985" spans="1:6" ht="15" x14ac:dyDescent="0.3">
      <c r="A985" s="105">
        <v>45964</v>
      </c>
      <c r="B985" s="112" t="s">
        <v>5607</v>
      </c>
      <c r="C985" s="11" t="s">
        <v>2519</v>
      </c>
      <c r="D985" s="260" t="s">
        <v>5608</v>
      </c>
      <c r="E985" s="290"/>
      <c r="F985" s="283">
        <v>48600</v>
      </c>
    </row>
    <row r="986" spans="1:6" ht="15" x14ac:dyDescent="0.3">
      <c r="A986" s="105">
        <v>45964</v>
      </c>
      <c r="B986" s="112" t="s">
        <v>5607</v>
      </c>
      <c r="C986" s="11" t="s">
        <v>2519</v>
      </c>
      <c r="D986" s="129" t="s">
        <v>5609</v>
      </c>
      <c r="E986" s="290"/>
      <c r="F986" s="283">
        <v>27500</v>
      </c>
    </row>
    <row r="987" spans="1:6" ht="15" x14ac:dyDescent="0.3">
      <c r="A987" s="105">
        <v>45964</v>
      </c>
      <c r="B987" s="112" t="s">
        <v>5607</v>
      </c>
      <c r="C987" s="11" t="s">
        <v>2519</v>
      </c>
      <c r="D987" s="129" t="s">
        <v>5610</v>
      </c>
      <c r="E987" s="290"/>
      <c r="F987" s="283">
        <v>27500</v>
      </c>
    </row>
    <row r="988" spans="1:6" ht="15" x14ac:dyDescent="0.3">
      <c r="A988" s="105">
        <v>45964</v>
      </c>
      <c r="B988" s="112" t="s">
        <v>5607</v>
      </c>
      <c r="C988" s="11" t="s">
        <v>2519</v>
      </c>
      <c r="D988" s="129" t="s">
        <v>5276</v>
      </c>
      <c r="E988" s="290"/>
      <c r="F988" s="283">
        <v>30000</v>
      </c>
    </row>
    <row r="989" spans="1:6" ht="15" x14ac:dyDescent="0.3">
      <c r="A989" s="105">
        <v>45964</v>
      </c>
      <c r="B989" s="112" t="s">
        <v>5607</v>
      </c>
      <c r="C989" s="11" t="s">
        <v>2519</v>
      </c>
      <c r="D989" s="260" t="s">
        <v>5611</v>
      </c>
      <c r="E989" s="290"/>
      <c r="F989" s="283">
        <v>100000</v>
      </c>
    </row>
    <row r="990" spans="1:6" ht="15" x14ac:dyDescent="0.3">
      <c r="A990" s="105">
        <v>45964</v>
      </c>
      <c r="B990" s="112" t="s">
        <v>5607</v>
      </c>
      <c r="C990" s="11" t="s">
        <v>2519</v>
      </c>
      <c r="D990" s="129" t="s">
        <v>5221</v>
      </c>
      <c r="E990" s="290"/>
      <c r="F990" s="283">
        <v>65500</v>
      </c>
    </row>
    <row r="991" spans="1:6" ht="15" x14ac:dyDescent="0.3">
      <c r="A991" s="105">
        <v>45964</v>
      </c>
      <c r="B991" s="112" t="s">
        <v>5607</v>
      </c>
      <c r="C991" s="11" t="s">
        <v>2519</v>
      </c>
      <c r="D991" s="260" t="s">
        <v>5612</v>
      </c>
      <c r="E991" s="290"/>
      <c r="F991" s="283">
        <v>80000</v>
      </c>
    </row>
    <row r="992" spans="1:6" ht="15" x14ac:dyDescent="0.3">
      <c r="A992" s="105">
        <v>45964</v>
      </c>
      <c r="B992" s="112" t="s">
        <v>5386</v>
      </c>
      <c r="C992" s="11" t="s">
        <v>2519</v>
      </c>
      <c r="D992" s="260" t="s">
        <v>5613</v>
      </c>
      <c r="E992" s="290"/>
      <c r="F992" s="283">
        <v>503000</v>
      </c>
    </row>
    <row r="993" spans="1:6" ht="15" x14ac:dyDescent="0.3">
      <c r="A993" s="105">
        <v>45964</v>
      </c>
      <c r="B993" s="112" t="s">
        <v>5386</v>
      </c>
      <c r="C993" s="11" t="s">
        <v>2519</v>
      </c>
      <c r="D993" s="260" t="s">
        <v>5614</v>
      </c>
      <c r="E993" s="290"/>
      <c r="F993" s="283">
        <v>63000</v>
      </c>
    </row>
    <row r="994" spans="1:6" ht="15" x14ac:dyDescent="0.3">
      <c r="A994" s="105">
        <v>45964</v>
      </c>
      <c r="B994" s="112" t="s">
        <v>5386</v>
      </c>
      <c r="C994" s="11" t="s">
        <v>2519</v>
      </c>
      <c r="D994" s="260" t="s">
        <v>5615</v>
      </c>
      <c r="E994" s="290"/>
      <c r="F994" s="283">
        <v>20000</v>
      </c>
    </row>
    <row r="995" spans="1:6" ht="15" x14ac:dyDescent="0.3">
      <c r="A995" s="105">
        <v>45964</v>
      </c>
      <c r="B995" s="112" t="s">
        <v>5386</v>
      </c>
      <c r="C995" s="11" t="s">
        <v>2519</v>
      </c>
      <c r="D995" s="260" t="s">
        <v>981</v>
      </c>
      <c r="E995" s="290"/>
      <c r="F995" s="283">
        <v>2500</v>
      </c>
    </row>
    <row r="996" spans="1:6" ht="15" x14ac:dyDescent="0.3">
      <c r="A996" s="105">
        <v>45964</v>
      </c>
      <c r="B996" s="112" t="s">
        <v>5386</v>
      </c>
      <c r="C996" s="11" t="s">
        <v>2519</v>
      </c>
      <c r="D996" s="260" t="s">
        <v>5616</v>
      </c>
      <c r="E996" s="290"/>
      <c r="F996" s="283">
        <v>28300</v>
      </c>
    </row>
    <row r="997" spans="1:6" ht="15" x14ac:dyDescent="0.3">
      <c r="A997" s="105">
        <v>45964</v>
      </c>
      <c r="B997" s="112" t="s">
        <v>5386</v>
      </c>
      <c r="C997" s="11" t="s">
        <v>2519</v>
      </c>
      <c r="D997" s="260" t="s">
        <v>5617</v>
      </c>
      <c r="E997" s="290"/>
      <c r="F997" s="283">
        <v>80000</v>
      </c>
    </row>
    <row r="998" spans="1:6" ht="15" x14ac:dyDescent="0.3">
      <c r="A998" s="105">
        <v>45964</v>
      </c>
      <c r="B998" s="112" t="s">
        <v>5386</v>
      </c>
      <c r="C998" s="11" t="s">
        <v>2519</v>
      </c>
      <c r="D998" s="260" t="s">
        <v>981</v>
      </c>
      <c r="E998" s="290"/>
      <c r="F998" s="283">
        <v>2500</v>
      </c>
    </row>
    <row r="999" spans="1:6" ht="15" x14ac:dyDescent="0.3">
      <c r="A999" s="105">
        <v>45964</v>
      </c>
      <c r="B999" s="112" t="s">
        <v>5386</v>
      </c>
      <c r="C999" s="11" t="s">
        <v>2519</v>
      </c>
      <c r="D999" s="260" t="s">
        <v>5618</v>
      </c>
      <c r="E999" s="290"/>
      <c r="F999" s="283">
        <v>100000</v>
      </c>
    </row>
    <row r="1000" spans="1:6" ht="15" x14ac:dyDescent="0.3">
      <c r="A1000" s="105">
        <v>45964</v>
      </c>
      <c r="B1000" s="112" t="s">
        <v>5386</v>
      </c>
      <c r="C1000" s="11" t="s">
        <v>2519</v>
      </c>
      <c r="D1000" s="260" t="s">
        <v>5619</v>
      </c>
      <c r="E1000" s="290"/>
      <c r="F1000" s="283">
        <v>200000</v>
      </c>
    </row>
    <row r="1001" spans="1:6" ht="15" x14ac:dyDescent="0.3">
      <c r="A1001" s="105">
        <v>45964</v>
      </c>
      <c r="B1001" s="112" t="s">
        <v>5386</v>
      </c>
      <c r="C1001" s="11" t="s">
        <v>2519</v>
      </c>
      <c r="D1001" s="260" t="s">
        <v>5620</v>
      </c>
      <c r="E1001" s="290"/>
      <c r="F1001" s="283">
        <v>3000</v>
      </c>
    </row>
    <row r="1002" spans="1:6" ht="15" x14ac:dyDescent="0.3">
      <c r="A1002" s="105">
        <v>45964</v>
      </c>
      <c r="B1002" s="112" t="s">
        <v>5386</v>
      </c>
      <c r="C1002" s="11" t="s">
        <v>2519</v>
      </c>
      <c r="D1002" s="260" t="s">
        <v>981</v>
      </c>
      <c r="E1002" s="290"/>
      <c r="F1002" s="283">
        <v>2500</v>
      </c>
    </row>
    <row r="1003" spans="1:6" ht="15" x14ac:dyDescent="0.3">
      <c r="A1003" s="105">
        <v>45964</v>
      </c>
      <c r="B1003" s="112" t="s">
        <v>5386</v>
      </c>
      <c r="C1003" s="11" t="s">
        <v>2519</v>
      </c>
      <c r="D1003" s="260" t="s">
        <v>5605</v>
      </c>
      <c r="E1003" s="290"/>
      <c r="F1003" s="283">
        <v>100000</v>
      </c>
    </row>
    <row r="1004" spans="1:6" ht="15" x14ac:dyDescent="0.3">
      <c r="A1004" s="105">
        <v>45964</v>
      </c>
      <c r="B1004" s="112" t="s">
        <v>5386</v>
      </c>
      <c r="C1004" s="11" t="s">
        <v>2519</v>
      </c>
      <c r="D1004" s="260" t="s">
        <v>981</v>
      </c>
      <c r="E1004" s="290"/>
      <c r="F1004" s="283">
        <v>2500</v>
      </c>
    </row>
    <row r="1005" spans="1:6" ht="15" x14ac:dyDescent="0.3">
      <c r="A1005" s="105">
        <v>45964</v>
      </c>
      <c r="B1005" s="112" t="s">
        <v>5386</v>
      </c>
      <c r="C1005" s="11" t="s">
        <v>2519</v>
      </c>
      <c r="D1005" s="260" t="s">
        <v>5621</v>
      </c>
      <c r="E1005" s="290"/>
      <c r="F1005" s="283">
        <v>95000</v>
      </c>
    </row>
    <row r="1006" spans="1:6" ht="15" x14ac:dyDescent="0.3">
      <c r="A1006" s="105">
        <v>45964</v>
      </c>
      <c r="B1006" s="112" t="s">
        <v>5386</v>
      </c>
      <c r="C1006" s="11" t="s">
        <v>2519</v>
      </c>
      <c r="D1006" s="260" t="s">
        <v>981</v>
      </c>
      <c r="E1006" s="290"/>
      <c r="F1006" s="283">
        <v>2500</v>
      </c>
    </row>
    <row r="1007" spans="1:6" ht="15" x14ac:dyDescent="0.3">
      <c r="A1007" s="105">
        <v>45965</v>
      </c>
      <c r="B1007" s="112" t="s">
        <v>5391</v>
      </c>
      <c r="C1007" s="11" t="s">
        <v>2519</v>
      </c>
      <c r="D1007" s="259" t="s">
        <v>5622</v>
      </c>
      <c r="E1007" s="290"/>
      <c r="F1007" s="289">
        <v>25000</v>
      </c>
    </row>
    <row r="1008" spans="1:6" ht="15" x14ac:dyDescent="0.3">
      <c r="A1008" s="105">
        <v>45965</v>
      </c>
      <c r="B1008" s="112" t="s">
        <v>5391</v>
      </c>
      <c r="C1008" s="11" t="s">
        <v>2519</v>
      </c>
      <c r="D1008" s="260" t="s">
        <v>2041</v>
      </c>
      <c r="E1008" s="290"/>
      <c r="F1008" s="289">
        <v>2500</v>
      </c>
    </row>
    <row r="1009" spans="1:6" ht="15" x14ac:dyDescent="0.3">
      <c r="A1009" s="105">
        <v>45965</v>
      </c>
      <c r="B1009" s="112" t="s">
        <v>5391</v>
      </c>
      <c r="C1009" s="11" t="s">
        <v>2519</v>
      </c>
      <c r="D1009" s="259" t="s">
        <v>5623</v>
      </c>
      <c r="E1009" s="290"/>
      <c r="F1009" s="289">
        <v>45000</v>
      </c>
    </row>
    <row r="1010" spans="1:6" ht="15" x14ac:dyDescent="0.3">
      <c r="A1010" s="105">
        <v>45965</v>
      </c>
      <c r="B1010" s="112" t="s">
        <v>5395</v>
      </c>
      <c r="C1010" s="11" t="s">
        <v>2519</v>
      </c>
      <c r="D1010" s="259" t="s">
        <v>5624</v>
      </c>
      <c r="E1010" s="290"/>
      <c r="F1010" s="289">
        <v>4151813</v>
      </c>
    </row>
    <row r="1011" spans="1:6" ht="15" x14ac:dyDescent="0.3">
      <c r="A1011" s="105">
        <v>45965</v>
      </c>
      <c r="B1011" s="112" t="s">
        <v>5395</v>
      </c>
      <c r="C1011" s="11" t="s">
        <v>2519</v>
      </c>
      <c r="D1011" s="259" t="s">
        <v>5625</v>
      </c>
      <c r="E1011" s="290"/>
      <c r="F1011" s="289">
        <v>214300</v>
      </c>
    </row>
    <row r="1012" spans="1:6" ht="15" x14ac:dyDescent="0.3">
      <c r="A1012" s="105">
        <v>45965</v>
      </c>
      <c r="B1012" s="112" t="s">
        <v>5395</v>
      </c>
      <c r="C1012" s="11" t="s">
        <v>2519</v>
      </c>
      <c r="D1012" s="259" t="s">
        <v>5626</v>
      </c>
      <c r="E1012" s="290"/>
      <c r="F1012" s="289">
        <v>4890800</v>
      </c>
    </row>
    <row r="1013" spans="1:6" ht="15" x14ac:dyDescent="0.3">
      <c r="A1013" s="105">
        <v>45965</v>
      </c>
      <c r="B1013" s="112" t="s">
        <v>5395</v>
      </c>
      <c r="C1013" s="11" t="s">
        <v>2519</v>
      </c>
      <c r="D1013" s="259" t="s">
        <v>5627</v>
      </c>
      <c r="E1013" s="290"/>
      <c r="F1013" s="289">
        <v>1368000</v>
      </c>
    </row>
    <row r="1014" spans="1:6" ht="15" x14ac:dyDescent="0.3">
      <c r="A1014" s="105">
        <v>45965</v>
      </c>
      <c r="B1014" s="112" t="s">
        <v>5395</v>
      </c>
      <c r="C1014" s="11" t="s">
        <v>2519</v>
      </c>
      <c r="D1014" s="259" t="s">
        <v>5628</v>
      </c>
      <c r="E1014" s="290"/>
      <c r="F1014" s="289">
        <v>35520</v>
      </c>
    </row>
    <row r="1015" spans="1:6" ht="15" x14ac:dyDescent="0.3">
      <c r="A1015" s="105">
        <v>45966</v>
      </c>
      <c r="B1015" s="112" t="s">
        <v>5495</v>
      </c>
      <c r="C1015" s="11" t="s">
        <v>2519</v>
      </c>
      <c r="D1015" s="259" t="s">
        <v>50</v>
      </c>
      <c r="E1015" s="290"/>
      <c r="F1015" s="289">
        <v>2500</v>
      </c>
    </row>
    <row r="1016" spans="1:6" ht="15" x14ac:dyDescent="0.3">
      <c r="A1016" s="105">
        <v>45966</v>
      </c>
      <c r="B1016" s="112" t="s">
        <v>5495</v>
      </c>
      <c r="C1016" s="11" t="s">
        <v>2519</v>
      </c>
      <c r="D1016" s="259" t="s">
        <v>5629</v>
      </c>
      <c r="E1016" s="290"/>
      <c r="F1016" s="289">
        <v>345000</v>
      </c>
    </row>
    <row r="1017" spans="1:6" ht="15" x14ac:dyDescent="0.3">
      <c r="A1017" s="105">
        <v>45966</v>
      </c>
      <c r="B1017" s="112" t="s">
        <v>5495</v>
      </c>
      <c r="C1017" s="11" t="s">
        <v>2519</v>
      </c>
      <c r="D1017" s="259" t="s">
        <v>50</v>
      </c>
      <c r="E1017" s="290"/>
      <c r="F1017" s="289">
        <v>2500</v>
      </c>
    </row>
    <row r="1018" spans="1:6" ht="15" x14ac:dyDescent="0.3">
      <c r="A1018" s="105">
        <v>45966</v>
      </c>
      <c r="B1018" s="112" t="s">
        <v>5495</v>
      </c>
      <c r="C1018" s="11" t="s">
        <v>2519</v>
      </c>
      <c r="D1018" s="259" t="s">
        <v>5630</v>
      </c>
      <c r="E1018" s="290"/>
      <c r="F1018" s="289">
        <v>65000</v>
      </c>
    </row>
    <row r="1019" spans="1:6" ht="15" x14ac:dyDescent="0.3">
      <c r="A1019" s="105">
        <v>45966</v>
      </c>
      <c r="B1019" s="112" t="s">
        <v>5495</v>
      </c>
      <c r="C1019" s="11" t="s">
        <v>2519</v>
      </c>
      <c r="D1019" s="259" t="s">
        <v>50</v>
      </c>
      <c r="E1019" s="290"/>
      <c r="F1019" s="289">
        <v>2500</v>
      </c>
    </row>
    <row r="1020" spans="1:6" ht="15" x14ac:dyDescent="0.3">
      <c r="A1020" s="105">
        <v>45966</v>
      </c>
      <c r="B1020" s="112" t="s">
        <v>5495</v>
      </c>
      <c r="C1020" s="11" t="s">
        <v>2519</v>
      </c>
      <c r="D1020" s="259" t="s">
        <v>5631</v>
      </c>
      <c r="E1020" s="290"/>
      <c r="F1020" s="289">
        <v>99000</v>
      </c>
    </row>
    <row r="1021" spans="1:6" ht="15" x14ac:dyDescent="0.3">
      <c r="A1021" s="105">
        <v>45966</v>
      </c>
      <c r="B1021" s="112" t="s">
        <v>5495</v>
      </c>
      <c r="C1021" s="11" t="s">
        <v>2519</v>
      </c>
      <c r="D1021" s="259" t="s">
        <v>50</v>
      </c>
      <c r="E1021" s="290"/>
      <c r="F1021" s="289">
        <v>2500</v>
      </c>
    </row>
    <row r="1022" spans="1:6" ht="15.6" x14ac:dyDescent="0.3">
      <c r="A1022" s="105">
        <v>45966</v>
      </c>
      <c r="B1022" s="112" t="s">
        <v>5632</v>
      </c>
      <c r="C1022" s="253" t="s">
        <v>2519</v>
      </c>
      <c r="D1022" s="261" t="s">
        <v>5163</v>
      </c>
      <c r="E1022" s="311"/>
      <c r="F1022" s="311">
        <v>57820</v>
      </c>
    </row>
    <row r="1023" spans="1:6" ht="15.6" x14ac:dyDescent="0.3">
      <c r="A1023" s="105">
        <v>45966</v>
      </c>
      <c r="B1023" s="112" t="s">
        <v>5632</v>
      </c>
      <c r="C1023" s="253" t="s">
        <v>2519</v>
      </c>
      <c r="D1023" s="261" t="s">
        <v>5633</v>
      </c>
      <c r="E1023" s="311"/>
      <c r="F1023" s="311">
        <v>85000</v>
      </c>
    </row>
    <row r="1024" spans="1:6" ht="15.6" x14ac:dyDescent="0.3">
      <c r="A1024" s="105">
        <v>45966</v>
      </c>
      <c r="B1024" s="112" t="s">
        <v>5632</v>
      </c>
      <c r="C1024" s="253" t="s">
        <v>2519</v>
      </c>
      <c r="D1024" s="261" t="s">
        <v>5321</v>
      </c>
      <c r="E1024" s="311"/>
      <c r="F1024" s="311">
        <v>76600</v>
      </c>
    </row>
    <row r="1025" spans="1:6" ht="15.6" x14ac:dyDescent="0.3">
      <c r="A1025" s="105">
        <v>45966</v>
      </c>
      <c r="B1025" s="112" t="s">
        <v>5632</v>
      </c>
      <c r="C1025" s="253" t="s">
        <v>2519</v>
      </c>
      <c r="D1025" s="261" t="s">
        <v>5634</v>
      </c>
      <c r="E1025" s="311"/>
      <c r="F1025" s="311">
        <v>15000</v>
      </c>
    </row>
    <row r="1026" spans="1:6" ht="15.6" x14ac:dyDescent="0.3">
      <c r="A1026" s="105">
        <v>45966</v>
      </c>
      <c r="B1026" s="112" t="s">
        <v>5632</v>
      </c>
      <c r="C1026" s="253" t="s">
        <v>2519</v>
      </c>
      <c r="D1026" s="261" t="s">
        <v>210</v>
      </c>
      <c r="E1026" s="311"/>
      <c r="F1026" s="311">
        <v>2500</v>
      </c>
    </row>
    <row r="1027" spans="1:6" ht="15.6" x14ac:dyDescent="0.3">
      <c r="A1027" s="105">
        <v>45966</v>
      </c>
      <c r="B1027" s="112" t="s">
        <v>5632</v>
      </c>
      <c r="C1027" s="253" t="s">
        <v>2519</v>
      </c>
      <c r="D1027" s="261" t="s">
        <v>5635</v>
      </c>
      <c r="E1027" s="311"/>
      <c r="F1027" s="311">
        <v>3369720</v>
      </c>
    </row>
    <row r="1028" spans="1:6" ht="15" x14ac:dyDescent="0.3">
      <c r="A1028" s="105">
        <v>45966</v>
      </c>
      <c r="B1028" s="112" t="s">
        <v>5636</v>
      </c>
      <c r="C1028" s="11" t="s">
        <v>2519</v>
      </c>
      <c r="D1028" s="259" t="s">
        <v>5637</v>
      </c>
      <c r="E1028" s="290"/>
      <c r="F1028" s="290">
        <v>198000</v>
      </c>
    </row>
    <row r="1029" spans="1:6" ht="15" x14ac:dyDescent="0.3">
      <c r="A1029" s="105">
        <v>45966</v>
      </c>
      <c r="B1029" s="112" t="s">
        <v>5636</v>
      </c>
      <c r="C1029" s="11" t="s">
        <v>2519</v>
      </c>
      <c r="D1029" s="259" t="s">
        <v>5638</v>
      </c>
      <c r="E1029" s="290"/>
      <c r="F1029" s="290">
        <v>21780</v>
      </c>
    </row>
    <row r="1030" spans="1:6" ht="15" x14ac:dyDescent="0.3">
      <c r="A1030" s="105">
        <v>45966</v>
      </c>
      <c r="B1030" s="112" t="s">
        <v>5636</v>
      </c>
      <c r="C1030" s="11" t="s">
        <v>2519</v>
      </c>
      <c r="D1030" s="259" t="s">
        <v>5639</v>
      </c>
      <c r="E1030" s="290"/>
      <c r="F1030" s="290">
        <v>616255</v>
      </c>
    </row>
    <row r="1031" spans="1:6" ht="15" x14ac:dyDescent="0.3">
      <c r="A1031" s="105">
        <v>45966</v>
      </c>
      <c r="B1031" s="112" t="s">
        <v>5636</v>
      </c>
      <c r="C1031" s="11" t="s">
        <v>2519</v>
      </c>
      <c r="D1031" s="259" t="s">
        <v>5640</v>
      </c>
      <c r="E1031" s="290"/>
      <c r="F1031" s="290">
        <v>67788</v>
      </c>
    </row>
    <row r="1032" spans="1:6" ht="15" x14ac:dyDescent="0.3">
      <c r="A1032" s="105">
        <v>45966</v>
      </c>
      <c r="B1032" s="112" t="s">
        <v>5636</v>
      </c>
      <c r="C1032" s="11" t="s">
        <v>5641</v>
      </c>
      <c r="D1032" s="259" t="s">
        <v>5303</v>
      </c>
      <c r="E1032" s="290"/>
      <c r="F1032" s="290">
        <v>2900</v>
      </c>
    </row>
    <row r="1033" spans="1:6" ht="15" x14ac:dyDescent="0.3">
      <c r="A1033" s="105">
        <v>45966</v>
      </c>
      <c r="B1033" s="112" t="s">
        <v>5642</v>
      </c>
      <c r="C1033" s="11" t="s">
        <v>2519</v>
      </c>
      <c r="D1033" s="259" t="s">
        <v>5643</v>
      </c>
      <c r="E1033" s="290"/>
      <c r="F1033" s="290">
        <v>2250000</v>
      </c>
    </row>
    <row r="1034" spans="1:6" ht="15" x14ac:dyDescent="0.3">
      <c r="A1034" s="105">
        <v>45966</v>
      </c>
      <c r="B1034" s="112" t="s">
        <v>5642</v>
      </c>
      <c r="C1034" s="11" t="s">
        <v>2519</v>
      </c>
      <c r="D1034" s="259" t="s">
        <v>5644</v>
      </c>
      <c r="E1034" s="290"/>
      <c r="F1034" s="290">
        <v>24750</v>
      </c>
    </row>
    <row r="1035" spans="1:6" ht="15" x14ac:dyDescent="0.3">
      <c r="A1035" s="105">
        <v>45966</v>
      </c>
      <c r="B1035" s="112" t="s">
        <v>5642</v>
      </c>
      <c r="C1035" s="11" t="s">
        <v>2519</v>
      </c>
      <c r="D1035" s="259" t="s">
        <v>5645</v>
      </c>
      <c r="E1035" s="290"/>
      <c r="F1035" s="290">
        <v>-45000</v>
      </c>
    </row>
    <row r="1036" spans="1:6" ht="15" x14ac:dyDescent="0.3">
      <c r="A1036" s="105">
        <v>45966</v>
      </c>
      <c r="B1036" s="112" t="s">
        <v>5642</v>
      </c>
      <c r="C1036" s="11" t="s">
        <v>2519</v>
      </c>
      <c r="D1036" s="259" t="s">
        <v>5646</v>
      </c>
      <c r="E1036" s="290"/>
      <c r="F1036" s="290">
        <v>2900</v>
      </c>
    </row>
    <row r="1037" spans="1:6" ht="15" x14ac:dyDescent="0.3">
      <c r="A1037" s="105">
        <v>45966</v>
      </c>
      <c r="B1037" s="112" t="s">
        <v>5539</v>
      </c>
      <c r="C1037" s="11" t="s">
        <v>2519</v>
      </c>
      <c r="D1037" s="259" t="s">
        <v>5647</v>
      </c>
      <c r="E1037" s="290"/>
      <c r="F1037" s="290">
        <v>7000000</v>
      </c>
    </row>
    <row r="1038" spans="1:6" ht="15" x14ac:dyDescent="0.3">
      <c r="A1038" s="105">
        <v>45966</v>
      </c>
      <c r="B1038" s="112" t="s">
        <v>5539</v>
      </c>
      <c r="C1038" s="11" t="s">
        <v>2519</v>
      </c>
      <c r="D1038" s="259" t="s">
        <v>5648</v>
      </c>
      <c r="E1038" s="290"/>
      <c r="F1038" s="290">
        <v>770000</v>
      </c>
    </row>
    <row r="1039" spans="1:6" ht="15.6" x14ac:dyDescent="0.3">
      <c r="A1039" s="105">
        <v>45966</v>
      </c>
      <c r="B1039" s="112" t="s">
        <v>5539</v>
      </c>
      <c r="C1039" s="11" t="s">
        <v>2519</v>
      </c>
      <c r="D1039" s="261" t="s">
        <v>5649</v>
      </c>
      <c r="E1039" s="311"/>
      <c r="F1039" s="311">
        <v>-185500</v>
      </c>
    </row>
    <row r="1040" spans="1:6" ht="15.6" x14ac:dyDescent="0.3">
      <c r="A1040" s="105">
        <v>45966</v>
      </c>
      <c r="B1040" s="112" t="s">
        <v>5650</v>
      </c>
      <c r="C1040" s="253" t="s">
        <v>2519</v>
      </c>
      <c r="D1040" s="261" t="s">
        <v>5651</v>
      </c>
      <c r="E1040" s="311"/>
      <c r="F1040" s="311">
        <v>614100</v>
      </c>
    </row>
    <row r="1041" spans="1:6" ht="15.6" x14ac:dyDescent="0.3">
      <c r="A1041" s="105">
        <v>45966</v>
      </c>
      <c r="B1041" s="112" t="s">
        <v>5650</v>
      </c>
      <c r="C1041" s="253" t="s">
        <v>2519</v>
      </c>
      <c r="D1041" s="261" t="s">
        <v>5652</v>
      </c>
      <c r="E1041" s="311"/>
      <c r="F1041" s="311">
        <v>67551</v>
      </c>
    </row>
    <row r="1042" spans="1:6" ht="15.6" x14ac:dyDescent="0.3">
      <c r="A1042" s="105">
        <v>45966</v>
      </c>
      <c r="B1042" s="112" t="s">
        <v>5650</v>
      </c>
      <c r="C1042" s="253" t="s">
        <v>2519</v>
      </c>
      <c r="D1042" s="261" t="s">
        <v>5653</v>
      </c>
      <c r="E1042" s="311"/>
      <c r="F1042" s="311">
        <v>2900</v>
      </c>
    </row>
    <row r="1043" spans="1:6" ht="15" x14ac:dyDescent="0.3">
      <c r="A1043" s="105">
        <v>45966</v>
      </c>
      <c r="B1043" s="112" t="s">
        <v>5654</v>
      </c>
      <c r="C1043" s="11" t="s">
        <v>2519</v>
      </c>
      <c r="D1043" s="259" t="s">
        <v>5655</v>
      </c>
      <c r="E1043" s="290"/>
      <c r="F1043" s="290">
        <v>185260425</v>
      </c>
    </row>
    <row r="1044" spans="1:6" ht="15" x14ac:dyDescent="0.3">
      <c r="A1044" s="105">
        <v>45966</v>
      </c>
      <c r="B1044" s="112" t="s">
        <v>5654</v>
      </c>
      <c r="C1044" s="11" t="s">
        <v>2519</v>
      </c>
      <c r="D1044" s="259" t="s">
        <v>5656</v>
      </c>
      <c r="E1044" s="290"/>
      <c r="F1044" s="290">
        <v>-9263021.25</v>
      </c>
    </row>
    <row r="1045" spans="1:6" ht="15" x14ac:dyDescent="0.3">
      <c r="A1045" s="105">
        <v>45966</v>
      </c>
      <c r="B1045" s="112" t="s">
        <v>5654</v>
      </c>
      <c r="C1045" s="11" t="s">
        <v>2519</v>
      </c>
      <c r="D1045" s="259" t="s">
        <v>5657</v>
      </c>
      <c r="E1045" s="290"/>
      <c r="F1045" s="290">
        <v>-7410417</v>
      </c>
    </row>
    <row r="1046" spans="1:6" ht="15" x14ac:dyDescent="0.3">
      <c r="A1046" s="105">
        <v>45966</v>
      </c>
      <c r="B1046" s="112" t="s">
        <v>5654</v>
      </c>
      <c r="C1046" s="11" t="s">
        <v>2519</v>
      </c>
      <c r="D1046" s="259" t="s">
        <v>4878</v>
      </c>
      <c r="E1046" s="290"/>
      <c r="F1046" s="290">
        <v>2900</v>
      </c>
    </row>
    <row r="1047" spans="1:6" ht="15.6" x14ac:dyDescent="0.3">
      <c r="A1047" s="105">
        <v>45967</v>
      </c>
      <c r="B1047" s="112" t="s">
        <v>5504</v>
      </c>
      <c r="C1047" s="11" t="s">
        <v>2519</v>
      </c>
      <c r="D1047" s="129" t="s">
        <v>5610</v>
      </c>
      <c r="E1047" s="311"/>
      <c r="F1047" s="283">
        <v>27500</v>
      </c>
    </row>
    <row r="1048" spans="1:6" ht="15.6" x14ac:dyDescent="0.3">
      <c r="A1048" s="105">
        <v>45967</v>
      </c>
      <c r="B1048" s="112" t="s">
        <v>5504</v>
      </c>
      <c r="C1048" s="11" t="s">
        <v>2519</v>
      </c>
      <c r="D1048" s="129" t="s">
        <v>5609</v>
      </c>
      <c r="E1048" s="311"/>
      <c r="F1048" s="283">
        <v>27500</v>
      </c>
    </row>
    <row r="1049" spans="1:6" ht="15.6" x14ac:dyDescent="0.3">
      <c r="A1049" s="105">
        <v>45967</v>
      </c>
      <c r="B1049" s="112" t="s">
        <v>5504</v>
      </c>
      <c r="C1049" s="11" t="s">
        <v>2519</v>
      </c>
      <c r="D1049" s="129" t="s">
        <v>5221</v>
      </c>
      <c r="E1049" s="311"/>
      <c r="F1049" s="283">
        <v>42000</v>
      </c>
    </row>
    <row r="1050" spans="1:6" ht="15.6" x14ac:dyDescent="0.3">
      <c r="A1050" s="105">
        <v>45967</v>
      </c>
      <c r="B1050" s="112" t="s">
        <v>5504</v>
      </c>
      <c r="C1050" s="11" t="s">
        <v>2519</v>
      </c>
      <c r="D1050" s="129" t="s">
        <v>5658</v>
      </c>
      <c r="E1050" s="311"/>
      <c r="F1050" s="283">
        <v>15500</v>
      </c>
    </row>
    <row r="1051" spans="1:6" ht="15.6" x14ac:dyDescent="0.3">
      <c r="A1051" s="105">
        <v>45968</v>
      </c>
      <c r="B1051" s="112" t="s">
        <v>5659</v>
      </c>
      <c r="C1051" s="253" t="s">
        <v>2519</v>
      </c>
      <c r="D1051" s="261" t="s">
        <v>5660</v>
      </c>
      <c r="E1051" s="311"/>
      <c r="F1051" s="311">
        <v>32000</v>
      </c>
    </row>
    <row r="1052" spans="1:6" ht="15.6" x14ac:dyDescent="0.3">
      <c r="A1052" s="105">
        <v>45968</v>
      </c>
      <c r="B1052" s="262" t="s">
        <v>5661</v>
      </c>
      <c r="C1052" s="253" t="s">
        <v>2519</v>
      </c>
      <c r="D1052" s="261" t="s">
        <v>405</v>
      </c>
      <c r="E1052" s="311"/>
      <c r="F1052" s="311">
        <v>261568</v>
      </c>
    </row>
    <row r="1053" spans="1:6" ht="15.6" x14ac:dyDescent="0.3">
      <c r="A1053" s="105">
        <v>45968</v>
      </c>
      <c r="B1053" s="262" t="s">
        <v>5661</v>
      </c>
      <c r="C1053" s="253" t="s">
        <v>2519</v>
      </c>
      <c r="D1053" s="261" t="s">
        <v>404</v>
      </c>
      <c r="E1053" s="311"/>
      <c r="F1053" s="311">
        <v>82500</v>
      </c>
    </row>
    <row r="1054" spans="1:6" ht="15" x14ac:dyDescent="0.3">
      <c r="A1054" s="105">
        <v>45971</v>
      </c>
      <c r="B1054" s="112" t="s">
        <v>5397</v>
      </c>
      <c r="C1054" s="11" t="s">
        <v>2519</v>
      </c>
      <c r="D1054" s="259" t="s">
        <v>5662</v>
      </c>
      <c r="E1054" s="290"/>
      <c r="F1054" s="290">
        <v>1000000</v>
      </c>
    </row>
    <row r="1055" spans="1:6" ht="15" x14ac:dyDescent="0.3">
      <c r="A1055" s="105">
        <v>45971</v>
      </c>
      <c r="B1055" s="112" t="s">
        <v>5397</v>
      </c>
      <c r="C1055" s="11" t="s">
        <v>2519</v>
      </c>
      <c r="D1055" s="259" t="s">
        <v>210</v>
      </c>
      <c r="E1055" s="290"/>
      <c r="F1055" s="290">
        <v>2500</v>
      </c>
    </row>
    <row r="1056" spans="1:6" ht="15" x14ac:dyDescent="0.3">
      <c r="A1056" s="105">
        <v>45971</v>
      </c>
      <c r="B1056" s="112" t="s">
        <v>5397</v>
      </c>
      <c r="C1056" s="11" t="s">
        <v>2519</v>
      </c>
      <c r="D1056" s="259" t="s">
        <v>5663</v>
      </c>
      <c r="E1056" s="290"/>
      <c r="F1056" s="290">
        <v>10820000</v>
      </c>
    </row>
    <row r="1057" spans="1:6" ht="15" x14ac:dyDescent="0.3">
      <c r="A1057" s="105">
        <v>45971</v>
      </c>
      <c r="B1057" s="112" t="s">
        <v>5397</v>
      </c>
      <c r="C1057" s="11" t="s">
        <v>2519</v>
      </c>
      <c r="D1057" s="259" t="s">
        <v>5664</v>
      </c>
      <c r="E1057" s="290"/>
      <c r="F1057" s="290">
        <v>7180000</v>
      </c>
    </row>
    <row r="1058" spans="1:6" ht="15" x14ac:dyDescent="0.3">
      <c r="A1058" s="105">
        <v>45971</v>
      </c>
      <c r="B1058" s="112" t="s">
        <v>5397</v>
      </c>
      <c r="C1058" s="11" t="s">
        <v>2519</v>
      </c>
      <c r="D1058" s="259" t="s">
        <v>210</v>
      </c>
      <c r="E1058" s="290"/>
      <c r="F1058" s="290">
        <v>2500</v>
      </c>
    </row>
    <row r="1059" spans="1:6" ht="15" x14ac:dyDescent="0.3">
      <c r="A1059" s="105">
        <v>45971</v>
      </c>
      <c r="B1059" s="112" t="s">
        <v>5397</v>
      </c>
      <c r="C1059" s="11" t="s">
        <v>2519</v>
      </c>
      <c r="D1059" s="259" t="s">
        <v>5665</v>
      </c>
      <c r="E1059" s="290"/>
      <c r="F1059" s="290">
        <v>976934</v>
      </c>
    </row>
    <row r="1060" spans="1:6" ht="15" x14ac:dyDescent="0.3">
      <c r="A1060" s="105">
        <v>45971</v>
      </c>
      <c r="B1060" s="112" t="s">
        <v>5397</v>
      </c>
      <c r="C1060" s="11" t="s">
        <v>2519</v>
      </c>
      <c r="D1060" s="259" t="s">
        <v>210</v>
      </c>
      <c r="E1060" s="290"/>
      <c r="F1060" s="290">
        <v>2500</v>
      </c>
    </row>
    <row r="1061" spans="1:6" ht="15" x14ac:dyDescent="0.3">
      <c r="A1061" s="105">
        <v>45971</v>
      </c>
      <c r="B1061" s="112" t="s">
        <v>5397</v>
      </c>
      <c r="C1061" s="11" t="s">
        <v>2519</v>
      </c>
      <c r="D1061" s="259" t="s">
        <v>5666</v>
      </c>
      <c r="E1061" s="290"/>
      <c r="F1061" s="290">
        <v>411260</v>
      </c>
    </row>
    <row r="1062" spans="1:6" ht="15" x14ac:dyDescent="0.3">
      <c r="A1062" s="105">
        <v>45972</v>
      </c>
      <c r="B1062" s="112" t="s">
        <v>5513</v>
      </c>
      <c r="C1062" s="11" t="s">
        <v>2519</v>
      </c>
      <c r="D1062" s="259" t="s">
        <v>5667</v>
      </c>
      <c r="E1062" s="290"/>
      <c r="F1062" s="290">
        <v>657200</v>
      </c>
    </row>
    <row r="1063" spans="1:6" ht="15" x14ac:dyDescent="0.3">
      <c r="A1063" s="105">
        <v>45972</v>
      </c>
      <c r="B1063" s="112" t="s">
        <v>5513</v>
      </c>
      <c r="C1063" s="11" t="s">
        <v>2519</v>
      </c>
      <c r="D1063" s="259" t="s">
        <v>5668</v>
      </c>
      <c r="E1063" s="290"/>
      <c r="F1063" s="290">
        <v>1345556</v>
      </c>
    </row>
    <row r="1064" spans="1:6" ht="15" x14ac:dyDescent="0.3">
      <c r="A1064" s="105">
        <v>45972</v>
      </c>
      <c r="B1064" s="112" t="s">
        <v>5513</v>
      </c>
      <c r="C1064" s="11" t="s">
        <v>2519</v>
      </c>
      <c r="D1064" s="259" t="s">
        <v>5669</v>
      </c>
      <c r="E1064" s="290"/>
      <c r="F1064" s="290">
        <v>1565250</v>
      </c>
    </row>
    <row r="1065" spans="1:6" ht="15" x14ac:dyDescent="0.3">
      <c r="A1065" s="105">
        <v>45972</v>
      </c>
      <c r="B1065" s="112" t="s">
        <v>5513</v>
      </c>
      <c r="C1065" s="11" t="s">
        <v>2519</v>
      </c>
      <c r="D1065" s="259" t="s">
        <v>5670</v>
      </c>
      <c r="E1065" s="290"/>
      <c r="F1065" s="290">
        <v>120000</v>
      </c>
    </row>
    <row r="1066" spans="1:6" ht="15" x14ac:dyDescent="0.3">
      <c r="A1066" s="105">
        <v>45972</v>
      </c>
      <c r="B1066" s="112" t="s">
        <v>5513</v>
      </c>
      <c r="C1066" s="11" t="s">
        <v>2519</v>
      </c>
      <c r="D1066" s="259" t="s">
        <v>5671</v>
      </c>
      <c r="E1066" s="290"/>
      <c r="F1066" s="290">
        <v>1334500</v>
      </c>
    </row>
    <row r="1067" spans="1:6" ht="15" x14ac:dyDescent="0.3">
      <c r="A1067" s="105">
        <v>45972</v>
      </c>
      <c r="B1067" s="112" t="s">
        <v>5513</v>
      </c>
      <c r="C1067" s="11" t="s">
        <v>2519</v>
      </c>
      <c r="D1067" s="259" t="s">
        <v>2372</v>
      </c>
      <c r="E1067" s="290"/>
      <c r="F1067" s="290">
        <v>2500</v>
      </c>
    </row>
    <row r="1068" spans="1:6" ht="15" x14ac:dyDescent="0.3">
      <c r="A1068" s="105">
        <v>45972</v>
      </c>
      <c r="B1068" s="112" t="s">
        <v>5513</v>
      </c>
      <c r="C1068" s="11" t="s">
        <v>2519</v>
      </c>
      <c r="D1068" s="259" t="s">
        <v>5672</v>
      </c>
      <c r="E1068" s="290"/>
      <c r="F1068" s="290">
        <v>503000</v>
      </c>
    </row>
    <row r="1069" spans="1:6" ht="15" x14ac:dyDescent="0.3">
      <c r="A1069" s="105">
        <v>45972</v>
      </c>
      <c r="B1069" s="112" t="s">
        <v>5513</v>
      </c>
      <c r="C1069" s="11" t="s">
        <v>2519</v>
      </c>
      <c r="D1069" s="259" t="s">
        <v>5673</v>
      </c>
      <c r="E1069" s="290"/>
      <c r="F1069" s="290">
        <v>782000</v>
      </c>
    </row>
    <row r="1070" spans="1:6" ht="15" x14ac:dyDescent="0.3">
      <c r="A1070" s="105">
        <v>45972</v>
      </c>
      <c r="B1070" s="112" t="s">
        <v>5513</v>
      </c>
      <c r="C1070" s="11" t="s">
        <v>2519</v>
      </c>
      <c r="D1070" s="259" t="s">
        <v>5674</v>
      </c>
      <c r="E1070" s="290"/>
      <c r="F1070" s="290">
        <v>250000</v>
      </c>
    </row>
    <row r="1071" spans="1:6" ht="15" x14ac:dyDescent="0.3">
      <c r="A1071" s="105">
        <v>45973</v>
      </c>
      <c r="B1071" s="112" t="s">
        <v>5537</v>
      </c>
      <c r="C1071" s="11" t="s">
        <v>2519</v>
      </c>
      <c r="D1071" s="259" t="s">
        <v>5675</v>
      </c>
      <c r="E1071" s="290"/>
      <c r="F1071" s="290">
        <v>3983200</v>
      </c>
    </row>
    <row r="1072" spans="1:6" ht="15" x14ac:dyDescent="0.3">
      <c r="A1072" s="105">
        <v>45973</v>
      </c>
      <c r="B1072" s="112" t="s">
        <v>5537</v>
      </c>
      <c r="C1072" s="11" t="s">
        <v>2519</v>
      </c>
      <c r="D1072" s="259" t="s">
        <v>210</v>
      </c>
      <c r="E1072" s="290"/>
      <c r="F1072" s="290">
        <v>5000</v>
      </c>
    </row>
    <row r="1073" spans="1:6" ht="15" x14ac:dyDescent="0.3">
      <c r="A1073" s="105">
        <v>45973</v>
      </c>
      <c r="B1073" s="112" t="s">
        <v>5537</v>
      </c>
      <c r="C1073" s="11" t="s">
        <v>2519</v>
      </c>
      <c r="D1073" s="259" t="s">
        <v>5676</v>
      </c>
      <c r="E1073" s="290"/>
      <c r="F1073" s="290">
        <v>364402</v>
      </c>
    </row>
    <row r="1074" spans="1:6" ht="15" x14ac:dyDescent="0.3">
      <c r="A1074" s="105">
        <v>45973</v>
      </c>
      <c r="B1074" s="112" t="s">
        <v>5537</v>
      </c>
      <c r="C1074" s="11" t="s">
        <v>2519</v>
      </c>
      <c r="D1074" s="259" t="s">
        <v>210</v>
      </c>
      <c r="E1074" s="290"/>
      <c r="F1074" s="290">
        <v>2500</v>
      </c>
    </row>
    <row r="1075" spans="1:6" ht="15" x14ac:dyDescent="0.3">
      <c r="A1075" s="105">
        <v>45973</v>
      </c>
      <c r="B1075" s="112" t="s">
        <v>5537</v>
      </c>
      <c r="C1075" s="11" t="s">
        <v>2519</v>
      </c>
      <c r="D1075" s="259" t="s">
        <v>5677</v>
      </c>
      <c r="E1075" s="290"/>
      <c r="F1075" s="290">
        <v>90000</v>
      </c>
    </row>
    <row r="1076" spans="1:6" ht="15" x14ac:dyDescent="0.3">
      <c r="A1076" s="105">
        <v>45973</v>
      </c>
      <c r="B1076" s="112" t="s">
        <v>5537</v>
      </c>
      <c r="C1076" s="11" t="s">
        <v>2519</v>
      </c>
      <c r="D1076" s="259" t="s">
        <v>210</v>
      </c>
      <c r="E1076" s="290"/>
      <c r="F1076" s="290">
        <v>2500</v>
      </c>
    </row>
    <row r="1077" spans="1:6" ht="15" x14ac:dyDescent="0.3">
      <c r="A1077" s="105">
        <v>45973</v>
      </c>
      <c r="B1077" s="112" t="s">
        <v>5537</v>
      </c>
      <c r="C1077" s="11" t="s">
        <v>2519</v>
      </c>
      <c r="D1077" s="259" t="s">
        <v>5678</v>
      </c>
      <c r="E1077" s="290"/>
      <c r="F1077" s="290">
        <v>100000</v>
      </c>
    </row>
    <row r="1078" spans="1:6" ht="15" x14ac:dyDescent="0.3">
      <c r="A1078" s="105">
        <v>45973</v>
      </c>
      <c r="B1078" s="112" t="s">
        <v>5537</v>
      </c>
      <c r="C1078" s="11" t="s">
        <v>2519</v>
      </c>
      <c r="D1078" s="259" t="s">
        <v>5679</v>
      </c>
      <c r="E1078" s="290"/>
      <c r="F1078" s="290">
        <v>300000</v>
      </c>
    </row>
    <row r="1079" spans="1:6" ht="15" x14ac:dyDescent="0.3">
      <c r="A1079" s="105">
        <v>45973</v>
      </c>
      <c r="B1079" s="112" t="s">
        <v>5537</v>
      </c>
      <c r="C1079" s="11" t="s">
        <v>2519</v>
      </c>
      <c r="D1079" s="259" t="s">
        <v>5680</v>
      </c>
      <c r="E1079" s="290"/>
      <c r="F1079" s="290">
        <v>128500</v>
      </c>
    </row>
    <row r="1080" spans="1:6" ht="15" x14ac:dyDescent="0.3">
      <c r="A1080" s="105">
        <v>45973</v>
      </c>
      <c r="B1080" s="112" t="s">
        <v>5537</v>
      </c>
      <c r="C1080" s="11" t="s">
        <v>2519</v>
      </c>
      <c r="D1080" s="259" t="s">
        <v>5681</v>
      </c>
      <c r="E1080" s="290"/>
      <c r="F1080" s="290">
        <v>7000</v>
      </c>
    </row>
    <row r="1081" spans="1:6" ht="15" x14ac:dyDescent="0.3">
      <c r="A1081" s="105">
        <v>45973</v>
      </c>
      <c r="B1081" s="112" t="s">
        <v>5537</v>
      </c>
      <c r="C1081" s="11" t="s">
        <v>2519</v>
      </c>
      <c r="D1081" s="259" t="s">
        <v>5682</v>
      </c>
      <c r="E1081" s="290"/>
      <c r="F1081" s="290">
        <v>296000</v>
      </c>
    </row>
    <row r="1082" spans="1:6" ht="15" x14ac:dyDescent="0.3">
      <c r="A1082" s="105">
        <v>45973</v>
      </c>
      <c r="B1082" s="112" t="s">
        <v>5537</v>
      </c>
      <c r="C1082" s="11" t="s">
        <v>2519</v>
      </c>
      <c r="D1082" s="259" t="s">
        <v>210</v>
      </c>
      <c r="E1082" s="290"/>
      <c r="F1082" s="290">
        <v>5000</v>
      </c>
    </row>
    <row r="1083" spans="1:6" ht="15" x14ac:dyDescent="0.3">
      <c r="A1083" s="105">
        <v>45973</v>
      </c>
      <c r="B1083" s="112" t="s">
        <v>5537</v>
      </c>
      <c r="C1083" s="11" t="s">
        <v>2519</v>
      </c>
      <c r="D1083" s="259" t="s">
        <v>5683</v>
      </c>
      <c r="E1083" s="290"/>
      <c r="F1083" s="290">
        <v>706000</v>
      </c>
    </row>
    <row r="1084" spans="1:6" ht="15" x14ac:dyDescent="0.3">
      <c r="A1084" s="105">
        <v>45973</v>
      </c>
      <c r="B1084" s="112" t="s">
        <v>5537</v>
      </c>
      <c r="C1084" s="11" t="s">
        <v>2519</v>
      </c>
      <c r="D1084" s="259" t="s">
        <v>5666</v>
      </c>
      <c r="E1084" s="290"/>
      <c r="F1084" s="290">
        <v>404493</v>
      </c>
    </row>
    <row r="1085" spans="1:6" ht="15" x14ac:dyDescent="0.3">
      <c r="A1085" s="105">
        <v>45973</v>
      </c>
      <c r="B1085" s="112" t="s">
        <v>5537</v>
      </c>
      <c r="C1085" s="11" t="s">
        <v>2519</v>
      </c>
      <c r="D1085" s="259" t="s">
        <v>5684</v>
      </c>
      <c r="E1085" s="290"/>
      <c r="F1085" s="290">
        <v>55600</v>
      </c>
    </row>
    <row r="1086" spans="1:6" ht="15" x14ac:dyDescent="0.3">
      <c r="A1086" s="105">
        <v>45973</v>
      </c>
      <c r="B1086" s="112" t="s">
        <v>5537</v>
      </c>
      <c r="C1086" s="11" t="s">
        <v>2519</v>
      </c>
      <c r="D1086" s="259" t="s">
        <v>210</v>
      </c>
      <c r="E1086" s="290"/>
      <c r="F1086" s="290">
        <v>2500</v>
      </c>
    </row>
    <row r="1087" spans="1:6" ht="15" x14ac:dyDescent="0.3">
      <c r="A1087" s="105">
        <v>45973</v>
      </c>
      <c r="B1087" s="112" t="s">
        <v>5537</v>
      </c>
      <c r="C1087" s="11" t="s">
        <v>2519</v>
      </c>
      <c r="D1087" s="259" t="s">
        <v>5685</v>
      </c>
      <c r="E1087" s="290"/>
      <c r="F1087" s="290">
        <v>2500</v>
      </c>
    </row>
    <row r="1088" spans="1:6" ht="15" x14ac:dyDescent="0.3">
      <c r="A1088" s="105">
        <v>45974</v>
      </c>
      <c r="B1088" s="112" t="s">
        <v>5686</v>
      </c>
      <c r="C1088" s="11" t="s">
        <v>2519</v>
      </c>
      <c r="D1088" s="259" t="s">
        <v>5687</v>
      </c>
      <c r="E1088" s="290"/>
      <c r="F1088" s="290">
        <v>20000000</v>
      </c>
    </row>
    <row r="1089" spans="1:6" ht="15" x14ac:dyDescent="0.3">
      <c r="A1089" s="105">
        <v>45974</v>
      </c>
      <c r="B1089" s="112" t="s">
        <v>5686</v>
      </c>
      <c r="C1089" s="11" t="s">
        <v>2519</v>
      </c>
      <c r="D1089" s="259" t="s">
        <v>5688</v>
      </c>
      <c r="E1089" s="290"/>
      <c r="F1089" s="290">
        <v>2200000</v>
      </c>
    </row>
    <row r="1090" spans="1:6" ht="15" x14ac:dyDescent="0.3">
      <c r="A1090" s="105">
        <v>45974</v>
      </c>
      <c r="B1090" s="112" t="s">
        <v>5686</v>
      </c>
      <c r="C1090" s="11" t="s">
        <v>5689</v>
      </c>
      <c r="D1090" s="259" t="s">
        <v>5690</v>
      </c>
      <c r="E1090" s="290"/>
      <c r="F1090" s="290">
        <v>2900</v>
      </c>
    </row>
    <row r="1091" spans="1:6" ht="15" x14ac:dyDescent="0.3">
      <c r="A1091" s="105">
        <v>45974</v>
      </c>
      <c r="B1091" s="112" t="s">
        <v>5515</v>
      </c>
      <c r="C1091" s="11" t="s">
        <v>2519</v>
      </c>
      <c r="D1091" s="129" t="s">
        <v>5691</v>
      </c>
      <c r="E1091" s="290"/>
      <c r="F1091" s="283">
        <v>2000000</v>
      </c>
    </row>
    <row r="1092" spans="1:6" ht="15" x14ac:dyDescent="0.3">
      <c r="A1092" s="105">
        <v>45974</v>
      </c>
      <c r="B1092" s="112" t="s">
        <v>5515</v>
      </c>
      <c r="C1092" s="11" t="s">
        <v>2519</v>
      </c>
      <c r="D1092" s="129" t="s">
        <v>5237</v>
      </c>
      <c r="E1092" s="290"/>
      <c r="F1092" s="283">
        <v>30000</v>
      </c>
    </row>
    <row r="1093" spans="1:6" ht="15" x14ac:dyDescent="0.3">
      <c r="A1093" s="105">
        <v>45974</v>
      </c>
      <c r="B1093" s="112" t="s">
        <v>5515</v>
      </c>
      <c r="C1093" s="11" t="s">
        <v>2519</v>
      </c>
      <c r="D1093" s="129" t="s">
        <v>5280</v>
      </c>
      <c r="E1093" s="290"/>
      <c r="F1093" s="283">
        <v>192500</v>
      </c>
    </row>
    <row r="1094" spans="1:6" ht="15" x14ac:dyDescent="0.3">
      <c r="A1094" s="105">
        <v>45974</v>
      </c>
      <c r="B1094" s="112" t="s">
        <v>5515</v>
      </c>
      <c r="C1094" s="11" t="s">
        <v>2519</v>
      </c>
      <c r="D1094" s="129" t="s">
        <v>5692</v>
      </c>
      <c r="E1094" s="290"/>
      <c r="F1094" s="283">
        <v>22300</v>
      </c>
    </row>
    <row r="1095" spans="1:6" ht="15" x14ac:dyDescent="0.3">
      <c r="A1095" s="105">
        <v>45974</v>
      </c>
      <c r="B1095" s="112" t="s">
        <v>5515</v>
      </c>
      <c r="C1095" s="11" t="s">
        <v>2519</v>
      </c>
      <c r="D1095" s="129" t="s">
        <v>5693</v>
      </c>
      <c r="E1095" s="290"/>
      <c r="F1095" s="283">
        <v>41000</v>
      </c>
    </row>
    <row r="1096" spans="1:6" ht="15" x14ac:dyDescent="0.3">
      <c r="A1096" s="105">
        <v>45974</v>
      </c>
      <c r="B1096" s="112" t="s">
        <v>5515</v>
      </c>
      <c r="C1096" s="11" t="s">
        <v>2519</v>
      </c>
      <c r="D1096" s="129" t="s">
        <v>5694</v>
      </c>
      <c r="E1096" s="290"/>
      <c r="F1096" s="283">
        <v>5000</v>
      </c>
    </row>
    <row r="1097" spans="1:6" ht="15" x14ac:dyDescent="0.3">
      <c r="A1097" s="105">
        <v>45974</v>
      </c>
      <c r="B1097" s="112" t="s">
        <v>5515</v>
      </c>
      <c r="C1097" s="11" t="s">
        <v>2519</v>
      </c>
      <c r="D1097" s="129" t="s">
        <v>5281</v>
      </c>
      <c r="E1097" s="290"/>
      <c r="F1097" s="283">
        <v>158500</v>
      </c>
    </row>
    <row r="1098" spans="1:6" ht="15" x14ac:dyDescent="0.3">
      <c r="A1098" s="105">
        <v>45974</v>
      </c>
      <c r="B1098" s="112" t="s">
        <v>5515</v>
      </c>
      <c r="C1098" s="11" t="s">
        <v>2519</v>
      </c>
      <c r="D1098" s="129" t="s">
        <v>5193</v>
      </c>
      <c r="E1098" s="290"/>
      <c r="F1098" s="283">
        <v>100000</v>
      </c>
    </row>
    <row r="1099" spans="1:6" ht="15" x14ac:dyDescent="0.3">
      <c r="A1099" s="105">
        <v>45974</v>
      </c>
      <c r="B1099" s="112" t="s">
        <v>5515</v>
      </c>
      <c r="C1099" s="11" t="s">
        <v>2519</v>
      </c>
      <c r="D1099" s="260" t="s">
        <v>5695</v>
      </c>
      <c r="E1099" s="290"/>
      <c r="F1099" s="283">
        <v>42500</v>
      </c>
    </row>
    <row r="1100" spans="1:6" ht="15" x14ac:dyDescent="0.3">
      <c r="A1100" s="105">
        <v>45974</v>
      </c>
      <c r="B1100" s="112" t="s">
        <v>5515</v>
      </c>
      <c r="C1100" s="11" t="s">
        <v>2519</v>
      </c>
      <c r="D1100" s="129" t="s">
        <v>5696</v>
      </c>
      <c r="E1100" s="290"/>
      <c r="F1100" s="283">
        <v>509500</v>
      </c>
    </row>
    <row r="1101" spans="1:6" ht="15" x14ac:dyDescent="0.3">
      <c r="A1101" s="105">
        <v>45974</v>
      </c>
      <c r="B1101" s="112" t="s">
        <v>5515</v>
      </c>
      <c r="C1101" s="11" t="s">
        <v>2519</v>
      </c>
      <c r="D1101" s="129" t="s">
        <v>5609</v>
      </c>
      <c r="E1101" s="290"/>
      <c r="F1101" s="283">
        <v>27500</v>
      </c>
    </row>
    <row r="1102" spans="1:6" ht="15.6" x14ac:dyDescent="0.3">
      <c r="A1102" s="105">
        <v>45975</v>
      </c>
      <c r="B1102" s="262" t="s">
        <v>5697</v>
      </c>
      <c r="C1102" s="253" t="s">
        <v>2519</v>
      </c>
      <c r="D1102" s="261" t="s">
        <v>990</v>
      </c>
      <c r="E1102" s="311"/>
      <c r="F1102" s="311">
        <v>100000</v>
      </c>
    </row>
    <row r="1103" spans="1:6" ht="15.6" x14ac:dyDescent="0.3">
      <c r="A1103" s="105">
        <v>45975</v>
      </c>
      <c r="B1103" s="262" t="s">
        <v>5697</v>
      </c>
      <c r="C1103" s="253" t="s">
        <v>2519</v>
      </c>
      <c r="D1103" s="261" t="s">
        <v>5698</v>
      </c>
      <c r="E1103" s="311"/>
      <c r="F1103" s="311">
        <v>6000</v>
      </c>
    </row>
    <row r="1104" spans="1:6" ht="15.6" x14ac:dyDescent="0.3">
      <c r="A1104" s="105">
        <v>45975</v>
      </c>
      <c r="B1104" s="262" t="s">
        <v>5697</v>
      </c>
      <c r="C1104" s="253" t="s">
        <v>2519</v>
      </c>
      <c r="D1104" s="261" t="s">
        <v>5699</v>
      </c>
      <c r="E1104" s="311"/>
      <c r="F1104" s="311">
        <v>1219850</v>
      </c>
    </row>
    <row r="1105" spans="1:6" ht="15.6" x14ac:dyDescent="0.3">
      <c r="A1105" s="105">
        <v>45975</v>
      </c>
      <c r="B1105" s="262" t="s">
        <v>5401</v>
      </c>
      <c r="C1105" s="253" t="s">
        <v>2519</v>
      </c>
      <c r="D1105" s="261" t="s">
        <v>5700</v>
      </c>
      <c r="E1105" s="311"/>
      <c r="F1105" s="311">
        <v>40000</v>
      </c>
    </row>
    <row r="1106" spans="1:6" ht="15.6" x14ac:dyDescent="0.3">
      <c r="A1106" s="105">
        <v>45977</v>
      </c>
      <c r="B1106" s="262" t="s">
        <v>5701</v>
      </c>
      <c r="C1106" s="253" t="s">
        <v>2519</v>
      </c>
      <c r="D1106" s="261" t="s">
        <v>5702</v>
      </c>
      <c r="E1106" s="311"/>
      <c r="F1106" s="311">
        <v>549450</v>
      </c>
    </row>
    <row r="1107" spans="1:6" ht="15.6" x14ac:dyDescent="0.3">
      <c r="A1107" s="105">
        <v>45977</v>
      </c>
      <c r="B1107" s="262" t="s">
        <v>5701</v>
      </c>
      <c r="C1107" s="253" t="s">
        <v>2519</v>
      </c>
      <c r="D1107" s="261" t="s">
        <v>2372</v>
      </c>
      <c r="E1107" s="311"/>
      <c r="F1107" s="311">
        <v>2500</v>
      </c>
    </row>
    <row r="1108" spans="1:6" ht="15.6" x14ac:dyDescent="0.3">
      <c r="A1108" s="105">
        <v>45977</v>
      </c>
      <c r="B1108" s="262" t="s">
        <v>5701</v>
      </c>
      <c r="C1108" s="253" t="s">
        <v>2519</v>
      </c>
      <c r="D1108" s="261" t="s">
        <v>5703</v>
      </c>
      <c r="E1108" s="311"/>
      <c r="F1108" s="311">
        <v>25000</v>
      </c>
    </row>
    <row r="1109" spans="1:6" ht="15.6" x14ac:dyDescent="0.3">
      <c r="A1109" s="105">
        <v>45977</v>
      </c>
      <c r="B1109" s="262" t="s">
        <v>5701</v>
      </c>
      <c r="C1109" s="253" t="s">
        <v>2519</v>
      </c>
      <c r="D1109" s="261" t="s">
        <v>2372</v>
      </c>
      <c r="E1109" s="311"/>
      <c r="F1109" s="311">
        <v>2500</v>
      </c>
    </row>
    <row r="1110" spans="1:6" ht="15.6" x14ac:dyDescent="0.3">
      <c r="A1110" s="105">
        <v>45977</v>
      </c>
      <c r="B1110" s="262" t="s">
        <v>5701</v>
      </c>
      <c r="C1110" s="253" t="s">
        <v>2519</v>
      </c>
      <c r="D1110" s="261" t="s">
        <v>5704</v>
      </c>
      <c r="E1110" s="311"/>
      <c r="F1110" s="311">
        <v>100000</v>
      </c>
    </row>
    <row r="1111" spans="1:6" ht="15.6" x14ac:dyDescent="0.3">
      <c r="A1111" s="105">
        <v>45977</v>
      </c>
      <c r="B1111" s="262" t="s">
        <v>5701</v>
      </c>
      <c r="C1111" s="253" t="s">
        <v>2519</v>
      </c>
      <c r="D1111" s="261" t="s">
        <v>2372</v>
      </c>
      <c r="E1111" s="311"/>
      <c r="F1111" s="311">
        <v>6500</v>
      </c>
    </row>
    <row r="1112" spans="1:6" ht="15.6" x14ac:dyDescent="0.3">
      <c r="A1112" s="105">
        <v>45977</v>
      </c>
      <c r="B1112" s="262" t="s">
        <v>5701</v>
      </c>
      <c r="C1112" s="253" t="s">
        <v>2519</v>
      </c>
      <c r="D1112" s="261" t="s">
        <v>5705</v>
      </c>
      <c r="E1112" s="311"/>
      <c r="F1112" s="311">
        <v>100000</v>
      </c>
    </row>
    <row r="1113" spans="1:6" ht="15.6" x14ac:dyDescent="0.3">
      <c r="A1113" s="105">
        <v>45977</v>
      </c>
      <c r="B1113" s="262" t="s">
        <v>5701</v>
      </c>
      <c r="C1113" s="253" t="s">
        <v>2519</v>
      </c>
      <c r="D1113" s="261" t="s">
        <v>2372</v>
      </c>
      <c r="E1113" s="311"/>
      <c r="F1113" s="311">
        <v>6500</v>
      </c>
    </row>
    <row r="1114" spans="1:6" ht="15.6" x14ac:dyDescent="0.3">
      <c r="A1114" s="105">
        <v>45977</v>
      </c>
      <c r="B1114" s="262" t="s">
        <v>5701</v>
      </c>
      <c r="C1114" s="253" t="s">
        <v>2519</v>
      </c>
      <c r="D1114" s="261" t="s">
        <v>5706</v>
      </c>
      <c r="E1114" s="311"/>
      <c r="F1114" s="311">
        <v>73100</v>
      </c>
    </row>
    <row r="1115" spans="1:6" ht="15.6" x14ac:dyDescent="0.3">
      <c r="A1115" s="105">
        <v>45977</v>
      </c>
      <c r="B1115" s="262" t="s">
        <v>5701</v>
      </c>
      <c r="C1115" s="253" t="s">
        <v>2519</v>
      </c>
      <c r="D1115" s="261" t="s">
        <v>2372</v>
      </c>
      <c r="E1115" s="311"/>
      <c r="F1115" s="311">
        <v>2500</v>
      </c>
    </row>
    <row r="1116" spans="1:6" ht="15.6" x14ac:dyDescent="0.3">
      <c r="A1116" s="105">
        <v>45978</v>
      </c>
      <c r="B1116" s="262" t="s">
        <v>5707</v>
      </c>
      <c r="C1116" s="253" t="s">
        <v>2519</v>
      </c>
      <c r="D1116" s="261" t="s">
        <v>5708</v>
      </c>
      <c r="E1116" s="311"/>
      <c r="F1116" s="311">
        <v>100000</v>
      </c>
    </row>
    <row r="1117" spans="1:6" ht="15.6" x14ac:dyDescent="0.3">
      <c r="A1117" s="105">
        <v>45978</v>
      </c>
      <c r="B1117" s="262" t="s">
        <v>5707</v>
      </c>
      <c r="C1117" s="253" t="s">
        <v>2519</v>
      </c>
      <c r="D1117" s="261" t="s">
        <v>210</v>
      </c>
      <c r="E1117" s="311"/>
      <c r="F1117" s="311">
        <v>2500</v>
      </c>
    </row>
    <row r="1118" spans="1:6" ht="15.6" x14ac:dyDescent="0.3">
      <c r="A1118" s="105">
        <v>45978</v>
      </c>
      <c r="B1118" s="262" t="s">
        <v>5707</v>
      </c>
      <c r="C1118" s="253" t="s">
        <v>2519</v>
      </c>
      <c r="D1118" s="261" t="s">
        <v>5709</v>
      </c>
      <c r="E1118" s="311"/>
      <c r="F1118" s="311">
        <v>538200</v>
      </c>
    </row>
    <row r="1119" spans="1:6" ht="15.6" x14ac:dyDescent="0.3">
      <c r="A1119" s="105">
        <v>45978</v>
      </c>
      <c r="B1119" s="262" t="s">
        <v>5707</v>
      </c>
      <c r="C1119" s="253" t="s">
        <v>2519</v>
      </c>
      <c r="D1119" s="261" t="s">
        <v>210</v>
      </c>
      <c r="E1119" s="311"/>
      <c r="F1119" s="311">
        <v>2500</v>
      </c>
    </row>
    <row r="1120" spans="1:6" ht="15.6" x14ac:dyDescent="0.3">
      <c r="A1120" s="105">
        <v>45978</v>
      </c>
      <c r="B1120" s="262" t="s">
        <v>5707</v>
      </c>
      <c r="C1120" s="253" t="s">
        <v>2519</v>
      </c>
      <c r="D1120" s="261" t="s">
        <v>5710</v>
      </c>
      <c r="E1120" s="311"/>
      <c r="F1120" s="311">
        <v>25000</v>
      </c>
    </row>
    <row r="1121" spans="1:6" ht="15.6" x14ac:dyDescent="0.3">
      <c r="A1121" s="105">
        <v>45978</v>
      </c>
      <c r="B1121" s="262" t="s">
        <v>5707</v>
      </c>
      <c r="C1121" s="253" t="s">
        <v>2519</v>
      </c>
      <c r="D1121" s="261" t="s">
        <v>210</v>
      </c>
      <c r="E1121" s="311"/>
      <c r="F1121" s="311">
        <v>2500</v>
      </c>
    </row>
    <row r="1122" spans="1:6" ht="15.6" x14ac:dyDescent="0.3">
      <c r="A1122" s="105">
        <v>45978</v>
      </c>
      <c r="B1122" s="262" t="s">
        <v>5707</v>
      </c>
      <c r="C1122" s="253" t="s">
        <v>2519</v>
      </c>
      <c r="D1122" s="261" t="s">
        <v>5711</v>
      </c>
      <c r="E1122" s="311"/>
      <c r="F1122" s="311">
        <v>115100</v>
      </c>
    </row>
    <row r="1123" spans="1:6" ht="15.6" x14ac:dyDescent="0.3">
      <c r="A1123" s="105">
        <v>45978</v>
      </c>
      <c r="B1123" s="262" t="s">
        <v>5707</v>
      </c>
      <c r="C1123" s="253" t="s">
        <v>2519</v>
      </c>
      <c r="D1123" s="261" t="s">
        <v>210</v>
      </c>
      <c r="E1123" s="311"/>
      <c r="F1123" s="311">
        <v>2500</v>
      </c>
    </row>
    <row r="1124" spans="1:6" ht="15" x14ac:dyDescent="0.3">
      <c r="A1124" s="105">
        <v>46002</v>
      </c>
      <c r="B1124" s="112" t="s">
        <v>5826</v>
      </c>
      <c r="C1124" s="11" t="s">
        <v>2519</v>
      </c>
      <c r="D1124" s="555" t="s">
        <v>5827</v>
      </c>
      <c r="E1124" s="289"/>
      <c r="F1124" s="290">
        <v>24718050</v>
      </c>
    </row>
    <row r="1125" spans="1:6" ht="15" x14ac:dyDescent="0.3">
      <c r="A1125" s="105">
        <v>46002</v>
      </c>
      <c r="B1125" s="112" t="s">
        <v>5826</v>
      </c>
      <c r="C1125" s="11" t="s">
        <v>5828</v>
      </c>
      <c r="D1125" s="359" t="s">
        <v>5829</v>
      </c>
      <c r="E1125" s="289"/>
      <c r="F1125" s="290">
        <v>420375</v>
      </c>
    </row>
    <row r="1126" spans="1:6" ht="15.6" x14ac:dyDescent="0.3">
      <c r="A1126" s="105">
        <v>45978</v>
      </c>
      <c r="B1126" s="262" t="s">
        <v>5783</v>
      </c>
      <c r="C1126" s="253" t="s">
        <v>2519</v>
      </c>
      <c r="D1126" s="514" t="s">
        <v>4547</v>
      </c>
      <c r="E1126" s="311"/>
      <c r="F1126" s="311">
        <v>17639333.329999998</v>
      </c>
    </row>
    <row r="1127" spans="1:6" ht="15" x14ac:dyDescent="0.3">
      <c r="A1127" s="105">
        <v>45978</v>
      </c>
      <c r="B1127" s="112" t="s">
        <v>5712</v>
      </c>
      <c r="C1127" s="11" t="s">
        <v>2519</v>
      </c>
      <c r="D1127" s="122" t="s">
        <v>5830</v>
      </c>
      <c r="E1127" s="290">
        <v>5510204</v>
      </c>
      <c r="F1127" s="290"/>
    </row>
    <row r="1128" spans="1:6" ht="15" x14ac:dyDescent="0.3">
      <c r="A1128" s="105">
        <v>45978</v>
      </c>
      <c r="B1128" s="112" t="s">
        <v>5712</v>
      </c>
      <c r="C1128" s="11" t="s">
        <v>2519</v>
      </c>
      <c r="D1128" s="122" t="s">
        <v>5831</v>
      </c>
      <c r="E1128" s="290">
        <v>-110204</v>
      </c>
      <c r="F1128" s="290"/>
    </row>
    <row r="1129" spans="1:6" ht="15" x14ac:dyDescent="0.3">
      <c r="A1129" s="105">
        <v>45978</v>
      </c>
      <c r="B1129" s="112" t="s">
        <v>5712</v>
      </c>
      <c r="C1129" s="11" t="s">
        <v>2519</v>
      </c>
      <c r="D1129" s="122" t="s">
        <v>981</v>
      </c>
      <c r="E1129" s="290">
        <v>2500</v>
      </c>
      <c r="F1129" s="290"/>
    </row>
    <row r="1130" spans="1:6" ht="15" x14ac:dyDescent="0.3">
      <c r="A1130" s="105">
        <v>45978</v>
      </c>
      <c r="B1130" s="112" t="s">
        <v>5712</v>
      </c>
      <c r="C1130" s="11" t="s">
        <v>2519</v>
      </c>
      <c r="D1130" s="122" t="s">
        <v>5832</v>
      </c>
      <c r="E1130" s="290">
        <v>1679000</v>
      </c>
      <c r="F1130" s="290"/>
    </row>
    <row r="1131" spans="1:6" ht="15" x14ac:dyDescent="0.3">
      <c r="A1131" s="105">
        <v>45978</v>
      </c>
      <c r="B1131" s="112" t="s">
        <v>5712</v>
      </c>
      <c r="C1131" s="11" t="s">
        <v>2519</v>
      </c>
      <c r="D1131" s="122" t="s">
        <v>981</v>
      </c>
      <c r="E1131" s="290">
        <v>2500</v>
      </c>
      <c r="F1131" s="290"/>
    </row>
    <row r="1132" spans="1:6" ht="15" x14ac:dyDescent="0.3">
      <c r="A1132" s="105">
        <v>45978</v>
      </c>
      <c r="B1132" s="112" t="s">
        <v>5712</v>
      </c>
      <c r="C1132" s="11" t="s">
        <v>2519</v>
      </c>
      <c r="D1132" s="122" t="s">
        <v>5833</v>
      </c>
      <c r="E1132" s="290">
        <v>59500</v>
      </c>
      <c r="F1132" s="290"/>
    </row>
    <row r="1133" spans="1:6" ht="15" x14ac:dyDescent="0.3">
      <c r="A1133" s="105">
        <v>45978</v>
      </c>
      <c r="B1133" s="112" t="s">
        <v>5712</v>
      </c>
      <c r="C1133" s="11" t="s">
        <v>2519</v>
      </c>
      <c r="D1133" s="122" t="s">
        <v>5834</v>
      </c>
      <c r="E1133" s="290">
        <v>31000</v>
      </c>
      <c r="F1133" s="290"/>
    </row>
    <row r="1134" spans="1:6" ht="15" x14ac:dyDescent="0.3">
      <c r="A1134" s="105">
        <v>45978</v>
      </c>
      <c r="B1134" s="112" t="s">
        <v>5712</v>
      </c>
      <c r="C1134" s="11" t="s">
        <v>2519</v>
      </c>
      <c r="D1134" s="122" t="s">
        <v>981</v>
      </c>
      <c r="E1134" s="290">
        <v>2500</v>
      </c>
      <c r="F1134" s="290"/>
    </row>
    <row r="1135" spans="1:6" ht="15" x14ac:dyDescent="0.3">
      <c r="A1135" s="105">
        <v>45978</v>
      </c>
      <c r="B1135" s="112" t="s">
        <v>5712</v>
      </c>
      <c r="C1135" s="11" t="s">
        <v>2519</v>
      </c>
      <c r="D1135" s="122" t="s">
        <v>5835</v>
      </c>
      <c r="E1135" s="290">
        <v>295000</v>
      </c>
      <c r="F1135" s="290"/>
    </row>
    <row r="1136" spans="1:6" ht="15" x14ac:dyDescent="0.3">
      <c r="A1136" s="105">
        <v>45978</v>
      </c>
      <c r="B1136" s="112" t="s">
        <v>5712</v>
      </c>
      <c r="C1136" s="11" t="s">
        <v>2519</v>
      </c>
      <c r="D1136" s="122" t="s">
        <v>5836</v>
      </c>
      <c r="E1136" s="290">
        <v>357143</v>
      </c>
      <c r="F1136" s="290"/>
    </row>
    <row r="1137" spans="1:6" ht="15" x14ac:dyDescent="0.3">
      <c r="A1137" s="105">
        <v>45978</v>
      </c>
      <c r="B1137" s="112" t="s">
        <v>5712</v>
      </c>
      <c r="C1137" s="11" t="s">
        <v>2519</v>
      </c>
      <c r="D1137" s="122" t="s">
        <v>5837</v>
      </c>
      <c r="E1137" s="290">
        <v>-7143</v>
      </c>
      <c r="F1137" s="290"/>
    </row>
    <row r="1138" spans="1:6" ht="15" x14ac:dyDescent="0.3">
      <c r="A1138" s="105">
        <v>45978</v>
      </c>
      <c r="B1138" s="112" t="s">
        <v>5712</v>
      </c>
      <c r="C1138" s="11" t="s">
        <v>2519</v>
      </c>
      <c r="D1138" s="122" t="s">
        <v>981</v>
      </c>
      <c r="E1138" s="290">
        <v>2500</v>
      </c>
      <c r="F1138" s="290"/>
    </row>
    <row r="1139" spans="1:6" ht="15" x14ac:dyDescent="0.3">
      <c r="A1139" s="105">
        <v>45979</v>
      </c>
      <c r="B1139" s="112" t="s">
        <v>5838</v>
      </c>
      <c r="C1139" s="11" t="s">
        <v>2519</v>
      </c>
      <c r="D1139" s="551" t="s">
        <v>5839</v>
      </c>
      <c r="E1139" s="290"/>
      <c r="F1139" s="290">
        <v>110000</v>
      </c>
    </row>
    <row r="1140" spans="1:6" ht="15" x14ac:dyDescent="0.3">
      <c r="A1140" s="105">
        <v>45979</v>
      </c>
      <c r="B1140" s="112" t="s">
        <v>5838</v>
      </c>
      <c r="C1140" s="11" t="s">
        <v>2519</v>
      </c>
      <c r="D1140" s="551" t="s">
        <v>5839</v>
      </c>
      <c r="E1140" s="290"/>
      <c r="F1140" s="290">
        <v>229531.25</v>
      </c>
    </row>
    <row r="1141" spans="1:6" ht="15.6" x14ac:dyDescent="0.3">
      <c r="A1141" s="105">
        <v>45979</v>
      </c>
      <c r="B1141" s="112" t="s">
        <v>5714</v>
      </c>
      <c r="C1141" s="11" t="s">
        <v>2519</v>
      </c>
      <c r="D1141" s="122" t="s">
        <v>5840</v>
      </c>
      <c r="E1141" s="311"/>
      <c r="F1141" s="311">
        <v>3500000</v>
      </c>
    </row>
    <row r="1142" spans="1:6" ht="15.6" x14ac:dyDescent="0.3">
      <c r="A1142" s="105">
        <v>45979</v>
      </c>
      <c r="B1142" s="112" t="s">
        <v>5714</v>
      </c>
      <c r="C1142" s="11" t="s">
        <v>2519</v>
      </c>
      <c r="D1142" s="122" t="s">
        <v>5841</v>
      </c>
      <c r="E1142" s="311"/>
      <c r="F1142" s="311">
        <v>73100</v>
      </c>
    </row>
    <row r="1143" spans="1:6" ht="15.6" x14ac:dyDescent="0.3">
      <c r="A1143" s="105">
        <v>45979</v>
      </c>
      <c r="B1143" s="112" t="s">
        <v>5714</v>
      </c>
      <c r="C1143" s="11" t="s">
        <v>2519</v>
      </c>
      <c r="D1143" s="122" t="s">
        <v>5842</v>
      </c>
      <c r="E1143" s="311"/>
      <c r="F1143" s="311">
        <v>28600</v>
      </c>
    </row>
    <row r="1144" spans="1:6" ht="15.6" x14ac:dyDescent="0.3">
      <c r="A1144" s="105">
        <v>45979</v>
      </c>
      <c r="B1144" s="112" t="s">
        <v>5714</v>
      </c>
      <c r="C1144" s="11" t="s">
        <v>2519</v>
      </c>
      <c r="D1144" s="122" t="s">
        <v>5843</v>
      </c>
      <c r="E1144" s="311"/>
      <c r="F1144" s="311">
        <v>27000</v>
      </c>
    </row>
    <row r="1145" spans="1:6" ht="15.6" x14ac:dyDescent="0.3">
      <c r="A1145" s="105">
        <v>45979</v>
      </c>
      <c r="B1145" s="112" t="s">
        <v>5714</v>
      </c>
      <c r="C1145" s="11" t="s">
        <v>2519</v>
      </c>
      <c r="D1145" s="122" t="s">
        <v>2372</v>
      </c>
      <c r="E1145" s="311"/>
      <c r="F1145" s="311">
        <v>2500</v>
      </c>
    </row>
    <row r="1146" spans="1:6" ht="15.6" x14ac:dyDescent="0.3">
      <c r="A1146" s="105">
        <v>45979</v>
      </c>
      <c r="B1146" s="112" t="s">
        <v>5714</v>
      </c>
      <c r="C1146" s="11" t="s">
        <v>2519</v>
      </c>
      <c r="D1146" s="122" t="s">
        <v>5844</v>
      </c>
      <c r="E1146" s="311"/>
      <c r="F1146" s="311">
        <v>91500</v>
      </c>
    </row>
    <row r="1147" spans="1:6" ht="15.6" x14ac:dyDescent="0.3">
      <c r="A1147" s="105">
        <v>45979</v>
      </c>
      <c r="B1147" s="112" t="s">
        <v>5714</v>
      </c>
      <c r="C1147" s="11" t="s">
        <v>2519</v>
      </c>
      <c r="D1147" s="122" t="s">
        <v>2372</v>
      </c>
      <c r="E1147" s="311"/>
      <c r="F1147" s="311">
        <v>2500</v>
      </c>
    </row>
    <row r="1148" spans="1:6" ht="15.6" x14ac:dyDescent="0.3">
      <c r="A1148" s="105">
        <v>45979</v>
      </c>
      <c r="B1148" s="112" t="s">
        <v>5714</v>
      </c>
      <c r="C1148" s="11" t="s">
        <v>2519</v>
      </c>
      <c r="D1148" s="122" t="s">
        <v>5845</v>
      </c>
      <c r="E1148" s="311"/>
      <c r="F1148" s="311">
        <v>675500</v>
      </c>
    </row>
    <row r="1149" spans="1:6" ht="15.6" x14ac:dyDescent="0.3">
      <c r="A1149" s="105">
        <v>45979</v>
      </c>
      <c r="B1149" s="112" t="s">
        <v>5714</v>
      </c>
      <c r="C1149" s="11" t="s">
        <v>2519</v>
      </c>
      <c r="D1149" s="122" t="s">
        <v>2372</v>
      </c>
      <c r="E1149" s="311"/>
      <c r="F1149" s="311">
        <v>2500</v>
      </c>
    </row>
    <row r="1150" spans="1:6" ht="15" x14ac:dyDescent="0.3">
      <c r="A1150" s="105">
        <v>45980</v>
      </c>
      <c r="B1150" s="112" t="s">
        <v>5716</v>
      </c>
      <c r="C1150" s="11" t="s">
        <v>2519</v>
      </c>
      <c r="D1150" s="122" t="s">
        <v>5846</v>
      </c>
      <c r="E1150" s="290"/>
      <c r="F1150" s="290">
        <v>294800</v>
      </c>
    </row>
    <row r="1151" spans="1:6" ht="15" x14ac:dyDescent="0.3">
      <c r="A1151" s="105">
        <v>45980</v>
      </c>
      <c r="B1151" s="112" t="s">
        <v>5716</v>
      </c>
      <c r="C1151" s="11" t="s">
        <v>2519</v>
      </c>
      <c r="D1151" s="122" t="s">
        <v>210</v>
      </c>
      <c r="E1151" s="290"/>
      <c r="F1151" s="290">
        <v>13000</v>
      </c>
    </row>
    <row r="1152" spans="1:6" ht="15" x14ac:dyDescent="0.3">
      <c r="A1152" s="105">
        <v>45980</v>
      </c>
      <c r="B1152" s="112" t="s">
        <v>5716</v>
      </c>
      <c r="C1152" s="11" t="s">
        <v>2519</v>
      </c>
      <c r="D1152" s="122" t="s">
        <v>5847</v>
      </c>
      <c r="E1152" s="290"/>
      <c r="F1152" s="290">
        <v>298496</v>
      </c>
    </row>
    <row r="1153" spans="1:6" ht="15" x14ac:dyDescent="0.3">
      <c r="A1153" s="105">
        <v>45980</v>
      </c>
      <c r="B1153" s="112" t="s">
        <v>5716</v>
      </c>
      <c r="C1153" s="11" t="s">
        <v>2519</v>
      </c>
      <c r="D1153" s="122" t="s">
        <v>5848</v>
      </c>
      <c r="E1153" s="290"/>
      <c r="F1153" s="290">
        <v>1500000</v>
      </c>
    </row>
    <row r="1154" spans="1:6" ht="15" x14ac:dyDescent="0.3">
      <c r="A1154" s="105">
        <v>45980</v>
      </c>
      <c r="B1154" s="112" t="s">
        <v>5716</v>
      </c>
      <c r="C1154" s="11" t="s">
        <v>2519</v>
      </c>
      <c r="D1154" s="122" t="s">
        <v>210</v>
      </c>
      <c r="E1154" s="290"/>
      <c r="F1154" s="290">
        <v>2500</v>
      </c>
    </row>
    <row r="1155" spans="1:6" ht="15" x14ac:dyDescent="0.3">
      <c r="A1155" s="105">
        <v>45980</v>
      </c>
      <c r="B1155" s="112" t="s">
        <v>5716</v>
      </c>
      <c r="C1155" s="11" t="s">
        <v>2519</v>
      </c>
      <c r="D1155" s="122" t="s">
        <v>5849</v>
      </c>
      <c r="E1155" s="290"/>
      <c r="F1155" s="290">
        <v>500000</v>
      </c>
    </row>
    <row r="1156" spans="1:6" ht="15" x14ac:dyDescent="0.3">
      <c r="A1156" s="105">
        <v>45980</v>
      </c>
      <c r="B1156" s="112" t="s">
        <v>5716</v>
      </c>
      <c r="C1156" s="11" t="s">
        <v>2519</v>
      </c>
      <c r="D1156" s="122" t="s">
        <v>5850</v>
      </c>
      <c r="E1156" s="290"/>
      <c r="F1156" s="290">
        <v>100000</v>
      </c>
    </row>
    <row r="1157" spans="1:6" ht="15" x14ac:dyDescent="0.3">
      <c r="A1157" s="105">
        <v>45980</v>
      </c>
      <c r="B1157" s="112" t="s">
        <v>5716</v>
      </c>
      <c r="C1157" s="11" t="s">
        <v>2519</v>
      </c>
      <c r="D1157" s="122" t="s">
        <v>210</v>
      </c>
      <c r="E1157" s="290"/>
      <c r="F1157" s="290">
        <v>2500</v>
      </c>
    </row>
    <row r="1158" spans="1:6" ht="15" x14ac:dyDescent="0.3">
      <c r="A1158" s="105">
        <v>45980</v>
      </c>
      <c r="B1158" s="112" t="s">
        <v>5716</v>
      </c>
      <c r="C1158" s="11" t="s">
        <v>2519</v>
      </c>
      <c r="D1158" s="122" t="s">
        <v>5851</v>
      </c>
      <c r="E1158" s="290"/>
      <c r="F1158" s="290">
        <v>450000</v>
      </c>
    </row>
    <row r="1159" spans="1:6" ht="15" x14ac:dyDescent="0.3">
      <c r="A1159" s="105">
        <v>45980</v>
      </c>
      <c r="B1159" s="112" t="s">
        <v>5716</v>
      </c>
      <c r="C1159" s="11" t="s">
        <v>2519</v>
      </c>
      <c r="D1159" s="122" t="s">
        <v>210</v>
      </c>
      <c r="E1159" s="290"/>
      <c r="F1159" s="290">
        <v>2500</v>
      </c>
    </row>
    <row r="1160" spans="1:6" ht="15" x14ac:dyDescent="0.3">
      <c r="A1160" s="105">
        <v>45980</v>
      </c>
      <c r="B1160" s="112" t="s">
        <v>5716</v>
      </c>
      <c r="C1160" s="11" t="s">
        <v>2519</v>
      </c>
      <c r="D1160" s="122" t="s">
        <v>5852</v>
      </c>
      <c r="E1160" s="290"/>
      <c r="F1160" s="290">
        <v>584000</v>
      </c>
    </row>
    <row r="1161" spans="1:6" ht="15" x14ac:dyDescent="0.3">
      <c r="A1161" s="105">
        <v>45980</v>
      </c>
      <c r="B1161" s="112" t="s">
        <v>5716</v>
      </c>
      <c r="C1161" s="11" t="s">
        <v>2519</v>
      </c>
      <c r="D1161" s="122" t="s">
        <v>5853</v>
      </c>
      <c r="E1161" s="290"/>
      <c r="F1161" s="290">
        <v>35000</v>
      </c>
    </row>
    <row r="1162" spans="1:6" ht="15" x14ac:dyDescent="0.3">
      <c r="A1162" s="105">
        <v>45980</v>
      </c>
      <c r="B1162" s="112" t="s">
        <v>5716</v>
      </c>
      <c r="C1162" s="11" t="s">
        <v>2519</v>
      </c>
      <c r="D1162" s="122" t="s">
        <v>5854</v>
      </c>
      <c r="E1162" s="290"/>
      <c r="F1162" s="290">
        <v>46000</v>
      </c>
    </row>
    <row r="1163" spans="1:6" ht="15" x14ac:dyDescent="0.3">
      <c r="A1163" s="105">
        <v>45981</v>
      </c>
      <c r="B1163" s="112" t="s">
        <v>5719</v>
      </c>
      <c r="C1163" s="11" t="s">
        <v>2519</v>
      </c>
      <c r="D1163" s="122" t="s">
        <v>5855</v>
      </c>
      <c r="E1163" s="290"/>
      <c r="F1163" s="290">
        <v>156000</v>
      </c>
    </row>
    <row r="1164" spans="1:6" ht="15" x14ac:dyDescent="0.3">
      <c r="A1164" s="105">
        <v>45981</v>
      </c>
      <c r="B1164" s="112" t="s">
        <v>5719</v>
      </c>
      <c r="C1164" s="11" t="s">
        <v>2519</v>
      </c>
      <c r="D1164" s="122" t="s">
        <v>5856</v>
      </c>
      <c r="E1164" s="290"/>
      <c r="F1164" s="290">
        <v>250000</v>
      </c>
    </row>
    <row r="1165" spans="1:6" ht="15" x14ac:dyDescent="0.3">
      <c r="A1165" s="105">
        <v>45981</v>
      </c>
      <c r="B1165" s="112" t="s">
        <v>5719</v>
      </c>
      <c r="C1165" s="11" t="s">
        <v>2519</v>
      </c>
      <c r="D1165" s="122" t="s">
        <v>5857</v>
      </c>
      <c r="E1165" s="290"/>
      <c r="F1165" s="290">
        <v>3333333</v>
      </c>
    </row>
    <row r="1166" spans="1:6" ht="15" x14ac:dyDescent="0.3">
      <c r="A1166" s="105">
        <v>45981</v>
      </c>
      <c r="B1166" s="112" t="s">
        <v>5719</v>
      </c>
      <c r="C1166" s="11" t="s">
        <v>2519</v>
      </c>
      <c r="D1166" s="122" t="s">
        <v>5858</v>
      </c>
      <c r="E1166" s="290"/>
      <c r="F1166" s="290">
        <v>-333333</v>
      </c>
    </row>
    <row r="1167" spans="1:6" ht="15" x14ac:dyDescent="0.3">
      <c r="A1167" s="105">
        <v>45981</v>
      </c>
      <c r="B1167" s="112" t="s">
        <v>5719</v>
      </c>
      <c r="C1167" s="11" t="s">
        <v>2519</v>
      </c>
      <c r="D1167" s="122" t="s">
        <v>4980</v>
      </c>
      <c r="E1167" s="290"/>
      <c r="F1167" s="290">
        <v>2500</v>
      </c>
    </row>
    <row r="1168" spans="1:6" ht="15" x14ac:dyDescent="0.3">
      <c r="A1168" s="105">
        <v>45982</v>
      </c>
      <c r="B1168" s="112" t="s">
        <v>5725</v>
      </c>
      <c r="C1168" s="11" t="s">
        <v>2519</v>
      </c>
      <c r="D1168" s="122" t="s">
        <v>5575</v>
      </c>
      <c r="E1168" s="290"/>
      <c r="F1168" s="290">
        <v>25000</v>
      </c>
    </row>
    <row r="1169" spans="1:6" ht="15" x14ac:dyDescent="0.3">
      <c r="A1169" s="105">
        <v>45982</v>
      </c>
      <c r="B1169" s="112" t="s">
        <v>5725</v>
      </c>
      <c r="C1169" s="11" t="s">
        <v>2519</v>
      </c>
      <c r="D1169" s="122" t="s">
        <v>981</v>
      </c>
      <c r="E1169" s="290"/>
      <c r="F1169" s="290">
        <v>2500</v>
      </c>
    </row>
    <row r="1170" spans="1:6" ht="15" x14ac:dyDescent="0.3">
      <c r="A1170" s="105">
        <v>45982</v>
      </c>
      <c r="B1170" s="112" t="s">
        <v>5725</v>
      </c>
      <c r="C1170" s="11" t="s">
        <v>2519</v>
      </c>
      <c r="D1170" s="122" t="s">
        <v>5859</v>
      </c>
      <c r="E1170" s="290"/>
      <c r="F1170" s="290">
        <v>1299900</v>
      </c>
    </row>
    <row r="1171" spans="1:6" ht="15" x14ac:dyDescent="0.3">
      <c r="A1171" s="105">
        <v>45982</v>
      </c>
      <c r="B1171" s="112" t="s">
        <v>5725</v>
      </c>
      <c r="C1171" s="11" t="s">
        <v>2519</v>
      </c>
      <c r="D1171" s="122" t="s">
        <v>981</v>
      </c>
      <c r="E1171" s="290"/>
      <c r="F1171" s="290">
        <v>2500</v>
      </c>
    </row>
    <row r="1172" spans="1:6" ht="15" x14ac:dyDescent="0.3">
      <c r="A1172" s="105">
        <v>45982</v>
      </c>
      <c r="B1172" s="112" t="s">
        <v>5725</v>
      </c>
      <c r="C1172" s="11" t="s">
        <v>2519</v>
      </c>
      <c r="D1172" s="122" t="s">
        <v>5860</v>
      </c>
      <c r="E1172" s="290"/>
      <c r="F1172" s="290">
        <v>15500</v>
      </c>
    </row>
    <row r="1173" spans="1:6" ht="15" x14ac:dyDescent="0.3">
      <c r="A1173" s="105">
        <v>45982</v>
      </c>
      <c r="B1173" s="112" t="s">
        <v>5725</v>
      </c>
      <c r="C1173" s="11" t="s">
        <v>2519</v>
      </c>
      <c r="D1173" s="122" t="s">
        <v>981</v>
      </c>
      <c r="E1173" s="290"/>
      <c r="F1173" s="290">
        <v>2500</v>
      </c>
    </row>
    <row r="1174" spans="1:6" ht="15" x14ac:dyDescent="0.3">
      <c r="A1174" s="105">
        <v>45982</v>
      </c>
      <c r="B1174" s="112" t="s">
        <v>5725</v>
      </c>
      <c r="C1174" s="11" t="s">
        <v>2519</v>
      </c>
      <c r="D1174" s="122" t="s">
        <v>5861</v>
      </c>
      <c r="E1174" s="290"/>
      <c r="F1174" s="290">
        <v>1039000</v>
      </c>
    </row>
    <row r="1175" spans="1:6" ht="15" x14ac:dyDescent="0.3">
      <c r="A1175" s="105">
        <v>45982</v>
      </c>
      <c r="B1175" s="112" t="s">
        <v>5725</v>
      </c>
      <c r="C1175" s="11" t="s">
        <v>2519</v>
      </c>
      <c r="D1175" s="122" t="s">
        <v>5862</v>
      </c>
      <c r="E1175" s="290"/>
      <c r="F1175" s="290">
        <v>25000</v>
      </c>
    </row>
    <row r="1176" spans="1:6" ht="15" x14ac:dyDescent="0.3">
      <c r="A1176" s="105">
        <v>45982</v>
      </c>
      <c r="B1176" s="112" t="s">
        <v>5725</v>
      </c>
      <c r="C1176" s="11" t="s">
        <v>2519</v>
      </c>
      <c r="D1176" s="122" t="s">
        <v>981</v>
      </c>
      <c r="E1176" s="290"/>
      <c r="F1176" s="290">
        <v>2500</v>
      </c>
    </row>
    <row r="1177" spans="1:6" ht="15" x14ac:dyDescent="0.3">
      <c r="A1177" s="105">
        <v>45982</v>
      </c>
      <c r="B1177" s="112" t="s">
        <v>5725</v>
      </c>
      <c r="C1177" s="11" t="s">
        <v>2519</v>
      </c>
      <c r="D1177" s="122" t="s">
        <v>5605</v>
      </c>
      <c r="E1177" s="290"/>
      <c r="F1177" s="290">
        <v>100000</v>
      </c>
    </row>
    <row r="1178" spans="1:6" ht="15" x14ac:dyDescent="0.3">
      <c r="A1178" s="105">
        <v>45982</v>
      </c>
      <c r="B1178" s="112" t="s">
        <v>5725</v>
      </c>
      <c r="C1178" s="11" t="s">
        <v>2519</v>
      </c>
      <c r="D1178" s="122" t="s">
        <v>981</v>
      </c>
      <c r="E1178" s="290"/>
      <c r="F1178" s="290">
        <v>2500</v>
      </c>
    </row>
    <row r="1179" spans="1:6" ht="15" x14ac:dyDescent="0.3">
      <c r="A1179" s="105">
        <v>45982</v>
      </c>
      <c r="B1179" s="112" t="s">
        <v>5725</v>
      </c>
      <c r="C1179" s="11" t="s">
        <v>2519</v>
      </c>
      <c r="D1179" s="122" t="s">
        <v>5863</v>
      </c>
      <c r="E1179" s="290"/>
      <c r="F1179" s="290">
        <v>301000</v>
      </c>
    </row>
    <row r="1180" spans="1:6" ht="15" x14ac:dyDescent="0.3">
      <c r="A1180" s="105">
        <v>45982</v>
      </c>
      <c r="B1180" s="112" t="s">
        <v>5864</v>
      </c>
      <c r="C1180" s="11" t="s">
        <v>2519</v>
      </c>
      <c r="D1180" s="122" t="s">
        <v>5865</v>
      </c>
      <c r="E1180" s="290"/>
      <c r="F1180" s="290">
        <v>108375000</v>
      </c>
    </row>
    <row r="1181" spans="1:6" ht="15" x14ac:dyDescent="0.3">
      <c r="A1181" s="105">
        <v>45982</v>
      </c>
      <c r="B1181" s="112" t="s">
        <v>5864</v>
      </c>
      <c r="C1181" s="11" t="s">
        <v>2519</v>
      </c>
      <c r="D1181" s="122" t="s">
        <v>5866</v>
      </c>
      <c r="E1181" s="290"/>
      <c r="F1181" s="290">
        <v>-4335000</v>
      </c>
    </row>
    <row r="1182" spans="1:6" ht="15" x14ac:dyDescent="0.3">
      <c r="A1182" s="105">
        <v>45982</v>
      </c>
      <c r="B1182" s="112" t="s">
        <v>5864</v>
      </c>
      <c r="C1182" s="11" t="s">
        <v>2519</v>
      </c>
      <c r="D1182" s="122" t="s">
        <v>5867</v>
      </c>
      <c r="E1182" s="290"/>
      <c r="F1182" s="290">
        <v>-5418750</v>
      </c>
    </row>
    <row r="1183" spans="1:6" ht="15" x14ac:dyDescent="0.3">
      <c r="A1183" s="105">
        <v>45982</v>
      </c>
      <c r="B1183" s="112" t="s">
        <v>5864</v>
      </c>
      <c r="C1183" s="11" t="s">
        <v>2519</v>
      </c>
      <c r="D1183" s="122" t="s">
        <v>5868</v>
      </c>
      <c r="E1183" s="290"/>
      <c r="F1183" s="290">
        <v>2900</v>
      </c>
    </row>
    <row r="1184" spans="1:6" ht="15" x14ac:dyDescent="0.3">
      <c r="A1184" s="105">
        <v>45982</v>
      </c>
      <c r="B1184" s="112" t="s">
        <v>5869</v>
      </c>
      <c r="C1184" s="11" t="s">
        <v>2519</v>
      </c>
      <c r="D1184" s="122" t="s">
        <v>5870</v>
      </c>
      <c r="E1184" s="290"/>
      <c r="F1184" s="290">
        <v>55424963</v>
      </c>
    </row>
    <row r="1185" spans="1:6" ht="15" x14ac:dyDescent="0.3">
      <c r="A1185" s="105">
        <v>45982</v>
      </c>
      <c r="B1185" s="112" t="s">
        <v>5869</v>
      </c>
      <c r="C1185" s="11" t="s">
        <v>2519</v>
      </c>
      <c r="D1185" s="122" t="s">
        <v>5871</v>
      </c>
      <c r="E1185" s="290"/>
      <c r="F1185" s="290">
        <v>-2216999</v>
      </c>
    </row>
    <row r="1186" spans="1:6" ht="15" x14ac:dyDescent="0.3">
      <c r="A1186" s="105">
        <v>45982</v>
      </c>
      <c r="B1186" s="112" t="s">
        <v>5869</v>
      </c>
      <c r="C1186" s="11" t="s">
        <v>2519</v>
      </c>
      <c r="D1186" s="122" t="s">
        <v>5872</v>
      </c>
      <c r="E1186" s="290"/>
      <c r="F1186" s="290">
        <v>-2771248</v>
      </c>
    </row>
    <row r="1187" spans="1:6" ht="15" x14ac:dyDescent="0.3">
      <c r="A1187" s="105">
        <v>45982</v>
      </c>
      <c r="B1187" s="112" t="s">
        <v>5869</v>
      </c>
      <c r="C1187" s="11" t="s">
        <v>2519</v>
      </c>
      <c r="D1187" s="122" t="s">
        <v>5873</v>
      </c>
      <c r="E1187" s="290"/>
      <c r="F1187" s="290">
        <v>2900</v>
      </c>
    </row>
    <row r="1188" spans="1:6" ht="15" x14ac:dyDescent="0.3">
      <c r="A1188" s="105">
        <v>45985</v>
      </c>
      <c r="B1188" s="112" t="s">
        <v>5874</v>
      </c>
      <c r="C1188" s="11" t="s">
        <v>2519</v>
      </c>
      <c r="D1188" s="122" t="s">
        <v>5875</v>
      </c>
      <c r="E1188" s="290"/>
      <c r="F1188" s="290">
        <v>285500</v>
      </c>
    </row>
    <row r="1189" spans="1:6" ht="15" x14ac:dyDescent="0.3">
      <c r="A1189" s="105">
        <v>45985</v>
      </c>
      <c r="B1189" s="112" t="s">
        <v>5874</v>
      </c>
      <c r="C1189" s="11" t="s">
        <v>2519</v>
      </c>
      <c r="D1189" s="122" t="s">
        <v>5876</v>
      </c>
      <c r="E1189" s="290"/>
      <c r="F1189" s="290">
        <v>13000</v>
      </c>
    </row>
    <row r="1190" spans="1:6" ht="15.6" x14ac:dyDescent="0.3">
      <c r="A1190" s="105">
        <v>45985</v>
      </c>
      <c r="B1190" s="112" t="s">
        <v>5877</v>
      </c>
      <c r="C1190" s="253" t="s">
        <v>2519</v>
      </c>
      <c r="D1190" s="514" t="s">
        <v>5878</v>
      </c>
      <c r="E1190" s="311"/>
      <c r="F1190" s="311">
        <v>600900</v>
      </c>
    </row>
    <row r="1191" spans="1:6" ht="15.6" x14ac:dyDescent="0.3">
      <c r="A1191" s="105">
        <v>45985</v>
      </c>
      <c r="B1191" s="112" t="s">
        <v>5877</v>
      </c>
      <c r="C1191" s="253" t="s">
        <v>2519</v>
      </c>
      <c r="D1191" s="514" t="s">
        <v>5879</v>
      </c>
      <c r="E1191" s="311"/>
      <c r="F1191" s="311">
        <v>194700</v>
      </c>
    </row>
    <row r="1192" spans="1:6" ht="15.6" x14ac:dyDescent="0.3">
      <c r="A1192" s="105">
        <v>45985</v>
      </c>
      <c r="B1192" s="112" t="s">
        <v>5877</v>
      </c>
      <c r="C1192" s="253" t="s">
        <v>2519</v>
      </c>
      <c r="D1192" s="514" t="s">
        <v>5880</v>
      </c>
      <c r="E1192" s="311"/>
      <c r="F1192" s="311">
        <v>139600</v>
      </c>
    </row>
    <row r="1193" spans="1:6" ht="15.6" x14ac:dyDescent="0.3">
      <c r="A1193" s="105">
        <v>45985</v>
      </c>
      <c r="B1193" s="112" t="s">
        <v>5877</v>
      </c>
      <c r="C1193" s="253" t="s">
        <v>2519</v>
      </c>
      <c r="D1193" s="514" t="s">
        <v>5881</v>
      </c>
      <c r="E1193" s="311"/>
      <c r="F1193" s="311">
        <v>250000</v>
      </c>
    </row>
    <row r="1194" spans="1:6" ht="15.6" x14ac:dyDescent="0.3">
      <c r="A1194" s="105">
        <v>45985</v>
      </c>
      <c r="B1194" s="112" t="s">
        <v>5877</v>
      </c>
      <c r="C1194" s="253" t="s">
        <v>2519</v>
      </c>
      <c r="D1194" s="514" t="s">
        <v>5882</v>
      </c>
      <c r="E1194" s="311"/>
      <c r="F1194" s="311">
        <v>48900</v>
      </c>
    </row>
    <row r="1195" spans="1:6" ht="15.6" x14ac:dyDescent="0.3">
      <c r="A1195" s="105">
        <v>45985</v>
      </c>
      <c r="B1195" s="112" t="s">
        <v>5877</v>
      </c>
      <c r="C1195" s="253" t="s">
        <v>2519</v>
      </c>
      <c r="D1195" s="514" t="s">
        <v>5883</v>
      </c>
      <c r="E1195" s="311"/>
      <c r="F1195" s="311">
        <v>17000</v>
      </c>
    </row>
    <row r="1196" spans="1:6" ht="15.6" x14ac:dyDescent="0.3">
      <c r="A1196" s="105">
        <v>45985</v>
      </c>
      <c r="B1196" s="112" t="s">
        <v>5877</v>
      </c>
      <c r="C1196" s="253" t="s">
        <v>2519</v>
      </c>
      <c r="D1196" s="514" t="s">
        <v>5884</v>
      </c>
      <c r="E1196" s="311"/>
      <c r="F1196" s="311">
        <v>450000</v>
      </c>
    </row>
    <row r="1197" spans="1:6" ht="15.6" x14ac:dyDescent="0.3">
      <c r="A1197" s="105">
        <v>45985</v>
      </c>
      <c r="B1197" s="112" t="s">
        <v>5877</v>
      </c>
      <c r="C1197" s="253" t="s">
        <v>2519</v>
      </c>
      <c r="D1197" s="514" t="s">
        <v>5885</v>
      </c>
      <c r="E1197" s="311"/>
      <c r="F1197" s="311">
        <v>243400</v>
      </c>
    </row>
    <row r="1198" spans="1:6" ht="15.6" x14ac:dyDescent="0.3">
      <c r="A1198" s="105">
        <v>45985</v>
      </c>
      <c r="B1198" s="112" t="s">
        <v>5886</v>
      </c>
      <c r="C1198" s="253" t="s">
        <v>2519</v>
      </c>
      <c r="D1198" s="122" t="s">
        <v>5887</v>
      </c>
      <c r="E1198" s="311"/>
      <c r="F1198" s="311">
        <v>1224490</v>
      </c>
    </row>
    <row r="1199" spans="1:6" ht="15.6" x14ac:dyDescent="0.3">
      <c r="A1199" s="105">
        <v>45985</v>
      </c>
      <c r="B1199" s="112" t="s">
        <v>5886</v>
      </c>
      <c r="C1199" s="253" t="s">
        <v>2519</v>
      </c>
      <c r="D1199" s="122" t="s">
        <v>5888</v>
      </c>
      <c r="E1199" s="311"/>
      <c r="F1199" s="311">
        <v>-24490</v>
      </c>
    </row>
    <row r="1200" spans="1:6" ht="15.6" x14ac:dyDescent="0.3">
      <c r="A1200" s="105">
        <v>45985</v>
      </c>
      <c r="B1200" s="112" t="s">
        <v>5886</v>
      </c>
      <c r="C1200" s="253" t="s">
        <v>2519</v>
      </c>
      <c r="D1200" s="122" t="s">
        <v>2372</v>
      </c>
      <c r="E1200" s="311"/>
      <c r="F1200" s="311">
        <v>2500</v>
      </c>
    </row>
    <row r="1201" spans="1:6" ht="15.6" x14ac:dyDescent="0.3">
      <c r="A1201" s="105">
        <v>45985</v>
      </c>
      <c r="B1201" s="112" t="s">
        <v>5886</v>
      </c>
      <c r="C1201" s="253" t="s">
        <v>2519</v>
      </c>
      <c r="D1201" s="122" t="s">
        <v>5889</v>
      </c>
      <c r="E1201" s="311"/>
      <c r="F1201" s="311">
        <v>50900</v>
      </c>
    </row>
    <row r="1202" spans="1:6" ht="15.6" x14ac:dyDescent="0.3">
      <c r="A1202" s="105">
        <v>45985</v>
      </c>
      <c r="B1202" s="112" t="s">
        <v>5886</v>
      </c>
      <c r="C1202" s="253" t="s">
        <v>2519</v>
      </c>
      <c r="D1202" s="122" t="s">
        <v>2372</v>
      </c>
      <c r="E1202" s="311"/>
      <c r="F1202" s="311">
        <v>2500</v>
      </c>
    </row>
    <row r="1203" spans="1:6" ht="15.6" x14ac:dyDescent="0.3">
      <c r="A1203" s="105">
        <v>45985</v>
      </c>
      <c r="B1203" s="112" t="s">
        <v>5886</v>
      </c>
      <c r="C1203" s="253" t="s">
        <v>2519</v>
      </c>
      <c r="D1203" s="122" t="s">
        <v>5844</v>
      </c>
      <c r="E1203" s="311"/>
      <c r="F1203" s="311">
        <v>89200</v>
      </c>
    </row>
    <row r="1204" spans="1:6" ht="15.6" x14ac:dyDescent="0.3">
      <c r="A1204" s="105">
        <v>45985</v>
      </c>
      <c r="B1204" s="112" t="s">
        <v>5886</v>
      </c>
      <c r="C1204" s="253" t="s">
        <v>2519</v>
      </c>
      <c r="D1204" s="122" t="s">
        <v>5890</v>
      </c>
      <c r="E1204" s="311"/>
      <c r="F1204" s="311">
        <v>23500</v>
      </c>
    </row>
    <row r="1205" spans="1:6" ht="15.6" x14ac:dyDescent="0.3">
      <c r="A1205" s="105">
        <v>45985</v>
      </c>
      <c r="B1205" s="112" t="s">
        <v>5886</v>
      </c>
      <c r="C1205" s="253" t="s">
        <v>2519</v>
      </c>
      <c r="D1205" s="122" t="s">
        <v>5891</v>
      </c>
      <c r="E1205" s="311"/>
      <c r="F1205" s="311">
        <v>100000</v>
      </c>
    </row>
    <row r="1206" spans="1:6" ht="15.6" x14ac:dyDescent="0.3">
      <c r="A1206" s="105">
        <v>45985</v>
      </c>
      <c r="B1206" s="112" t="s">
        <v>5886</v>
      </c>
      <c r="C1206" s="253" t="s">
        <v>2519</v>
      </c>
      <c r="D1206" s="122" t="s">
        <v>2372</v>
      </c>
      <c r="E1206" s="311"/>
      <c r="F1206" s="311">
        <v>2500</v>
      </c>
    </row>
    <row r="1207" spans="1:6" ht="15.6" x14ac:dyDescent="0.3">
      <c r="A1207" s="105">
        <v>45985</v>
      </c>
      <c r="B1207" s="112" t="s">
        <v>5892</v>
      </c>
      <c r="C1207" s="11" t="s">
        <v>2519</v>
      </c>
      <c r="D1207" s="551" t="s">
        <v>5893</v>
      </c>
      <c r="E1207" s="560"/>
      <c r="F1207" s="311">
        <v>4543313</v>
      </c>
    </row>
    <row r="1208" spans="1:6" ht="15.6" x14ac:dyDescent="0.3">
      <c r="A1208" s="105">
        <v>45985</v>
      </c>
      <c r="B1208" s="112" t="s">
        <v>5892</v>
      </c>
      <c r="C1208" s="11" t="s">
        <v>2519</v>
      </c>
      <c r="D1208" s="551" t="s">
        <v>5894</v>
      </c>
      <c r="E1208" s="560"/>
      <c r="F1208" s="311">
        <v>1560900</v>
      </c>
    </row>
    <row r="1209" spans="1:6" ht="15.6" x14ac:dyDescent="0.3">
      <c r="A1209" s="105">
        <v>45985</v>
      </c>
      <c r="B1209" s="112" t="s">
        <v>5892</v>
      </c>
      <c r="C1209" s="11" t="s">
        <v>2519</v>
      </c>
      <c r="D1209" s="551" t="s">
        <v>5895</v>
      </c>
      <c r="E1209" s="560"/>
      <c r="F1209" s="311">
        <v>225860</v>
      </c>
    </row>
    <row r="1210" spans="1:6" ht="15.6" x14ac:dyDescent="0.3">
      <c r="A1210" s="105">
        <v>45985</v>
      </c>
      <c r="B1210" s="112" t="s">
        <v>5892</v>
      </c>
      <c r="C1210" s="11" t="s">
        <v>2519</v>
      </c>
      <c r="D1210" s="551" t="s">
        <v>5896</v>
      </c>
      <c r="E1210" s="560"/>
      <c r="F1210" s="311">
        <v>15000</v>
      </c>
    </row>
    <row r="1211" spans="1:6" ht="15.6" x14ac:dyDescent="0.3">
      <c r="A1211" s="105">
        <v>45985</v>
      </c>
      <c r="B1211" s="112" t="s">
        <v>5892</v>
      </c>
      <c r="C1211" s="11" t="s">
        <v>2519</v>
      </c>
      <c r="D1211" s="551" t="s">
        <v>5590</v>
      </c>
      <c r="E1211" s="560"/>
      <c r="F1211" s="311">
        <v>160000</v>
      </c>
    </row>
    <row r="1212" spans="1:6" ht="15.6" x14ac:dyDescent="0.3">
      <c r="A1212" s="105">
        <v>45985</v>
      </c>
      <c r="B1212" s="112" t="s">
        <v>5892</v>
      </c>
      <c r="C1212" s="11" t="s">
        <v>2519</v>
      </c>
      <c r="D1212" s="551" t="s">
        <v>5276</v>
      </c>
      <c r="E1212" s="560"/>
      <c r="F1212" s="311">
        <v>65000</v>
      </c>
    </row>
    <row r="1213" spans="1:6" ht="15.6" x14ac:dyDescent="0.3">
      <c r="A1213" s="105">
        <v>45985</v>
      </c>
      <c r="B1213" s="112" t="s">
        <v>5892</v>
      </c>
      <c r="C1213" s="11" t="s">
        <v>2519</v>
      </c>
      <c r="D1213" s="551" t="s">
        <v>5897</v>
      </c>
      <c r="E1213" s="560"/>
      <c r="F1213" s="311">
        <v>90200</v>
      </c>
    </row>
    <row r="1214" spans="1:6" ht="15.6" x14ac:dyDescent="0.3">
      <c r="A1214" s="105">
        <v>45985</v>
      </c>
      <c r="B1214" s="112" t="s">
        <v>5892</v>
      </c>
      <c r="C1214" s="11" t="s">
        <v>2519</v>
      </c>
      <c r="D1214" s="551" t="s">
        <v>5610</v>
      </c>
      <c r="E1214" s="560"/>
      <c r="F1214" s="311">
        <v>62500</v>
      </c>
    </row>
    <row r="1215" spans="1:6" ht="15.6" x14ac:dyDescent="0.3">
      <c r="A1215" s="105">
        <v>45986</v>
      </c>
      <c r="B1215" s="112" t="s">
        <v>5898</v>
      </c>
      <c r="C1215" s="527" t="s">
        <v>2519</v>
      </c>
      <c r="D1215" s="556" t="s">
        <v>5899</v>
      </c>
      <c r="E1215" s="560"/>
      <c r="F1215" s="289">
        <v>1078200</v>
      </c>
    </row>
    <row r="1216" spans="1:6" ht="15.6" x14ac:dyDescent="0.3">
      <c r="A1216" s="105">
        <v>45986</v>
      </c>
      <c r="B1216" s="112" t="s">
        <v>5898</v>
      </c>
      <c r="C1216" s="527" t="s">
        <v>2519</v>
      </c>
      <c r="D1216" s="556" t="s">
        <v>2372</v>
      </c>
      <c r="E1216" s="560"/>
      <c r="F1216" s="289">
        <v>2500</v>
      </c>
    </row>
    <row r="1217" spans="1:6" ht="15.6" x14ac:dyDescent="0.3">
      <c r="A1217" s="105">
        <v>45986</v>
      </c>
      <c r="B1217" s="112" t="s">
        <v>5898</v>
      </c>
      <c r="C1217" s="527" t="s">
        <v>2519</v>
      </c>
      <c r="D1217" s="556" t="s">
        <v>4273</v>
      </c>
      <c r="E1217" s="560"/>
      <c r="F1217" s="289">
        <v>20000</v>
      </c>
    </row>
    <row r="1218" spans="1:6" ht="15.6" x14ac:dyDescent="0.3">
      <c r="A1218" s="105">
        <v>45986</v>
      </c>
      <c r="B1218" s="112" t="s">
        <v>5898</v>
      </c>
      <c r="C1218" s="527" t="s">
        <v>2519</v>
      </c>
      <c r="D1218" s="556" t="s">
        <v>5900</v>
      </c>
      <c r="E1218" s="560"/>
      <c r="F1218" s="289">
        <v>38500</v>
      </c>
    </row>
    <row r="1219" spans="1:6" ht="15.6" x14ac:dyDescent="0.3">
      <c r="A1219" s="105">
        <v>45986</v>
      </c>
      <c r="B1219" s="112" t="s">
        <v>5898</v>
      </c>
      <c r="C1219" s="527" t="s">
        <v>2519</v>
      </c>
      <c r="D1219" s="556" t="s">
        <v>5901</v>
      </c>
      <c r="E1219" s="560"/>
      <c r="F1219" s="289">
        <v>20000</v>
      </c>
    </row>
    <row r="1220" spans="1:6" ht="15.6" x14ac:dyDescent="0.3">
      <c r="A1220" s="105">
        <v>45986</v>
      </c>
      <c r="B1220" s="112" t="s">
        <v>5898</v>
      </c>
      <c r="C1220" s="527" t="s">
        <v>2519</v>
      </c>
      <c r="D1220" s="556" t="s">
        <v>2372</v>
      </c>
      <c r="E1220" s="560"/>
      <c r="F1220" s="289">
        <v>2500</v>
      </c>
    </row>
    <row r="1221" spans="1:6" ht="15.6" x14ac:dyDescent="0.3">
      <c r="A1221" s="105">
        <v>45986</v>
      </c>
      <c r="B1221" s="112" t="s">
        <v>5898</v>
      </c>
      <c r="C1221" s="527" t="s">
        <v>2519</v>
      </c>
      <c r="D1221" s="556" t="s">
        <v>5902</v>
      </c>
      <c r="E1221" s="560"/>
      <c r="F1221" s="289">
        <v>166000</v>
      </c>
    </row>
    <row r="1222" spans="1:6" ht="15.6" x14ac:dyDescent="0.3">
      <c r="A1222" s="105">
        <v>45987</v>
      </c>
      <c r="B1222" s="112" t="s">
        <v>5729</v>
      </c>
      <c r="C1222" s="253" t="s">
        <v>2519</v>
      </c>
      <c r="D1222" s="514" t="s">
        <v>5903</v>
      </c>
      <c r="E1222" s="311"/>
      <c r="F1222" s="311">
        <v>168000</v>
      </c>
    </row>
    <row r="1223" spans="1:6" ht="15" x14ac:dyDescent="0.3">
      <c r="A1223" s="105">
        <v>45987</v>
      </c>
      <c r="B1223" s="112" t="s">
        <v>5904</v>
      </c>
      <c r="C1223" s="11" t="s">
        <v>2519</v>
      </c>
      <c r="D1223" s="122" t="s">
        <v>5905</v>
      </c>
      <c r="E1223" s="290"/>
      <c r="F1223" s="290">
        <v>2250000</v>
      </c>
    </row>
    <row r="1224" spans="1:6" ht="15" x14ac:dyDescent="0.3">
      <c r="A1224" s="105">
        <v>45988</v>
      </c>
      <c r="B1224" s="112" t="s">
        <v>5733</v>
      </c>
      <c r="C1224" s="11" t="s">
        <v>2519</v>
      </c>
      <c r="D1224" s="129" t="s">
        <v>5280</v>
      </c>
      <c r="E1224" s="290"/>
      <c r="F1224" s="283">
        <v>143500</v>
      </c>
    </row>
    <row r="1225" spans="1:6" ht="15" x14ac:dyDescent="0.3">
      <c r="A1225" s="105">
        <v>45988</v>
      </c>
      <c r="B1225" s="112" t="s">
        <v>5733</v>
      </c>
      <c r="C1225" s="11" t="s">
        <v>2519</v>
      </c>
      <c r="D1225" s="129" t="s">
        <v>5281</v>
      </c>
      <c r="E1225" s="290"/>
      <c r="F1225" s="283">
        <v>24000</v>
      </c>
    </row>
    <row r="1226" spans="1:6" ht="15" x14ac:dyDescent="0.3">
      <c r="A1226" s="105">
        <v>45989</v>
      </c>
      <c r="B1226" s="112" t="s">
        <v>5906</v>
      </c>
      <c r="C1226" s="11" t="s">
        <v>2519</v>
      </c>
      <c r="D1226" s="122" t="s">
        <v>5907</v>
      </c>
      <c r="E1226" s="290"/>
      <c r="F1226" s="290">
        <v>340000</v>
      </c>
    </row>
    <row r="1227" spans="1:6" ht="15" x14ac:dyDescent="0.3">
      <c r="A1227" s="105">
        <v>45989</v>
      </c>
      <c r="B1227" s="112" t="s">
        <v>5906</v>
      </c>
      <c r="C1227" s="11" t="s">
        <v>2519</v>
      </c>
      <c r="D1227" s="122" t="s">
        <v>5908</v>
      </c>
      <c r="E1227" s="290"/>
      <c r="F1227" s="290">
        <v>37400</v>
      </c>
    </row>
    <row r="1228" spans="1:6" ht="15" x14ac:dyDescent="0.3">
      <c r="A1228" s="105">
        <v>45989</v>
      </c>
      <c r="B1228" s="112" t="s">
        <v>5906</v>
      </c>
      <c r="C1228" s="11" t="s">
        <v>2519</v>
      </c>
      <c r="D1228" s="122" t="s">
        <v>5909</v>
      </c>
      <c r="E1228" s="290"/>
      <c r="F1228" s="290">
        <v>2900</v>
      </c>
    </row>
    <row r="1229" spans="1:6" ht="15" x14ac:dyDescent="0.3">
      <c r="A1229" s="105">
        <v>45991</v>
      </c>
      <c r="B1229" s="112" t="s">
        <v>5740</v>
      </c>
      <c r="C1229" s="11" t="s">
        <v>2519</v>
      </c>
      <c r="D1229" s="117" t="s">
        <v>5910</v>
      </c>
      <c r="E1229" s="290"/>
      <c r="F1229" s="289">
        <v>81300</v>
      </c>
    </row>
    <row r="1230" spans="1:6" ht="15" x14ac:dyDescent="0.3">
      <c r="A1230" s="105">
        <v>45991</v>
      </c>
      <c r="B1230" s="112" t="s">
        <v>5740</v>
      </c>
      <c r="C1230" s="11" t="s">
        <v>2519</v>
      </c>
      <c r="D1230" s="117" t="s">
        <v>5911</v>
      </c>
      <c r="E1230" s="290"/>
      <c r="F1230" s="289">
        <v>5000</v>
      </c>
    </row>
    <row r="1231" spans="1:6" ht="15" x14ac:dyDescent="0.3">
      <c r="A1231" s="105">
        <v>45991</v>
      </c>
      <c r="B1231" s="112" t="s">
        <v>5740</v>
      </c>
      <c r="C1231" s="11" t="s">
        <v>2519</v>
      </c>
      <c r="D1231" s="117" t="s">
        <v>5912</v>
      </c>
      <c r="E1231" s="290"/>
      <c r="F1231" s="289">
        <v>17700</v>
      </c>
    </row>
    <row r="1232" spans="1:6" ht="15" x14ac:dyDescent="0.3">
      <c r="A1232" s="105">
        <v>45991</v>
      </c>
      <c r="B1232" s="112" t="s">
        <v>5740</v>
      </c>
      <c r="C1232" s="11" t="s">
        <v>2519</v>
      </c>
      <c r="D1232" s="117" t="s">
        <v>5333</v>
      </c>
      <c r="E1232" s="290"/>
      <c r="F1232" s="289">
        <v>100000</v>
      </c>
    </row>
    <row r="1233" spans="1:6" ht="15" x14ac:dyDescent="0.3">
      <c r="A1233" s="105">
        <v>45991</v>
      </c>
      <c r="B1233" s="112" t="s">
        <v>5740</v>
      </c>
      <c r="C1233" s="11" t="s">
        <v>2519</v>
      </c>
      <c r="D1233" s="117" t="s">
        <v>2041</v>
      </c>
      <c r="E1233" s="290"/>
      <c r="F1233" s="289">
        <v>2500</v>
      </c>
    </row>
    <row r="1234" spans="1:6" ht="15" x14ac:dyDescent="0.3">
      <c r="A1234" s="105">
        <v>45991</v>
      </c>
      <c r="B1234" s="112" t="s">
        <v>5740</v>
      </c>
      <c r="C1234" s="11" t="s">
        <v>2519</v>
      </c>
      <c r="D1234" s="117" t="s">
        <v>5913</v>
      </c>
      <c r="E1234" s="290"/>
      <c r="F1234" s="289">
        <v>522500</v>
      </c>
    </row>
    <row r="1235" spans="1:6" ht="15" x14ac:dyDescent="0.3">
      <c r="A1235" s="105">
        <v>45992</v>
      </c>
      <c r="B1235" s="112" t="s">
        <v>5914</v>
      </c>
      <c r="C1235" s="11" t="s">
        <v>2519</v>
      </c>
      <c r="D1235" s="121" t="s">
        <v>5915</v>
      </c>
      <c r="E1235" s="289"/>
      <c r="F1235" s="289">
        <v>51500</v>
      </c>
    </row>
    <row r="1236" spans="1:6" ht="15" x14ac:dyDescent="0.3">
      <c r="A1236" s="105">
        <v>45992</v>
      </c>
      <c r="B1236" s="112" t="s">
        <v>5914</v>
      </c>
      <c r="C1236" s="11" t="s">
        <v>2519</v>
      </c>
      <c r="D1236" s="117" t="s">
        <v>5916</v>
      </c>
      <c r="E1236" s="290"/>
      <c r="F1236" s="290">
        <v>347786</v>
      </c>
    </row>
    <row r="1237" spans="1:6" ht="15" x14ac:dyDescent="0.3">
      <c r="A1237" s="105">
        <v>45992</v>
      </c>
      <c r="B1237" s="112" t="s">
        <v>5914</v>
      </c>
      <c r="C1237" s="11" t="s">
        <v>2519</v>
      </c>
      <c r="D1237" s="117" t="s">
        <v>5917</v>
      </c>
      <c r="E1237" s="289"/>
      <c r="F1237" s="290">
        <v>35520</v>
      </c>
    </row>
    <row r="1238" spans="1:6" ht="15" x14ac:dyDescent="0.3">
      <c r="A1238" s="105">
        <v>45994</v>
      </c>
      <c r="B1238" s="112" t="s">
        <v>5918</v>
      </c>
      <c r="C1238" s="11" t="s">
        <v>2519</v>
      </c>
      <c r="D1238" s="122" t="s">
        <v>5919</v>
      </c>
      <c r="E1238" s="290"/>
      <c r="F1238" s="290">
        <v>56728730.75</v>
      </c>
    </row>
    <row r="1239" spans="1:6" ht="15" x14ac:dyDescent="0.3">
      <c r="A1239" s="105">
        <v>45994</v>
      </c>
      <c r="B1239" s="112" t="s">
        <v>5918</v>
      </c>
      <c r="C1239" s="11" t="s">
        <v>2519</v>
      </c>
      <c r="D1239" s="122" t="s">
        <v>5920</v>
      </c>
      <c r="E1239" s="290"/>
      <c r="F1239" s="290">
        <v>-2269149.23</v>
      </c>
    </row>
    <row r="1240" spans="1:6" ht="15" x14ac:dyDescent="0.3">
      <c r="A1240" s="105">
        <v>45994</v>
      </c>
      <c r="B1240" s="112" t="s">
        <v>5918</v>
      </c>
      <c r="C1240" s="11" t="s">
        <v>2519</v>
      </c>
      <c r="D1240" s="122" t="s">
        <v>5921</v>
      </c>
      <c r="E1240" s="290"/>
      <c r="F1240" s="290">
        <v>-2836436.54</v>
      </c>
    </row>
    <row r="1241" spans="1:6" ht="15" x14ac:dyDescent="0.3">
      <c r="A1241" s="105">
        <v>45994</v>
      </c>
      <c r="B1241" s="112" t="s">
        <v>5918</v>
      </c>
      <c r="C1241" s="11" t="s">
        <v>2519</v>
      </c>
      <c r="D1241" s="122" t="s">
        <v>5922</v>
      </c>
      <c r="E1241" s="290"/>
      <c r="F1241" s="290">
        <v>40942492.5</v>
      </c>
    </row>
    <row r="1242" spans="1:6" ht="15" x14ac:dyDescent="0.3">
      <c r="A1242" s="105">
        <v>45994</v>
      </c>
      <c r="B1242" s="112" t="s">
        <v>5918</v>
      </c>
      <c r="C1242" s="11" t="s">
        <v>2519</v>
      </c>
      <c r="D1242" s="122" t="s">
        <v>5923</v>
      </c>
      <c r="E1242" s="290"/>
      <c r="F1242" s="290">
        <v>-1637699.7</v>
      </c>
    </row>
    <row r="1243" spans="1:6" ht="15" x14ac:dyDescent="0.3">
      <c r="A1243" s="105">
        <v>45994</v>
      </c>
      <c r="B1243" s="112" t="s">
        <v>5918</v>
      </c>
      <c r="C1243" s="11" t="s">
        <v>2519</v>
      </c>
      <c r="D1243" s="122" t="s">
        <v>5924</v>
      </c>
      <c r="E1243" s="290"/>
      <c r="F1243" s="290">
        <v>-2047124.63</v>
      </c>
    </row>
    <row r="1244" spans="1:6" ht="15.6" x14ac:dyDescent="0.3">
      <c r="A1244" s="105">
        <v>45995</v>
      </c>
      <c r="B1244" s="112" t="s">
        <v>5925</v>
      </c>
      <c r="C1244" s="253" t="s">
        <v>2519</v>
      </c>
      <c r="D1244" s="514" t="s">
        <v>5926</v>
      </c>
      <c r="E1244" s="311"/>
      <c r="F1244" s="311">
        <v>6075000</v>
      </c>
    </row>
    <row r="1245" spans="1:6" ht="15.6" x14ac:dyDescent="0.3">
      <c r="A1245" s="105">
        <v>45995</v>
      </c>
      <c r="B1245" s="112" t="s">
        <v>5925</v>
      </c>
      <c r="C1245" s="253" t="s">
        <v>2519</v>
      </c>
      <c r="D1245" s="514" t="s">
        <v>5927</v>
      </c>
      <c r="E1245" s="311"/>
      <c r="F1245" s="311">
        <v>668250</v>
      </c>
    </row>
    <row r="1246" spans="1:6" ht="15.6" x14ac:dyDescent="0.3">
      <c r="A1246" s="105">
        <v>45995</v>
      </c>
      <c r="B1246" s="112" t="s">
        <v>5928</v>
      </c>
      <c r="C1246" s="253" t="s">
        <v>2519</v>
      </c>
      <c r="D1246" s="514" t="s">
        <v>5929</v>
      </c>
      <c r="E1246" s="311"/>
      <c r="F1246" s="311">
        <v>2250000</v>
      </c>
    </row>
    <row r="1247" spans="1:6" ht="15.6" x14ac:dyDescent="0.3">
      <c r="A1247" s="105">
        <v>45995</v>
      </c>
      <c r="B1247" s="112" t="s">
        <v>5928</v>
      </c>
      <c r="C1247" s="253" t="s">
        <v>2519</v>
      </c>
      <c r="D1247" s="514" t="s">
        <v>5930</v>
      </c>
      <c r="E1247" s="311"/>
      <c r="F1247" s="311">
        <v>247500</v>
      </c>
    </row>
    <row r="1248" spans="1:6" ht="15.6" x14ac:dyDescent="0.3">
      <c r="A1248" s="105">
        <v>45995</v>
      </c>
      <c r="B1248" s="112" t="s">
        <v>5928</v>
      </c>
      <c r="C1248" s="253" t="s">
        <v>2519</v>
      </c>
      <c r="D1248" s="514" t="s">
        <v>2082</v>
      </c>
      <c r="E1248" s="311"/>
      <c r="F1248" s="311">
        <v>2900</v>
      </c>
    </row>
    <row r="1249" spans="1:6" ht="15.6" x14ac:dyDescent="0.3">
      <c r="A1249" s="105">
        <v>45995</v>
      </c>
      <c r="B1249" s="112" t="s">
        <v>5931</v>
      </c>
      <c r="C1249" s="253" t="s">
        <v>2519</v>
      </c>
      <c r="D1249" s="514" t="s">
        <v>5932</v>
      </c>
      <c r="E1249" s="311"/>
      <c r="F1249" s="311">
        <v>81000000</v>
      </c>
    </row>
    <row r="1250" spans="1:6" ht="15.6" x14ac:dyDescent="0.3">
      <c r="A1250" s="105">
        <v>45995</v>
      </c>
      <c r="B1250" s="112" t="s">
        <v>5931</v>
      </c>
      <c r="C1250" s="253" t="s">
        <v>2519</v>
      </c>
      <c r="D1250" s="514" t="s">
        <v>5933</v>
      </c>
      <c r="E1250" s="311"/>
      <c r="F1250" s="311">
        <v>8910000</v>
      </c>
    </row>
    <row r="1251" spans="1:6" ht="15.6" x14ac:dyDescent="0.3">
      <c r="A1251" s="105">
        <v>45995</v>
      </c>
      <c r="B1251" s="112" t="s">
        <v>5931</v>
      </c>
      <c r="C1251" s="253" t="s">
        <v>2519</v>
      </c>
      <c r="D1251" s="514" t="s">
        <v>5934</v>
      </c>
      <c r="E1251" s="311"/>
      <c r="F1251" s="311">
        <v>2900</v>
      </c>
    </row>
    <row r="1252" spans="1:6" ht="15.6" x14ac:dyDescent="0.3">
      <c r="A1252" s="105">
        <v>45996</v>
      </c>
      <c r="B1252" s="112" t="s">
        <v>5935</v>
      </c>
      <c r="C1252" s="253" t="s">
        <v>2519</v>
      </c>
      <c r="D1252" s="514" t="s">
        <v>5936</v>
      </c>
      <c r="E1252" s="311"/>
      <c r="F1252" s="311">
        <v>19500000</v>
      </c>
    </row>
    <row r="1253" spans="1:6" ht="15.6" x14ac:dyDescent="0.3">
      <c r="A1253" s="105">
        <v>45996</v>
      </c>
      <c r="B1253" s="112" t="s">
        <v>5935</v>
      </c>
      <c r="C1253" s="253" t="s">
        <v>2519</v>
      </c>
      <c r="D1253" s="514" t="s">
        <v>5937</v>
      </c>
      <c r="E1253" s="311"/>
      <c r="F1253" s="311">
        <v>500000</v>
      </c>
    </row>
    <row r="1254" spans="1:6" ht="15.6" x14ac:dyDescent="0.3">
      <c r="A1254" s="105">
        <v>45996</v>
      </c>
      <c r="B1254" s="112" t="s">
        <v>5935</v>
      </c>
      <c r="C1254" s="253" t="s">
        <v>2519</v>
      </c>
      <c r="D1254" s="514" t="s">
        <v>5938</v>
      </c>
      <c r="E1254" s="311"/>
      <c r="F1254" s="311">
        <v>2200000</v>
      </c>
    </row>
    <row r="1255" spans="1:6" ht="15.6" x14ac:dyDescent="0.3">
      <c r="A1255" s="105">
        <v>45996</v>
      </c>
      <c r="B1255" s="112" t="s">
        <v>5935</v>
      </c>
      <c r="C1255" s="253" t="s">
        <v>2519</v>
      </c>
      <c r="D1255" s="514" t="s">
        <v>5939</v>
      </c>
      <c r="E1255" s="311"/>
      <c r="F1255" s="311">
        <v>-10000</v>
      </c>
    </row>
    <row r="1256" spans="1:6" ht="15.6" x14ac:dyDescent="0.3">
      <c r="A1256" s="105">
        <v>45996</v>
      </c>
      <c r="B1256" s="112" t="s">
        <v>5935</v>
      </c>
      <c r="C1256" s="253" t="s">
        <v>2519</v>
      </c>
      <c r="D1256" s="514" t="s">
        <v>5940</v>
      </c>
      <c r="E1256" s="311"/>
      <c r="F1256" s="311">
        <v>2900</v>
      </c>
    </row>
    <row r="1257" spans="1:6" ht="15.6" x14ac:dyDescent="0.3">
      <c r="A1257" s="105">
        <v>45999</v>
      </c>
      <c r="B1257" s="112" t="s">
        <v>5941</v>
      </c>
      <c r="C1257" s="253" t="s">
        <v>5942</v>
      </c>
      <c r="D1257" s="514" t="s">
        <v>5943</v>
      </c>
      <c r="E1257" s="311"/>
      <c r="F1257" s="311">
        <v>5163000</v>
      </c>
    </row>
    <row r="1258" spans="1:6" ht="15.6" x14ac:dyDescent="0.3">
      <c r="A1258" s="105">
        <v>45999</v>
      </c>
      <c r="B1258" s="112" t="s">
        <v>5941</v>
      </c>
      <c r="C1258" s="253" t="s">
        <v>5942</v>
      </c>
      <c r="D1258" s="514" t="s">
        <v>5944</v>
      </c>
      <c r="E1258" s="311"/>
      <c r="F1258" s="311">
        <v>11925721</v>
      </c>
    </row>
    <row r="1259" spans="1:6" ht="15.6" x14ac:dyDescent="0.3">
      <c r="A1259" s="105">
        <v>45999</v>
      </c>
      <c r="B1259" s="112" t="s">
        <v>5941</v>
      </c>
      <c r="C1259" s="253" t="s">
        <v>5942</v>
      </c>
      <c r="D1259" s="514" t="s">
        <v>5945</v>
      </c>
      <c r="E1259" s="311"/>
      <c r="F1259" s="311">
        <v>2710350</v>
      </c>
    </row>
    <row r="1260" spans="1:6" ht="15.6" x14ac:dyDescent="0.3">
      <c r="A1260" s="105">
        <v>46001</v>
      </c>
      <c r="B1260" s="112" t="s">
        <v>5800</v>
      </c>
      <c r="C1260" s="253" t="s">
        <v>2519</v>
      </c>
      <c r="D1260" s="514" t="s">
        <v>5946</v>
      </c>
      <c r="E1260" s="311"/>
      <c r="F1260" s="311">
        <v>-94500</v>
      </c>
    </row>
    <row r="1261" spans="1:6" ht="15.6" x14ac:dyDescent="0.3">
      <c r="A1261" s="105">
        <v>46003</v>
      </c>
      <c r="B1261" s="112" t="s">
        <v>5947</v>
      </c>
      <c r="C1261" s="253" t="s">
        <v>2519</v>
      </c>
      <c r="D1261" s="514" t="s">
        <v>5948</v>
      </c>
      <c r="E1261" s="311"/>
      <c r="F1261" s="311">
        <v>336600</v>
      </c>
    </row>
    <row r="1262" spans="1:6" ht="15.6" x14ac:dyDescent="0.3">
      <c r="A1262" s="105">
        <v>46003</v>
      </c>
      <c r="B1262" s="112" t="s">
        <v>5949</v>
      </c>
      <c r="C1262" s="253" t="s">
        <v>2519</v>
      </c>
      <c r="D1262" s="514" t="s">
        <v>5950</v>
      </c>
      <c r="E1262" s="311"/>
      <c r="F1262" s="311">
        <v>160000</v>
      </c>
    </row>
    <row r="1263" spans="1:6" ht="15.6" x14ac:dyDescent="0.3">
      <c r="A1263" s="105">
        <v>46003</v>
      </c>
      <c r="B1263" s="112" t="s">
        <v>5949</v>
      </c>
      <c r="C1263" s="253" t="s">
        <v>2519</v>
      </c>
      <c r="D1263" s="514" t="s">
        <v>5951</v>
      </c>
      <c r="E1263" s="311"/>
      <c r="F1263" s="311">
        <v>616800</v>
      </c>
    </row>
    <row r="1264" spans="1:6" ht="15.6" x14ac:dyDescent="0.3">
      <c r="A1264" s="105">
        <v>46003</v>
      </c>
      <c r="B1264" s="112" t="s">
        <v>5949</v>
      </c>
      <c r="C1264" s="253" t="s">
        <v>2519</v>
      </c>
      <c r="D1264" s="514" t="s">
        <v>5952</v>
      </c>
      <c r="E1264" s="311"/>
      <c r="F1264" s="311">
        <v>156500</v>
      </c>
    </row>
    <row r="1265" spans="1:6" ht="15.6" x14ac:dyDescent="0.3">
      <c r="A1265" s="105">
        <v>46003</v>
      </c>
      <c r="B1265" s="112" t="s">
        <v>5949</v>
      </c>
      <c r="C1265" s="253" t="s">
        <v>2519</v>
      </c>
      <c r="D1265" s="514" t="s">
        <v>5953</v>
      </c>
      <c r="E1265" s="311"/>
      <c r="F1265" s="311">
        <v>100000</v>
      </c>
    </row>
    <row r="1266" spans="1:6" ht="15.6" x14ac:dyDescent="0.3">
      <c r="A1266" s="105">
        <v>46003</v>
      </c>
      <c r="B1266" s="112" t="s">
        <v>5949</v>
      </c>
      <c r="C1266" s="253" t="s">
        <v>2519</v>
      </c>
      <c r="D1266" s="514" t="s">
        <v>5954</v>
      </c>
      <c r="E1266" s="311"/>
      <c r="F1266" s="311">
        <v>150000</v>
      </c>
    </row>
    <row r="1267" spans="1:6" ht="15.6" x14ac:dyDescent="0.3">
      <c r="A1267" s="105">
        <v>46003</v>
      </c>
      <c r="B1267" s="112" t="s">
        <v>5949</v>
      </c>
      <c r="C1267" s="253" t="s">
        <v>2519</v>
      </c>
      <c r="D1267" s="514" t="s">
        <v>5955</v>
      </c>
      <c r="E1267" s="311"/>
      <c r="F1267" s="311">
        <v>845600</v>
      </c>
    </row>
    <row r="1268" spans="1:6" ht="15.6" x14ac:dyDescent="0.3">
      <c r="A1268" s="105">
        <v>46003</v>
      </c>
      <c r="B1268" s="112" t="s">
        <v>5956</v>
      </c>
      <c r="C1268" s="253" t="s">
        <v>2519</v>
      </c>
      <c r="D1268" s="514" t="s">
        <v>5957</v>
      </c>
      <c r="E1268" s="311"/>
      <c r="F1268" s="311">
        <v>278210</v>
      </c>
    </row>
    <row r="1269" spans="1:6" ht="15.6" x14ac:dyDescent="0.3">
      <c r="A1269" s="105">
        <v>46003</v>
      </c>
      <c r="B1269" s="112" t="s">
        <v>5956</v>
      </c>
      <c r="C1269" s="253" t="s">
        <v>2519</v>
      </c>
      <c r="D1269" s="514" t="s">
        <v>5958</v>
      </c>
      <c r="E1269" s="311"/>
      <c r="F1269" s="311">
        <v>105500</v>
      </c>
    </row>
    <row r="1270" spans="1:6" ht="15.6" x14ac:dyDescent="0.3">
      <c r="A1270" s="105">
        <v>46008</v>
      </c>
      <c r="B1270" s="112" t="s">
        <v>5959</v>
      </c>
      <c r="C1270" s="253" t="s">
        <v>2519</v>
      </c>
      <c r="D1270" s="122" t="s">
        <v>5960</v>
      </c>
      <c r="E1270" s="311"/>
      <c r="F1270" s="311">
        <v>198000</v>
      </c>
    </row>
    <row r="1271" spans="1:6" ht="15.6" x14ac:dyDescent="0.3">
      <c r="A1271" s="105">
        <v>46008</v>
      </c>
      <c r="B1271" s="112" t="s">
        <v>5959</v>
      </c>
      <c r="C1271" s="253" t="s">
        <v>2519</v>
      </c>
      <c r="D1271" s="122" t="s">
        <v>5961</v>
      </c>
      <c r="E1271" s="311"/>
      <c r="F1271" s="311">
        <v>21780</v>
      </c>
    </row>
    <row r="1272" spans="1:6" ht="15.6" x14ac:dyDescent="0.3">
      <c r="A1272" s="105">
        <v>46008</v>
      </c>
      <c r="B1272" s="112" t="s">
        <v>5959</v>
      </c>
      <c r="C1272" s="253" t="s">
        <v>2519</v>
      </c>
      <c r="D1272" s="122" t="s">
        <v>5962</v>
      </c>
      <c r="E1272" s="311"/>
      <c r="F1272" s="311">
        <v>2250000</v>
      </c>
    </row>
    <row r="1273" spans="1:6" ht="15.6" x14ac:dyDescent="0.3">
      <c r="A1273" s="105">
        <v>46008</v>
      </c>
      <c r="B1273" s="112" t="s">
        <v>5959</v>
      </c>
      <c r="C1273" s="253" t="s">
        <v>2519</v>
      </c>
      <c r="D1273" s="122" t="s">
        <v>5963</v>
      </c>
      <c r="E1273" s="311"/>
      <c r="F1273" s="311">
        <v>247500</v>
      </c>
    </row>
    <row r="1274" spans="1:6" ht="15.6" x14ac:dyDescent="0.3">
      <c r="A1274" s="105">
        <v>46008</v>
      </c>
      <c r="B1274" s="112" t="s">
        <v>5959</v>
      </c>
      <c r="C1274" s="253" t="s">
        <v>2519</v>
      </c>
      <c r="D1274" s="122" t="s">
        <v>5964</v>
      </c>
      <c r="E1274" s="311"/>
      <c r="F1274" s="311">
        <v>31540000</v>
      </c>
    </row>
    <row r="1275" spans="1:6" ht="15.6" x14ac:dyDescent="0.3">
      <c r="A1275" s="105">
        <v>46008</v>
      </c>
      <c r="B1275" s="112" t="s">
        <v>5959</v>
      </c>
      <c r="C1275" s="253" t="s">
        <v>2519</v>
      </c>
      <c r="D1275" s="122" t="s">
        <v>5965</v>
      </c>
      <c r="E1275" s="311"/>
      <c r="F1275" s="311">
        <v>3469400</v>
      </c>
    </row>
    <row r="1276" spans="1:6" ht="15.6" x14ac:dyDescent="0.3">
      <c r="A1276" s="105">
        <v>46008</v>
      </c>
      <c r="B1276" s="112" t="s">
        <v>5959</v>
      </c>
      <c r="C1276" s="253" t="s">
        <v>2519</v>
      </c>
      <c r="D1276" s="122" t="s">
        <v>5966</v>
      </c>
      <c r="E1276" s="311"/>
      <c r="F1276" s="311">
        <v>13075000</v>
      </c>
    </row>
    <row r="1277" spans="1:6" ht="15.6" x14ac:dyDescent="0.3">
      <c r="A1277" s="105">
        <v>46008</v>
      </c>
      <c r="B1277" s="112" t="s">
        <v>5959</v>
      </c>
      <c r="C1277" s="253" t="s">
        <v>2519</v>
      </c>
      <c r="D1277" s="122" t="s">
        <v>5967</v>
      </c>
      <c r="E1277" s="311"/>
      <c r="F1277" s="311">
        <v>1438250</v>
      </c>
    </row>
    <row r="1278" spans="1:6" ht="15.6" x14ac:dyDescent="0.3">
      <c r="A1278" s="105">
        <v>46008</v>
      </c>
      <c r="B1278" s="112" t="s">
        <v>5959</v>
      </c>
      <c r="C1278" s="253" t="s">
        <v>2519</v>
      </c>
      <c r="D1278" s="122" t="s">
        <v>5968</v>
      </c>
      <c r="E1278" s="311"/>
      <c r="F1278" s="311">
        <v>2900</v>
      </c>
    </row>
    <row r="1279" spans="1:6" ht="15" x14ac:dyDescent="0.3">
      <c r="A1279" s="105">
        <v>46008</v>
      </c>
      <c r="B1279" s="112" t="s">
        <v>5749</v>
      </c>
      <c r="C1279" s="11" t="s">
        <v>2519</v>
      </c>
      <c r="D1279" s="122" t="s">
        <v>5969</v>
      </c>
      <c r="E1279" s="290"/>
      <c r="F1279" s="290">
        <v>3200000</v>
      </c>
    </row>
    <row r="1280" spans="1:6" ht="15" x14ac:dyDescent="0.3">
      <c r="A1280" s="105">
        <v>46008</v>
      </c>
      <c r="B1280" s="112" t="s">
        <v>5749</v>
      </c>
      <c r="C1280" s="11" t="s">
        <v>2519</v>
      </c>
      <c r="D1280" s="122" t="s">
        <v>5970</v>
      </c>
      <c r="E1280" s="290"/>
      <c r="F1280" s="290">
        <v>-64000</v>
      </c>
    </row>
    <row r="1281" spans="1:6" ht="15" x14ac:dyDescent="0.3">
      <c r="A1281" s="105">
        <v>46008</v>
      </c>
      <c r="B1281" s="112" t="s">
        <v>5749</v>
      </c>
      <c r="C1281" s="11" t="s">
        <v>2519</v>
      </c>
      <c r="D1281" s="122" t="s">
        <v>5971</v>
      </c>
      <c r="E1281" s="290"/>
      <c r="F1281" s="290">
        <v>400000</v>
      </c>
    </row>
    <row r="1282" spans="1:6" ht="15" x14ac:dyDescent="0.3">
      <c r="A1282" s="105">
        <v>46008</v>
      </c>
      <c r="B1282" s="112" t="s">
        <v>5749</v>
      </c>
      <c r="C1282" s="11" t="s">
        <v>2519</v>
      </c>
      <c r="D1282" s="122" t="s">
        <v>5972</v>
      </c>
      <c r="E1282" s="290"/>
      <c r="F1282" s="290">
        <v>-8000</v>
      </c>
    </row>
    <row r="1283" spans="1:6" ht="15" x14ac:dyDescent="0.3">
      <c r="A1283" s="105">
        <v>46008</v>
      </c>
      <c r="B1283" s="112" t="s">
        <v>5749</v>
      </c>
      <c r="C1283" s="11" t="s">
        <v>2519</v>
      </c>
      <c r="D1283" s="122" t="s">
        <v>5973</v>
      </c>
      <c r="E1283" s="290"/>
      <c r="F1283" s="290">
        <v>1500000</v>
      </c>
    </row>
    <row r="1284" spans="1:6" ht="15" x14ac:dyDescent="0.3">
      <c r="A1284" s="105">
        <v>46008</v>
      </c>
      <c r="B1284" s="112" t="s">
        <v>5749</v>
      </c>
      <c r="C1284" s="11" t="s">
        <v>2519</v>
      </c>
      <c r="D1284" s="122" t="s">
        <v>5974</v>
      </c>
      <c r="E1284" s="290"/>
      <c r="F1284" s="290">
        <v>-30000</v>
      </c>
    </row>
    <row r="1285" spans="1:6" ht="15" x14ac:dyDescent="0.3">
      <c r="A1285" s="588">
        <v>46013</v>
      </c>
      <c r="B1285" s="578" t="s">
        <v>6239</v>
      </c>
      <c r="C1285" s="577" t="s">
        <v>2519</v>
      </c>
      <c r="D1285" s="648" t="s">
        <v>6240</v>
      </c>
      <c r="E1285" s="290"/>
      <c r="F1285" s="290">
        <v>280220</v>
      </c>
    </row>
    <row r="1286" spans="1:6" ht="15.6" x14ac:dyDescent="0.3">
      <c r="A1286" s="588">
        <v>46013</v>
      </c>
      <c r="B1286" s="578" t="s">
        <v>6239</v>
      </c>
      <c r="C1286" s="577" t="s">
        <v>2519</v>
      </c>
      <c r="D1286" s="648" t="s">
        <v>5961</v>
      </c>
      <c r="E1286" s="311"/>
      <c r="F1286" s="311">
        <v>55000</v>
      </c>
    </row>
    <row r="1287" spans="1:6" ht="15.6" x14ac:dyDescent="0.3">
      <c r="A1287" s="588">
        <v>46013</v>
      </c>
      <c r="B1287" s="578" t="s">
        <v>6239</v>
      </c>
      <c r="C1287" s="577" t="s">
        <v>2519</v>
      </c>
      <c r="D1287" s="648" t="s">
        <v>5968</v>
      </c>
      <c r="E1287" s="311"/>
      <c r="F1287" s="311">
        <v>2900</v>
      </c>
    </row>
    <row r="1288" spans="1:6" ht="30" x14ac:dyDescent="0.3">
      <c r="A1288" s="588">
        <v>46013</v>
      </c>
      <c r="B1288" s="578" t="s">
        <v>6241</v>
      </c>
      <c r="C1288" s="577" t="s">
        <v>2519</v>
      </c>
      <c r="D1288" s="649" t="s">
        <v>6242</v>
      </c>
      <c r="E1288" s="290"/>
      <c r="F1288" s="290">
        <v>271049456</v>
      </c>
    </row>
    <row r="1289" spans="1:6" ht="30" x14ac:dyDescent="0.3">
      <c r="A1289" s="588">
        <v>46013</v>
      </c>
      <c r="B1289" s="578" t="s">
        <v>6241</v>
      </c>
      <c r="C1289" s="577" t="s">
        <v>2519</v>
      </c>
      <c r="D1289" s="648" t="s">
        <v>6243</v>
      </c>
      <c r="E1289" s="290"/>
      <c r="F1289" s="290">
        <v>-13552472.800000001</v>
      </c>
    </row>
    <row r="1290" spans="1:6" ht="30" x14ac:dyDescent="0.3">
      <c r="A1290" s="588">
        <v>46013</v>
      </c>
      <c r="B1290" s="578" t="s">
        <v>6241</v>
      </c>
      <c r="C1290" s="577" t="s">
        <v>2519</v>
      </c>
      <c r="D1290" s="648" t="s">
        <v>6244</v>
      </c>
      <c r="E1290" s="290"/>
      <c r="F1290" s="290">
        <v>-10841978.24</v>
      </c>
    </row>
    <row r="1291" spans="1:6" ht="15.6" x14ac:dyDescent="0.3">
      <c r="A1291" s="588">
        <v>46013</v>
      </c>
      <c r="B1291" s="578" t="s">
        <v>6241</v>
      </c>
      <c r="C1291" s="577" t="s">
        <v>2519</v>
      </c>
      <c r="D1291" s="648" t="s">
        <v>5873</v>
      </c>
      <c r="E1291" s="311"/>
      <c r="F1291" s="311">
        <v>2900</v>
      </c>
    </row>
    <row r="1292" spans="1:6" ht="30" x14ac:dyDescent="0.3">
      <c r="A1292" s="588">
        <v>46013</v>
      </c>
      <c r="B1292" s="578" t="s">
        <v>6245</v>
      </c>
      <c r="C1292" s="577" t="s">
        <v>2519</v>
      </c>
      <c r="D1292" s="649" t="s">
        <v>6246</v>
      </c>
      <c r="E1292" s="290"/>
      <c r="F1292" s="290">
        <v>54443463</v>
      </c>
    </row>
    <row r="1293" spans="1:6" ht="30" x14ac:dyDescent="0.3">
      <c r="A1293" s="588">
        <v>46013</v>
      </c>
      <c r="B1293" s="578" t="s">
        <v>6245</v>
      </c>
      <c r="C1293" s="577" t="s">
        <v>2519</v>
      </c>
      <c r="D1293" s="648" t="s">
        <v>6247</v>
      </c>
      <c r="E1293" s="290"/>
      <c r="F1293" s="290">
        <v>-2722173</v>
      </c>
    </row>
    <row r="1294" spans="1:6" ht="30" x14ac:dyDescent="0.3">
      <c r="A1294" s="588">
        <v>46013</v>
      </c>
      <c r="B1294" s="578" t="s">
        <v>6245</v>
      </c>
      <c r="C1294" s="577" t="s">
        <v>2519</v>
      </c>
      <c r="D1294" s="648" t="s">
        <v>6248</v>
      </c>
      <c r="E1294" s="290"/>
      <c r="F1294" s="290">
        <v>-2177739</v>
      </c>
    </row>
    <row r="1295" spans="1:6" ht="15" x14ac:dyDescent="0.3">
      <c r="A1295" s="588">
        <v>46013</v>
      </c>
      <c r="B1295" s="578" t="s">
        <v>6245</v>
      </c>
      <c r="C1295" s="577" t="s">
        <v>2519</v>
      </c>
      <c r="D1295" s="648" t="s">
        <v>5873</v>
      </c>
      <c r="E1295" s="290"/>
      <c r="F1295" s="290">
        <v>2900</v>
      </c>
    </row>
    <row r="1296" spans="1:6" ht="15.6" x14ac:dyDescent="0.3">
      <c r="A1296" s="588">
        <v>46020</v>
      </c>
      <c r="B1296" s="578" t="s">
        <v>6249</v>
      </c>
      <c r="C1296" s="577" t="s">
        <v>2519</v>
      </c>
      <c r="D1296" s="648" t="s">
        <v>6106</v>
      </c>
      <c r="E1296" s="311"/>
      <c r="F1296" s="311">
        <v>145500</v>
      </c>
    </row>
    <row r="1297" spans="1:6" ht="15.6" x14ac:dyDescent="0.3">
      <c r="A1297" s="588">
        <v>46020</v>
      </c>
      <c r="B1297" s="578" t="s">
        <v>6250</v>
      </c>
      <c r="C1297" s="577" t="s">
        <v>2519</v>
      </c>
      <c r="D1297" s="648" t="s">
        <v>6251</v>
      </c>
      <c r="E1297" s="311"/>
      <c r="F1297" s="311">
        <v>450000</v>
      </c>
    </row>
    <row r="1298" spans="1:6" ht="15.6" x14ac:dyDescent="0.3">
      <c r="A1298" s="588">
        <v>46020</v>
      </c>
      <c r="B1298" s="578" t="s">
        <v>6250</v>
      </c>
      <c r="C1298" s="577" t="s">
        <v>2519</v>
      </c>
      <c r="D1298" s="648" t="s">
        <v>5744</v>
      </c>
      <c r="E1298" s="311"/>
      <c r="F1298" s="311">
        <v>109000</v>
      </c>
    </row>
    <row r="1299" spans="1:6" ht="15.6" x14ac:dyDescent="0.3">
      <c r="A1299" s="588">
        <v>46020</v>
      </c>
      <c r="B1299" s="578" t="s">
        <v>6250</v>
      </c>
      <c r="C1299" s="577" t="s">
        <v>2519</v>
      </c>
      <c r="D1299" s="648" t="s">
        <v>6252</v>
      </c>
      <c r="E1299" s="311"/>
      <c r="F1299" s="311">
        <v>281000</v>
      </c>
    </row>
    <row r="1300" spans="1:6" ht="15.6" x14ac:dyDescent="0.3">
      <c r="A1300" s="588">
        <v>46022</v>
      </c>
      <c r="B1300" s="578" t="s">
        <v>6253</v>
      </c>
      <c r="C1300" s="577" t="s">
        <v>2519</v>
      </c>
      <c r="D1300" s="648" t="s">
        <v>6254</v>
      </c>
      <c r="E1300" s="311"/>
      <c r="F1300" s="311">
        <v>110000</v>
      </c>
    </row>
    <row r="1301" spans="1:6" ht="15.6" x14ac:dyDescent="0.3">
      <c r="A1301" s="588">
        <v>46022</v>
      </c>
      <c r="B1301" s="578" t="s">
        <v>6253</v>
      </c>
      <c r="C1301" s="577" t="s">
        <v>2519</v>
      </c>
      <c r="D1301" s="648" t="s">
        <v>6254</v>
      </c>
      <c r="E1301" s="311"/>
      <c r="F1301" s="311">
        <v>1950000</v>
      </c>
    </row>
    <row r="1302" spans="1:6" ht="15.6" x14ac:dyDescent="0.3">
      <c r="A1302" s="588">
        <v>45993</v>
      </c>
      <c r="B1302" s="589" t="s">
        <v>6191</v>
      </c>
      <c r="C1302" s="577" t="s">
        <v>2519</v>
      </c>
      <c r="D1302" s="589" t="s">
        <v>6255</v>
      </c>
      <c r="E1302" s="597"/>
      <c r="F1302" s="582">
        <v>19400</v>
      </c>
    </row>
    <row r="1303" spans="1:6" ht="15.6" x14ac:dyDescent="0.3">
      <c r="A1303" s="588">
        <v>45993</v>
      </c>
      <c r="B1303" s="589" t="s">
        <v>6191</v>
      </c>
      <c r="C1303" s="577" t="s">
        <v>2519</v>
      </c>
      <c r="D1303" s="589" t="s">
        <v>6255</v>
      </c>
      <c r="E1303" s="597"/>
      <c r="F1303" s="582">
        <v>25000</v>
      </c>
    </row>
    <row r="1304" spans="1:6" ht="15.6" x14ac:dyDescent="0.3">
      <c r="A1304" s="588">
        <v>45993</v>
      </c>
      <c r="B1304" s="589" t="s">
        <v>6191</v>
      </c>
      <c r="C1304" s="577" t="s">
        <v>2519</v>
      </c>
      <c r="D1304" s="589" t="s">
        <v>6256</v>
      </c>
      <c r="E1304" s="597"/>
      <c r="F1304" s="582">
        <v>100000</v>
      </c>
    </row>
    <row r="1305" spans="1:6" ht="15.6" x14ac:dyDescent="0.3">
      <c r="A1305" s="588">
        <v>45993</v>
      </c>
      <c r="B1305" s="589" t="s">
        <v>6191</v>
      </c>
      <c r="C1305" s="577" t="s">
        <v>2519</v>
      </c>
      <c r="D1305" s="589" t="s">
        <v>6257</v>
      </c>
      <c r="E1305" s="597"/>
      <c r="F1305" s="582">
        <v>648024</v>
      </c>
    </row>
    <row r="1306" spans="1:6" ht="15.6" x14ac:dyDescent="0.3">
      <c r="A1306" s="588">
        <v>45993</v>
      </c>
      <c r="B1306" s="589" t="s">
        <v>6191</v>
      </c>
      <c r="C1306" s="577" t="s">
        <v>2519</v>
      </c>
      <c r="D1306" s="589" t="s">
        <v>6258</v>
      </c>
      <c r="E1306" s="597"/>
      <c r="F1306" s="582">
        <v>68100</v>
      </c>
    </row>
    <row r="1307" spans="1:6" ht="15.6" x14ac:dyDescent="0.3">
      <c r="A1307" s="588">
        <v>45993</v>
      </c>
      <c r="B1307" s="589" t="s">
        <v>6191</v>
      </c>
      <c r="C1307" s="577" t="s">
        <v>2519</v>
      </c>
      <c r="D1307" s="589" t="s">
        <v>6259</v>
      </c>
      <c r="E1307" s="597"/>
      <c r="F1307" s="582">
        <v>331000</v>
      </c>
    </row>
    <row r="1308" spans="1:6" ht="15.6" x14ac:dyDescent="0.3">
      <c r="A1308" s="588">
        <v>45993</v>
      </c>
      <c r="B1308" s="589" t="s">
        <v>6191</v>
      </c>
      <c r="C1308" s="577" t="s">
        <v>2519</v>
      </c>
      <c r="D1308" s="589" t="s">
        <v>6260</v>
      </c>
      <c r="E1308" s="597"/>
      <c r="F1308" s="582">
        <v>21000</v>
      </c>
    </row>
    <row r="1309" spans="1:6" ht="15.6" x14ac:dyDescent="0.3">
      <c r="A1309" s="588">
        <v>45993</v>
      </c>
      <c r="B1309" s="589" t="s">
        <v>6191</v>
      </c>
      <c r="C1309" s="577" t="s">
        <v>2519</v>
      </c>
      <c r="D1309" s="589" t="s">
        <v>6261</v>
      </c>
      <c r="E1309" s="597"/>
      <c r="F1309" s="582">
        <v>3760000</v>
      </c>
    </row>
    <row r="1310" spans="1:6" ht="15.6" x14ac:dyDescent="0.3">
      <c r="A1310" s="588">
        <v>45993</v>
      </c>
      <c r="B1310" s="589" t="s">
        <v>6191</v>
      </c>
      <c r="C1310" s="577" t="s">
        <v>2519</v>
      </c>
      <c r="D1310" s="589" t="s">
        <v>6194</v>
      </c>
      <c r="E1310" s="597"/>
      <c r="F1310" s="582">
        <v>1500</v>
      </c>
    </row>
    <row r="1311" spans="1:6" ht="15.6" x14ac:dyDescent="0.3">
      <c r="A1311" s="588">
        <v>45993</v>
      </c>
      <c r="B1311" s="589" t="s">
        <v>6191</v>
      </c>
      <c r="C1311" s="577" t="s">
        <v>2519</v>
      </c>
      <c r="D1311" s="589" t="s">
        <v>6194</v>
      </c>
      <c r="E1311" s="597"/>
      <c r="F1311" s="582">
        <v>2500</v>
      </c>
    </row>
    <row r="1312" spans="1:6" ht="15.6" x14ac:dyDescent="0.3">
      <c r="A1312" s="588">
        <v>45993</v>
      </c>
      <c r="B1312" s="589" t="s">
        <v>6191</v>
      </c>
      <c r="C1312" s="577" t="s">
        <v>2519</v>
      </c>
      <c r="D1312" s="589" t="s">
        <v>6194</v>
      </c>
      <c r="E1312" s="597"/>
      <c r="F1312" s="582">
        <v>2500</v>
      </c>
    </row>
    <row r="1313" spans="1:6" ht="15.6" x14ac:dyDescent="0.3">
      <c r="A1313" s="588">
        <v>45993</v>
      </c>
      <c r="B1313" s="589" t="s">
        <v>6147</v>
      </c>
      <c r="C1313" s="577" t="s">
        <v>2519</v>
      </c>
      <c r="D1313" s="589" t="s">
        <v>6262</v>
      </c>
      <c r="E1313" s="597"/>
      <c r="F1313" s="582">
        <v>4800000</v>
      </c>
    </row>
    <row r="1314" spans="1:6" ht="15.6" x14ac:dyDescent="0.3">
      <c r="A1314" s="588">
        <v>45993</v>
      </c>
      <c r="B1314" s="589" t="s">
        <v>6147</v>
      </c>
      <c r="C1314" s="577" t="s">
        <v>2519</v>
      </c>
      <c r="D1314" s="589" t="s">
        <v>6195</v>
      </c>
      <c r="E1314" s="597"/>
      <c r="F1314" s="582">
        <v>198000</v>
      </c>
    </row>
    <row r="1315" spans="1:6" ht="15.6" x14ac:dyDescent="0.3">
      <c r="A1315" s="588">
        <v>45993</v>
      </c>
      <c r="B1315" s="589" t="s">
        <v>6147</v>
      </c>
      <c r="C1315" s="577" t="s">
        <v>2519</v>
      </c>
      <c r="D1315" s="589" t="s">
        <v>6263</v>
      </c>
      <c r="E1315" s="597"/>
      <c r="F1315" s="582">
        <v>120000</v>
      </c>
    </row>
    <row r="1316" spans="1:6" ht="15.6" x14ac:dyDescent="0.3">
      <c r="A1316" s="588">
        <v>45993</v>
      </c>
      <c r="B1316" s="589" t="s">
        <v>6147</v>
      </c>
      <c r="C1316" s="577" t="s">
        <v>2519</v>
      </c>
      <c r="D1316" s="589" t="s">
        <v>6264</v>
      </c>
      <c r="E1316" s="597"/>
      <c r="F1316" s="582">
        <v>147000</v>
      </c>
    </row>
    <row r="1317" spans="1:6" ht="15.6" x14ac:dyDescent="0.3">
      <c r="A1317" s="588">
        <v>45993</v>
      </c>
      <c r="B1317" s="589" t="s">
        <v>6147</v>
      </c>
      <c r="C1317" s="577" t="s">
        <v>2519</v>
      </c>
      <c r="D1317" s="589" t="s">
        <v>6265</v>
      </c>
      <c r="E1317" s="597"/>
      <c r="F1317" s="582">
        <v>117688</v>
      </c>
    </row>
    <row r="1318" spans="1:6" ht="15.6" x14ac:dyDescent="0.3">
      <c r="A1318" s="588">
        <v>45993</v>
      </c>
      <c r="B1318" s="589" t="s">
        <v>6147</v>
      </c>
      <c r="C1318" s="577" t="s">
        <v>2519</v>
      </c>
      <c r="D1318" s="589" t="s">
        <v>6266</v>
      </c>
      <c r="E1318" s="597"/>
      <c r="F1318" s="582">
        <v>750000</v>
      </c>
    </row>
    <row r="1319" spans="1:6" ht="15.6" x14ac:dyDescent="0.3">
      <c r="A1319" s="588">
        <v>45993</v>
      </c>
      <c r="B1319" s="589" t="s">
        <v>6147</v>
      </c>
      <c r="C1319" s="577" t="s">
        <v>2519</v>
      </c>
      <c r="D1319" s="589" t="s">
        <v>6152</v>
      </c>
      <c r="E1319" s="597"/>
      <c r="F1319" s="582">
        <v>2500</v>
      </c>
    </row>
    <row r="1320" spans="1:6" ht="15.6" x14ac:dyDescent="0.3">
      <c r="A1320" s="588">
        <v>45993</v>
      </c>
      <c r="B1320" s="589" t="s">
        <v>6147</v>
      </c>
      <c r="C1320" s="577" t="s">
        <v>2519</v>
      </c>
      <c r="D1320" s="589" t="s">
        <v>6152</v>
      </c>
      <c r="E1320" s="597"/>
      <c r="F1320" s="582">
        <v>2500</v>
      </c>
    </row>
    <row r="1321" spans="1:6" ht="15.6" x14ac:dyDescent="0.3">
      <c r="A1321" s="588">
        <v>45992</v>
      </c>
      <c r="B1321" s="589" t="s">
        <v>6267</v>
      </c>
      <c r="C1321" s="577" t="s">
        <v>2519</v>
      </c>
      <c r="D1321" s="589" t="s">
        <v>6268</v>
      </c>
      <c r="E1321" s="597"/>
      <c r="F1321" s="582">
        <v>122800</v>
      </c>
    </row>
    <row r="1322" spans="1:6" ht="15.6" x14ac:dyDescent="0.3">
      <c r="A1322" s="588">
        <v>45992</v>
      </c>
      <c r="B1322" s="589" t="s">
        <v>6267</v>
      </c>
      <c r="C1322" s="577" t="s">
        <v>2519</v>
      </c>
      <c r="D1322" s="589" t="s">
        <v>6269</v>
      </c>
      <c r="E1322" s="597"/>
      <c r="F1322" s="582">
        <v>35920</v>
      </c>
    </row>
    <row r="1323" spans="1:6" ht="15.6" x14ac:dyDescent="0.3">
      <c r="A1323" s="588">
        <v>45992</v>
      </c>
      <c r="B1323" s="589" t="s">
        <v>6267</v>
      </c>
      <c r="C1323" s="577" t="s">
        <v>2519</v>
      </c>
      <c r="D1323" s="589" t="s">
        <v>6270</v>
      </c>
      <c r="E1323" s="597"/>
      <c r="F1323" s="582">
        <v>503000</v>
      </c>
    </row>
    <row r="1324" spans="1:6" ht="15.6" x14ac:dyDescent="0.3">
      <c r="A1324" s="588">
        <v>45994</v>
      </c>
      <c r="B1324" s="589" t="s">
        <v>6149</v>
      </c>
      <c r="C1324" s="577" t="s">
        <v>2519</v>
      </c>
      <c r="D1324" s="589" t="s">
        <v>6271</v>
      </c>
      <c r="E1324" s="597"/>
      <c r="F1324" s="582">
        <v>5000</v>
      </c>
    </row>
    <row r="1325" spans="1:6" ht="15.6" x14ac:dyDescent="0.3">
      <c r="A1325" s="588">
        <v>45994</v>
      </c>
      <c r="B1325" s="589" t="s">
        <v>6149</v>
      </c>
      <c r="C1325" s="577" t="s">
        <v>2519</v>
      </c>
      <c r="D1325" s="589" t="s">
        <v>6272</v>
      </c>
      <c r="E1325" s="597"/>
      <c r="F1325" s="582">
        <v>1500000</v>
      </c>
    </row>
    <row r="1326" spans="1:6" ht="15.6" x14ac:dyDescent="0.3">
      <c r="A1326" s="588">
        <v>45994</v>
      </c>
      <c r="B1326" s="589" t="s">
        <v>6149</v>
      </c>
      <c r="C1326" s="577" t="s">
        <v>2519</v>
      </c>
      <c r="D1326" s="589" t="s">
        <v>6273</v>
      </c>
      <c r="E1326" s="597"/>
      <c r="F1326" s="582">
        <v>336500</v>
      </c>
    </row>
    <row r="1327" spans="1:6" ht="15.6" x14ac:dyDescent="0.3">
      <c r="A1327" s="588">
        <v>45994</v>
      </c>
      <c r="B1327" s="589" t="s">
        <v>6149</v>
      </c>
      <c r="C1327" s="577" t="s">
        <v>2519</v>
      </c>
      <c r="D1327" s="589" t="s">
        <v>6274</v>
      </c>
      <c r="E1327" s="597"/>
      <c r="F1327" s="582">
        <v>1254000</v>
      </c>
    </row>
    <row r="1328" spans="1:6" ht="15.6" x14ac:dyDescent="0.3">
      <c r="A1328" s="588">
        <v>45994</v>
      </c>
      <c r="B1328" s="589" t="s">
        <v>6149</v>
      </c>
      <c r="C1328" s="577" t="s">
        <v>2519</v>
      </c>
      <c r="D1328" s="589" t="s">
        <v>6275</v>
      </c>
      <c r="E1328" s="597"/>
      <c r="F1328" s="582">
        <v>100000</v>
      </c>
    </row>
    <row r="1329" spans="1:6" ht="15.6" x14ac:dyDescent="0.3">
      <c r="A1329" s="588">
        <v>45994</v>
      </c>
      <c r="B1329" s="589" t="s">
        <v>6149</v>
      </c>
      <c r="C1329" s="577" t="s">
        <v>2519</v>
      </c>
      <c r="D1329" s="589" t="s">
        <v>6152</v>
      </c>
      <c r="E1329" s="597"/>
      <c r="F1329" s="582">
        <v>2500</v>
      </c>
    </row>
    <row r="1330" spans="1:6" ht="15.6" x14ac:dyDescent="0.3">
      <c r="A1330" s="588">
        <v>45994</v>
      </c>
      <c r="B1330" s="589" t="s">
        <v>6149</v>
      </c>
      <c r="C1330" s="577" t="s">
        <v>2519</v>
      </c>
      <c r="D1330" s="589" t="s">
        <v>6152</v>
      </c>
      <c r="E1330" s="597"/>
      <c r="F1330" s="582">
        <v>2500</v>
      </c>
    </row>
    <row r="1331" spans="1:6" ht="15.6" x14ac:dyDescent="0.3">
      <c r="A1331" s="588">
        <v>45995</v>
      </c>
      <c r="B1331" s="589" t="s">
        <v>6200</v>
      </c>
      <c r="C1331" s="577" t="s">
        <v>2519</v>
      </c>
      <c r="D1331" s="589" t="s">
        <v>6276</v>
      </c>
      <c r="E1331" s="597"/>
      <c r="F1331" s="582">
        <v>21500</v>
      </c>
    </row>
    <row r="1332" spans="1:6" ht="15.6" x14ac:dyDescent="0.3">
      <c r="A1332" s="588">
        <v>45995</v>
      </c>
      <c r="B1332" s="589" t="s">
        <v>6200</v>
      </c>
      <c r="C1332" s="577" t="s">
        <v>2519</v>
      </c>
      <c r="D1332" s="589" t="s">
        <v>6277</v>
      </c>
      <c r="E1332" s="597"/>
      <c r="F1332" s="582">
        <v>17500</v>
      </c>
    </row>
    <row r="1333" spans="1:6" ht="15.6" x14ac:dyDescent="0.3">
      <c r="A1333" s="588">
        <v>45995</v>
      </c>
      <c r="B1333" s="589" t="s">
        <v>6200</v>
      </c>
      <c r="C1333" s="577" t="s">
        <v>2519</v>
      </c>
      <c r="D1333" s="589" t="s">
        <v>6278</v>
      </c>
      <c r="E1333" s="597"/>
      <c r="F1333" s="582">
        <v>600000</v>
      </c>
    </row>
    <row r="1334" spans="1:6" ht="15.6" x14ac:dyDescent="0.3">
      <c r="A1334" s="588">
        <v>45995</v>
      </c>
      <c r="B1334" s="589" t="s">
        <v>6200</v>
      </c>
      <c r="C1334" s="577" t="s">
        <v>2519</v>
      </c>
      <c r="D1334" s="589" t="s">
        <v>6279</v>
      </c>
      <c r="E1334" s="597"/>
      <c r="F1334" s="582">
        <v>658100</v>
      </c>
    </row>
    <row r="1335" spans="1:6" ht="15.6" x14ac:dyDescent="0.3">
      <c r="A1335" s="588">
        <v>45996</v>
      </c>
      <c r="B1335" s="589" t="s">
        <v>6153</v>
      </c>
      <c r="C1335" s="577" t="s">
        <v>2519</v>
      </c>
      <c r="D1335" s="589" t="s">
        <v>6280</v>
      </c>
      <c r="E1335" s="597"/>
      <c r="F1335" s="582">
        <v>160800</v>
      </c>
    </row>
    <row r="1336" spans="1:6" ht="15.6" x14ac:dyDescent="0.3">
      <c r="A1336" s="588">
        <v>45996</v>
      </c>
      <c r="B1336" s="589" t="s">
        <v>6153</v>
      </c>
      <c r="C1336" s="577" t="s">
        <v>2519</v>
      </c>
      <c r="D1336" s="589" t="s">
        <v>6281</v>
      </c>
      <c r="E1336" s="597"/>
      <c r="F1336" s="582">
        <v>145000</v>
      </c>
    </row>
    <row r="1337" spans="1:6" ht="15.6" x14ac:dyDescent="0.3">
      <c r="A1337" s="588">
        <v>45996</v>
      </c>
      <c r="B1337" s="589" t="s">
        <v>6153</v>
      </c>
      <c r="C1337" s="577" t="s">
        <v>2519</v>
      </c>
      <c r="D1337" s="589" t="s">
        <v>6282</v>
      </c>
      <c r="E1337" s="597"/>
      <c r="F1337" s="582">
        <v>19100</v>
      </c>
    </row>
    <row r="1338" spans="1:6" ht="15.6" x14ac:dyDescent="0.3">
      <c r="A1338" s="588">
        <v>45996</v>
      </c>
      <c r="B1338" s="589" t="s">
        <v>6153</v>
      </c>
      <c r="C1338" s="577" t="s">
        <v>2519</v>
      </c>
      <c r="D1338" s="589" t="s">
        <v>105</v>
      </c>
      <c r="E1338" s="597"/>
      <c r="F1338" s="582">
        <v>2500</v>
      </c>
    </row>
    <row r="1339" spans="1:6" ht="15.6" x14ac:dyDescent="0.3">
      <c r="A1339" s="588">
        <v>45999</v>
      </c>
      <c r="B1339" s="589" t="s">
        <v>6283</v>
      </c>
      <c r="C1339" s="577" t="s">
        <v>2519</v>
      </c>
      <c r="D1339" s="589" t="s">
        <v>6284</v>
      </c>
      <c r="E1339" s="597"/>
      <c r="F1339" s="582">
        <v>24500</v>
      </c>
    </row>
    <row r="1340" spans="1:6" ht="15.6" x14ac:dyDescent="0.3">
      <c r="A1340" s="588">
        <v>45999</v>
      </c>
      <c r="B1340" s="589" t="s">
        <v>6283</v>
      </c>
      <c r="C1340" s="577" t="s">
        <v>2519</v>
      </c>
      <c r="D1340" s="589" t="s">
        <v>6285</v>
      </c>
      <c r="E1340" s="597"/>
      <c r="F1340" s="582">
        <v>24500</v>
      </c>
    </row>
    <row r="1341" spans="1:6" ht="15.6" x14ac:dyDescent="0.3">
      <c r="A1341" s="588">
        <v>45999</v>
      </c>
      <c r="B1341" s="589" t="s">
        <v>6283</v>
      </c>
      <c r="C1341" s="577" t="s">
        <v>2519</v>
      </c>
      <c r="D1341" s="589" t="s">
        <v>6286</v>
      </c>
      <c r="E1341" s="597"/>
      <c r="F1341" s="582">
        <v>24500</v>
      </c>
    </row>
    <row r="1342" spans="1:6" ht="15.6" x14ac:dyDescent="0.3">
      <c r="A1342" s="588">
        <v>45999</v>
      </c>
      <c r="B1342" s="589" t="s">
        <v>6283</v>
      </c>
      <c r="C1342" s="577" t="s">
        <v>2519</v>
      </c>
      <c r="D1342" s="589" t="s">
        <v>6287</v>
      </c>
      <c r="E1342" s="597"/>
      <c r="F1342" s="582">
        <v>900000</v>
      </c>
    </row>
    <row r="1343" spans="1:6" ht="15.6" x14ac:dyDescent="0.3">
      <c r="A1343" s="588">
        <v>45999</v>
      </c>
      <c r="B1343" s="589" t="s">
        <v>6283</v>
      </c>
      <c r="C1343" s="577" t="s">
        <v>2519</v>
      </c>
      <c r="D1343" s="589" t="s">
        <v>6288</v>
      </c>
      <c r="E1343" s="597"/>
      <c r="F1343" s="582">
        <v>70000</v>
      </c>
    </row>
    <row r="1344" spans="1:6" ht="15.6" x14ac:dyDescent="0.3">
      <c r="A1344" s="588">
        <v>45999</v>
      </c>
      <c r="B1344" s="589" t="s">
        <v>6283</v>
      </c>
      <c r="C1344" s="577" t="s">
        <v>2519</v>
      </c>
      <c r="D1344" s="589" t="s">
        <v>6289</v>
      </c>
      <c r="E1344" s="597"/>
      <c r="F1344" s="582">
        <v>193400</v>
      </c>
    </row>
    <row r="1345" spans="1:6" ht="15.6" x14ac:dyDescent="0.3">
      <c r="A1345" s="588">
        <v>45999</v>
      </c>
      <c r="B1345" s="589" t="s">
        <v>6283</v>
      </c>
      <c r="C1345" s="577" t="s">
        <v>2519</v>
      </c>
      <c r="D1345" s="589" t="s">
        <v>6290</v>
      </c>
      <c r="E1345" s="597"/>
      <c r="F1345" s="582">
        <v>90000</v>
      </c>
    </row>
    <row r="1346" spans="1:6" ht="15.6" x14ac:dyDescent="0.3">
      <c r="A1346" s="588">
        <v>45999</v>
      </c>
      <c r="B1346" s="589" t="s">
        <v>6283</v>
      </c>
      <c r="C1346" s="577" t="s">
        <v>2519</v>
      </c>
      <c r="D1346" s="589" t="s">
        <v>6291</v>
      </c>
      <c r="E1346" s="597"/>
      <c r="F1346" s="582">
        <v>2573750</v>
      </c>
    </row>
    <row r="1347" spans="1:6" ht="15.6" x14ac:dyDescent="0.3">
      <c r="A1347" s="588">
        <v>46000</v>
      </c>
      <c r="B1347" s="589" t="s">
        <v>6155</v>
      </c>
      <c r="C1347" s="577" t="s">
        <v>2519</v>
      </c>
      <c r="D1347" s="589" t="s">
        <v>6292</v>
      </c>
      <c r="E1347" s="597"/>
      <c r="F1347" s="582">
        <v>39245</v>
      </c>
    </row>
    <row r="1348" spans="1:6" ht="15.6" x14ac:dyDescent="0.3">
      <c r="A1348" s="588">
        <v>46000</v>
      </c>
      <c r="B1348" s="589" t="s">
        <v>6155</v>
      </c>
      <c r="C1348" s="577" t="s">
        <v>2519</v>
      </c>
      <c r="D1348" s="589" t="s">
        <v>6293</v>
      </c>
      <c r="E1348" s="597"/>
      <c r="F1348" s="582">
        <v>1000000</v>
      </c>
    </row>
    <row r="1349" spans="1:6" ht="15.6" x14ac:dyDescent="0.3">
      <c r="A1349" s="588">
        <v>46000</v>
      </c>
      <c r="B1349" s="589" t="s">
        <v>6155</v>
      </c>
      <c r="C1349" s="577" t="s">
        <v>2519</v>
      </c>
      <c r="D1349" s="589" t="s">
        <v>6294</v>
      </c>
      <c r="E1349" s="597"/>
      <c r="F1349" s="582">
        <v>303000</v>
      </c>
    </row>
    <row r="1350" spans="1:6" ht="15.6" x14ac:dyDescent="0.3">
      <c r="A1350" s="588">
        <v>46000</v>
      </c>
      <c r="B1350" s="589" t="s">
        <v>6155</v>
      </c>
      <c r="C1350" s="577" t="s">
        <v>2519</v>
      </c>
      <c r="D1350" s="589" t="s">
        <v>6295</v>
      </c>
      <c r="E1350" s="597"/>
      <c r="F1350" s="582">
        <v>196900</v>
      </c>
    </row>
    <row r="1351" spans="1:6" ht="15.6" x14ac:dyDescent="0.3">
      <c r="A1351" s="588">
        <v>46000</v>
      </c>
      <c r="B1351" s="589" t="s">
        <v>6155</v>
      </c>
      <c r="C1351" s="577" t="s">
        <v>2519</v>
      </c>
      <c r="D1351" s="589" t="s">
        <v>6296</v>
      </c>
      <c r="E1351" s="597"/>
      <c r="F1351" s="582">
        <v>203000</v>
      </c>
    </row>
    <row r="1352" spans="1:6" ht="15.6" x14ac:dyDescent="0.3">
      <c r="A1352" s="588">
        <v>46003</v>
      </c>
      <c r="B1352" s="589" t="s">
        <v>6297</v>
      </c>
      <c r="C1352" s="577" t="s">
        <v>2519</v>
      </c>
      <c r="D1352" s="589" t="s">
        <v>6298</v>
      </c>
      <c r="E1352" s="597"/>
      <c r="F1352" s="582">
        <v>21000</v>
      </c>
    </row>
    <row r="1353" spans="1:6" ht="15.6" x14ac:dyDescent="0.3">
      <c r="A1353" s="588">
        <v>46003</v>
      </c>
      <c r="B1353" s="589" t="s">
        <v>6297</v>
      </c>
      <c r="C1353" s="577" t="s">
        <v>2519</v>
      </c>
      <c r="D1353" s="589" t="s">
        <v>6299</v>
      </c>
      <c r="E1353" s="597"/>
      <c r="F1353" s="582">
        <v>7695000</v>
      </c>
    </row>
    <row r="1354" spans="1:6" ht="15.6" x14ac:dyDescent="0.3">
      <c r="A1354" s="588">
        <v>46003</v>
      </c>
      <c r="B1354" s="589" t="s">
        <v>6297</v>
      </c>
      <c r="C1354" s="577" t="s">
        <v>2519</v>
      </c>
      <c r="D1354" s="589" t="s">
        <v>105</v>
      </c>
      <c r="E1354" s="597"/>
      <c r="F1354" s="582">
        <v>2500</v>
      </c>
    </row>
    <row r="1355" spans="1:6" ht="15.6" x14ac:dyDescent="0.3">
      <c r="A1355" s="588">
        <v>46003</v>
      </c>
      <c r="B1355" s="589" t="s">
        <v>6297</v>
      </c>
      <c r="C1355" s="577" t="s">
        <v>2519</v>
      </c>
      <c r="D1355" s="589" t="s">
        <v>105</v>
      </c>
      <c r="E1355" s="597"/>
      <c r="F1355" s="582">
        <v>2500</v>
      </c>
    </row>
    <row r="1356" spans="1:6" ht="15.6" x14ac:dyDescent="0.3">
      <c r="A1356" s="588">
        <v>46006</v>
      </c>
      <c r="B1356" s="589" t="s">
        <v>6209</v>
      </c>
      <c r="C1356" s="577" t="s">
        <v>2519</v>
      </c>
      <c r="D1356" s="589" t="s">
        <v>6300</v>
      </c>
      <c r="E1356" s="597"/>
      <c r="F1356" s="582">
        <v>44000</v>
      </c>
    </row>
    <row r="1357" spans="1:6" ht="15.6" x14ac:dyDescent="0.3">
      <c r="A1357" s="588">
        <v>46006</v>
      </c>
      <c r="B1357" s="589" t="s">
        <v>6209</v>
      </c>
      <c r="C1357" s="577" t="s">
        <v>2519</v>
      </c>
      <c r="D1357" s="589" t="s">
        <v>6301</v>
      </c>
      <c r="E1357" s="597"/>
      <c r="F1357" s="582">
        <v>356000</v>
      </c>
    </row>
    <row r="1358" spans="1:6" ht="15.6" x14ac:dyDescent="0.3">
      <c r="A1358" s="588">
        <v>46008</v>
      </c>
      <c r="B1358" s="589" t="s">
        <v>6157</v>
      </c>
      <c r="C1358" s="577" t="s">
        <v>2519</v>
      </c>
      <c r="D1358" s="589" t="s">
        <v>6302</v>
      </c>
      <c r="E1358" s="597"/>
      <c r="F1358" s="582">
        <v>119400</v>
      </c>
    </row>
    <row r="1359" spans="1:6" ht="15.6" x14ac:dyDescent="0.3">
      <c r="A1359" s="588">
        <v>46008</v>
      </c>
      <c r="B1359" s="589" t="s">
        <v>6157</v>
      </c>
      <c r="C1359" s="577" t="s">
        <v>2519</v>
      </c>
      <c r="D1359" s="589" t="s">
        <v>6303</v>
      </c>
      <c r="E1359" s="597"/>
      <c r="F1359" s="582">
        <v>621400</v>
      </c>
    </row>
    <row r="1360" spans="1:6" ht="15.6" x14ac:dyDescent="0.3">
      <c r="A1360" s="588">
        <v>46008</v>
      </c>
      <c r="B1360" s="589" t="s">
        <v>6157</v>
      </c>
      <c r="C1360" s="577" t="s">
        <v>2519</v>
      </c>
      <c r="D1360" s="589" t="s">
        <v>6152</v>
      </c>
      <c r="E1360" s="597"/>
      <c r="F1360" s="582">
        <v>2500</v>
      </c>
    </row>
    <row r="1361" spans="1:6" ht="15.6" x14ac:dyDescent="0.3">
      <c r="A1361" s="588">
        <v>46008</v>
      </c>
      <c r="B1361" s="589" t="s">
        <v>6157</v>
      </c>
      <c r="C1361" s="577" t="s">
        <v>2519</v>
      </c>
      <c r="D1361" s="589" t="s">
        <v>6304</v>
      </c>
      <c r="E1361" s="597"/>
      <c r="F1361" s="582">
        <v>1106114</v>
      </c>
    </row>
    <row r="1362" spans="1:6" ht="15.6" x14ac:dyDescent="0.3">
      <c r="A1362" s="588">
        <v>46009</v>
      </c>
      <c r="B1362" s="589" t="s">
        <v>6305</v>
      </c>
      <c r="C1362" s="577" t="s">
        <v>2519</v>
      </c>
      <c r="D1362" s="589" t="s">
        <v>6306</v>
      </c>
      <c r="E1362" s="597"/>
      <c r="F1362" s="582">
        <v>5510204</v>
      </c>
    </row>
    <row r="1363" spans="1:6" ht="15.6" x14ac:dyDescent="0.3">
      <c r="A1363" s="588">
        <v>46009</v>
      </c>
      <c r="B1363" s="589" t="s">
        <v>6305</v>
      </c>
      <c r="C1363" s="577" t="s">
        <v>2519</v>
      </c>
      <c r="D1363" s="589" t="s">
        <v>6152</v>
      </c>
      <c r="E1363" s="597"/>
      <c r="F1363" s="582">
        <v>2500</v>
      </c>
    </row>
    <row r="1364" spans="1:6" ht="15.6" x14ac:dyDescent="0.3">
      <c r="A1364" s="588">
        <v>46013</v>
      </c>
      <c r="B1364" s="589" t="s">
        <v>6307</v>
      </c>
      <c r="C1364" s="577" t="s">
        <v>2519</v>
      </c>
      <c r="D1364" s="589" t="s">
        <v>6308</v>
      </c>
      <c r="E1364" s="597"/>
      <c r="F1364" s="582">
        <v>34000</v>
      </c>
    </row>
    <row r="1365" spans="1:6" ht="15.6" x14ac:dyDescent="0.3">
      <c r="A1365" s="588">
        <v>46013</v>
      </c>
      <c r="B1365" s="589" t="s">
        <v>6307</v>
      </c>
      <c r="C1365" s="577" t="s">
        <v>2519</v>
      </c>
      <c r="D1365" s="589" t="s">
        <v>6273</v>
      </c>
      <c r="E1365" s="597"/>
      <c r="F1365" s="582">
        <v>30000</v>
      </c>
    </row>
    <row r="1366" spans="1:6" ht="15.6" x14ac:dyDescent="0.3">
      <c r="A1366" s="588">
        <v>46013</v>
      </c>
      <c r="B1366" s="589" t="s">
        <v>6307</v>
      </c>
      <c r="C1366" s="577" t="s">
        <v>2519</v>
      </c>
      <c r="D1366" s="589" t="s">
        <v>6309</v>
      </c>
      <c r="E1366" s="597"/>
      <c r="F1366" s="582">
        <v>340000</v>
      </c>
    </row>
    <row r="1367" spans="1:6" ht="15.6" x14ac:dyDescent="0.3">
      <c r="A1367" s="588">
        <v>46013</v>
      </c>
      <c r="B1367" s="589" t="s">
        <v>6307</v>
      </c>
      <c r="C1367" s="577" t="s">
        <v>2519</v>
      </c>
      <c r="D1367" s="589" t="s">
        <v>6310</v>
      </c>
      <c r="E1367" s="597"/>
      <c r="F1367" s="582">
        <v>246500</v>
      </c>
    </row>
    <row r="1368" spans="1:6" ht="15.6" x14ac:dyDescent="0.3">
      <c r="A1368" s="588">
        <v>46013</v>
      </c>
      <c r="B1368" s="589" t="s">
        <v>6215</v>
      </c>
      <c r="C1368" s="577" t="s">
        <v>2519</v>
      </c>
      <c r="D1368" s="589" t="s">
        <v>6273</v>
      </c>
      <c r="E1368" s="597"/>
      <c r="F1368" s="582">
        <v>30100</v>
      </c>
    </row>
    <row r="1369" spans="1:6" ht="15.6" x14ac:dyDescent="0.3">
      <c r="A1369" s="588">
        <v>46013</v>
      </c>
      <c r="B1369" s="589" t="s">
        <v>6215</v>
      </c>
      <c r="C1369" s="577" t="s">
        <v>2519</v>
      </c>
      <c r="D1369" s="589" t="s">
        <v>6311</v>
      </c>
      <c r="E1369" s="597"/>
      <c r="F1369" s="582">
        <v>100000</v>
      </c>
    </row>
    <row r="1370" spans="1:6" ht="15.6" x14ac:dyDescent="0.3">
      <c r="A1370" s="588">
        <v>46013</v>
      </c>
      <c r="B1370" s="589" t="s">
        <v>6215</v>
      </c>
      <c r="C1370" s="577" t="s">
        <v>2519</v>
      </c>
      <c r="D1370" s="589" t="s">
        <v>6312</v>
      </c>
      <c r="E1370" s="597"/>
      <c r="F1370" s="582">
        <v>300000</v>
      </c>
    </row>
    <row r="1371" spans="1:6" ht="15.6" x14ac:dyDescent="0.3">
      <c r="A1371" s="588">
        <v>46013</v>
      </c>
      <c r="B1371" s="589" t="s">
        <v>6215</v>
      </c>
      <c r="C1371" s="577" t="s">
        <v>2519</v>
      </c>
      <c r="D1371" s="589" t="s">
        <v>6313</v>
      </c>
      <c r="E1371" s="597"/>
      <c r="F1371" s="582">
        <v>1200000</v>
      </c>
    </row>
    <row r="1372" spans="1:6" ht="15.6" x14ac:dyDescent="0.3">
      <c r="A1372" s="588">
        <v>46013</v>
      </c>
      <c r="B1372" s="589" t="s">
        <v>6215</v>
      </c>
      <c r="C1372" s="577" t="s">
        <v>2519</v>
      </c>
      <c r="D1372" s="589" t="s">
        <v>6314</v>
      </c>
      <c r="E1372" s="597"/>
      <c r="F1372" s="582">
        <v>105500</v>
      </c>
    </row>
    <row r="1373" spans="1:6" ht="15.6" x14ac:dyDescent="0.3">
      <c r="A1373" s="588">
        <v>46013</v>
      </c>
      <c r="B1373" s="589" t="s">
        <v>6215</v>
      </c>
      <c r="C1373" s="577" t="s">
        <v>2519</v>
      </c>
      <c r="D1373" s="589" t="s">
        <v>6315</v>
      </c>
      <c r="E1373" s="597"/>
      <c r="F1373" s="582">
        <v>472000</v>
      </c>
    </row>
    <row r="1374" spans="1:6" ht="15.6" x14ac:dyDescent="0.3">
      <c r="A1374" s="588">
        <v>46013</v>
      </c>
      <c r="B1374" s="589" t="s">
        <v>6215</v>
      </c>
      <c r="C1374" s="577" t="s">
        <v>2519</v>
      </c>
      <c r="D1374" s="589" t="s">
        <v>6152</v>
      </c>
      <c r="E1374" s="597"/>
      <c r="F1374" s="582">
        <v>2500</v>
      </c>
    </row>
    <row r="1375" spans="1:6" ht="15.6" x14ac:dyDescent="0.3">
      <c r="A1375" s="588">
        <v>46013</v>
      </c>
      <c r="B1375" s="589" t="s">
        <v>6215</v>
      </c>
      <c r="C1375" s="577" t="s">
        <v>2519</v>
      </c>
      <c r="D1375" s="589" t="s">
        <v>6152</v>
      </c>
      <c r="E1375" s="597"/>
      <c r="F1375" s="582">
        <v>2500</v>
      </c>
    </row>
    <row r="1376" spans="1:6" ht="15.6" x14ac:dyDescent="0.3">
      <c r="A1376" s="588">
        <v>46014</v>
      </c>
      <c r="B1376" s="589" t="s">
        <v>6218</v>
      </c>
      <c r="C1376" s="577" t="s">
        <v>2519</v>
      </c>
      <c r="D1376" s="589" t="s">
        <v>6316</v>
      </c>
      <c r="E1376" s="597"/>
      <c r="F1376" s="582">
        <v>67500</v>
      </c>
    </row>
    <row r="1377" spans="1:6" ht="15.6" x14ac:dyDescent="0.3">
      <c r="A1377" s="588">
        <v>46014</v>
      </c>
      <c r="B1377" s="589" t="s">
        <v>6218</v>
      </c>
      <c r="C1377" s="577" t="s">
        <v>2519</v>
      </c>
      <c r="D1377" s="589" t="s">
        <v>6317</v>
      </c>
      <c r="E1377" s="597"/>
      <c r="F1377" s="582">
        <v>53000</v>
      </c>
    </row>
    <row r="1378" spans="1:6" ht="15.6" x14ac:dyDescent="0.3">
      <c r="A1378" s="588">
        <v>46014</v>
      </c>
      <c r="B1378" s="589" t="s">
        <v>6218</v>
      </c>
      <c r="C1378" s="577" t="s">
        <v>2519</v>
      </c>
      <c r="D1378" s="589" t="s">
        <v>6318</v>
      </c>
      <c r="E1378" s="597"/>
      <c r="F1378" s="582">
        <v>60000</v>
      </c>
    </row>
    <row r="1379" spans="1:6" ht="15.6" x14ac:dyDescent="0.3">
      <c r="A1379" s="588">
        <v>46014</v>
      </c>
      <c r="B1379" s="589" t="s">
        <v>6218</v>
      </c>
      <c r="C1379" s="577" t="s">
        <v>2519</v>
      </c>
      <c r="D1379" s="589" t="s">
        <v>6319</v>
      </c>
      <c r="E1379" s="597"/>
      <c r="F1379" s="582">
        <v>618500</v>
      </c>
    </row>
    <row r="1380" spans="1:6" ht="15.6" x14ac:dyDescent="0.3">
      <c r="A1380" s="588">
        <v>46014</v>
      </c>
      <c r="B1380" s="589" t="s">
        <v>6218</v>
      </c>
      <c r="C1380" s="577" t="s">
        <v>2519</v>
      </c>
      <c r="D1380" s="589" t="s">
        <v>6320</v>
      </c>
      <c r="E1380" s="597"/>
      <c r="F1380" s="582">
        <v>331000</v>
      </c>
    </row>
    <row r="1381" spans="1:6" ht="15.6" x14ac:dyDescent="0.3">
      <c r="A1381" s="588">
        <v>46014</v>
      </c>
      <c r="B1381" s="589" t="s">
        <v>6218</v>
      </c>
      <c r="C1381" s="577" t="s">
        <v>2519</v>
      </c>
      <c r="D1381" s="589" t="s">
        <v>3131</v>
      </c>
      <c r="E1381" s="597"/>
      <c r="F1381" s="582">
        <v>2500</v>
      </c>
    </row>
    <row r="1382" spans="1:6" ht="15.6" x14ac:dyDescent="0.3">
      <c r="A1382" s="588">
        <v>46015</v>
      </c>
      <c r="B1382" s="589" t="s">
        <v>6224</v>
      </c>
      <c r="C1382" s="577" t="s">
        <v>2519</v>
      </c>
      <c r="D1382" s="589" t="s">
        <v>6321</v>
      </c>
      <c r="E1382" s="597"/>
      <c r="F1382" s="582">
        <v>38000</v>
      </c>
    </row>
    <row r="1383" spans="1:6" ht="15.6" x14ac:dyDescent="0.3">
      <c r="A1383" s="588">
        <v>46015</v>
      </c>
      <c r="B1383" s="589" t="s">
        <v>6224</v>
      </c>
      <c r="C1383" s="577" t="s">
        <v>2519</v>
      </c>
      <c r="D1383" s="589" t="s">
        <v>6322</v>
      </c>
      <c r="E1383" s="597"/>
      <c r="F1383" s="582">
        <v>2017399</v>
      </c>
    </row>
    <row r="1384" spans="1:6" ht="15.6" x14ac:dyDescent="0.3">
      <c r="A1384" s="588">
        <v>46015</v>
      </c>
      <c r="B1384" s="589" t="s">
        <v>6227</v>
      </c>
      <c r="C1384" s="577" t="s">
        <v>2519</v>
      </c>
      <c r="D1384" s="589" t="s">
        <v>6323</v>
      </c>
      <c r="E1384" s="597"/>
      <c r="F1384" s="582">
        <v>400000</v>
      </c>
    </row>
    <row r="1385" spans="1:6" ht="15.6" x14ac:dyDescent="0.3">
      <c r="A1385" s="588">
        <v>46015</v>
      </c>
      <c r="B1385" s="589" t="s">
        <v>6227</v>
      </c>
      <c r="C1385" s="577" t="s">
        <v>2519</v>
      </c>
      <c r="D1385" s="589" t="s">
        <v>6273</v>
      </c>
      <c r="E1385" s="597"/>
      <c r="F1385" s="582">
        <v>16000</v>
      </c>
    </row>
    <row r="1386" spans="1:6" ht="15.6" x14ac:dyDescent="0.3">
      <c r="A1386" s="588">
        <v>46015</v>
      </c>
      <c r="B1386" s="589" t="s">
        <v>6227</v>
      </c>
      <c r="C1386" s="577" t="s">
        <v>2519</v>
      </c>
      <c r="D1386" s="589" t="s">
        <v>6324</v>
      </c>
      <c r="E1386" s="597"/>
      <c r="F1386" s="582">
        <v>75000</v>
      </c>
    </row>
    <row r="1387" spans="1:6" ht="15.6" x14ac:dyDescent="0.3">
      <c r="A1387" s="588">
        <v>46015</v>
      </c>
      <c r="B1387" s="589" t="s">
        <v>6227</v>
      </c>
      <c r="C1387" s="577" t="s">
        <v>2519</v>
      </c>
      <c r="D1387" s="589" t="s">
        <v>6325</v>
      </c>
      <c r="E1387" s="597"/>
      <c r="F1387" s="582">
        <v>121000</v>
      </c>
    </row>
    <row r="1388" spans="1:6" ht="15.6" x14ac:dyDescent="0.3">
      <c r="A1388" s="588">
        <v>46015</v>
      </c>
      <c r="B1388" s="589" t="s">
        <v>6227</v>
      </c>
      <c r="C1388" s="577" t="s">
        <v>2519</v>
      </c>
      <c r="D1388" s="589" t="s">
        <v>6326</v>
      </c>
      <c r="E1388" s="597"/>
      <c r="F1388" s="582">
        <v>240000</v>
      </c>
    </row>
    <row r="1389" spans="1:6" ht="15.6" x14ac:dyDescent="0.3">
      <c r="A1389" s="588">
        <v>46015</v>
      </c>
      <c r="B1389" s="589" t="s">
        <v>6227</v>
      </c>
      <c r="C1389" s="577" t="s">
        <v>2519</v>
      </c>
      <c r="D1389" s="589" t="s">
        <v>6327</v>
      </c>
      <c r="E1389" s="597"/>
      <c r="F1389" s="582">
        <v>550000</v>
      </c>
    </row>
    <row r="1390" spans="1:6" ht="15.6" x14ac:dyDescent="0.3">
      <c r="A1390" s="588">
        <v>46015</v>
      </c>
      <c r="B1390" s="589" t="s">
        <v>6227</v>
      </c>
      <c r="C1390" s="577" t="s">
        <v>2519</v>
      </c>
      <c r="D1390" s="589" t="s">
        <v>6328</v>
      </c>
      <c r="E1390" s="597"/>
      <c r="F1390" s="582">
        <v>692500</v>
      </c>
    </row>
    <row r="1391" spans="1:6" ht="15.6" x14ac:dyDescent="0.3">
      <c r="A1391" s="588">
        <v>46015</v>
      </c>
      <c r="B1391" s="589" t="s">
        <v>6227</v>
      </c>
      <c r="C1391" s="577" t="s">
        <v>2519</v>
      </c>
      <c r="D1391" s="589" t="s">
        <v>6152</v>
      </c>
      <c r="E1391" s="597"/>
      <c r="F1391" s="582">
        <v>2500</v>
      </c>
    </row>
    <row r="1392" spans="1:6" ht="15.6" x14ac:dyDescent="0.3">
      <c r="A1392" s="588">
        <v>46015</v>
      </c>
      <c r="B1392" s="589" t="s">
        <v>6227</v>
      </c>
      <c r="C1392" s="577" t="s">
        <v>2519</v>
      </c>
      <c r="D1392" s="589" t="s">
        <v>6152</v>
      </c>
      <c r="E1392" s="597"/>
      <c r="F1392" s="582">
        <v>2500</v>
      </c>
    </row>
    <row r="1393" spans="1:6" ht="15.6" x14ac:dyDescent="0.3">
      <c r="A1393" s="588">
        <v>46015</v>
      </c>
      <c r="B1393" s="589" t="s">
        <v>6227</v>
      </c>
      <c r="C1393" s="577" t="s">
        <v>2519</v>
      </c>
      <c r="D1393" s="589" t="s">
        <v>6152</v>
      </c>
      <c r="E1393" s="597"/>
      <c r="F1393" s="582">
        <v>2500</v>
      </c>
    </row>
    <row r="1394" spans="1:6" ht="15.6" x14ac:dyDescent="0.3">
      <c r="A1394" s="588">
        <v>46015</v>
      </c>
      <c r="B1394" s="589" t="s">
        <v>6227</v>
      </c>
      <c r="C1394" s="577" t="s">
        <v>2519</v>
      </c>
      <c r="D1394" s="589" t="s">
        <v>6152</v>
      </c>
      <c r="E1394" s="597"/>
      <c r="F1394" s="582">
        <v>2500</v>
      </c>
    </row>
    <row r="1395" spans="1:6" ht="15.6" x14ac:dyDescent="0.3">
      <c r="A1395" s="588">
        <v>46015</v>
      </c>
      <c r="B1395" s="589" t="s">
        <v>6227</v>
      </c>
      <c r="C1395" s="577" t="s">
        <v>2519</v>
      </c>
      <c r="D1395" s="589" t="s">
        <v>6329</v>
      </c>
      <c r="E1395" s="597"/>
      <c r="F1395" s="582">
        <v>469845</v>
      </c>
    </row>
    <row r="1396" spans="1:6" ht="15.6" x14ac:dyDescent="0.3">
      <c r="A1396" s="588">
        <v>46015</v>
      </c>
      <c r="B1396" s="589" t="s">
        <v>6227</v>
      </c>
      <c r="C1396" s="577" t="s">
        <v>2519</v>
      </c>
      <c r="D1396" s="589" t="s">
        <v>6330</v>
      </c>
      <c r="E1396" s="597"/>
      <c r="F1396" s="582">
        <v>856440</v>
      </c>
    </row>
    <row r="1397" spans="1:6" ht="15.6" x14ac:dyDescent="0.3">
      <c r="A1397" s="588">
        <v>46019</v>
      </c>
      <c r="B1397" s="589" t="s">
        <v>6231</v>
      </c>
      <c r="C1397" s="577" t="s">
        <v>2519</v>
      </c>
      <c r="D1397" s="589" t="s">
        <v>6331</v>
      </c>
      <c r="E1397" s="597"/>
      <c r="F1397" s="582">
        <v>495138</v>
      </c>
    </row>
    <row r="1398" spans="1:6" ht="15.6" x14ac:dyDescent="0.3">
      <c r="A1398" s="588">
        <v>46020</v>
      </c>
      <c r="B1398" s="589" t="s">
        <v>6332</v>
      </c>
      <c r="C1398" s="577" t="s">
        <v>2519</v>
      </c>
      <c r="D1398" s="589" t="s">
        <v>6333</v>
      </c>
      <c r="E1398" s="597"/>
      <c r="F1398" s="582">
        <v>611000</v>
      </c>
    </row>
    <row r="1399" spans="1:6" ht="15.6" x14ac:dyDescent="0.3">
      <c r="A1399" s="588">
        <v>46020</v>
      </c>
      <c r="B1399" s="589" t="s">
        <v>6332</v>
      </c>
      <c r="C1399" s="577" t="s">
        <v>2519</v>
      </c>
      <c r="D1399" s="589" t="s">
        <v>105</v>
      </c>
      <c r="E1399" s="597"/>
      <c r="F1399" s="582">
        <v>2500</v>
      </c>
    </row>
    <row r="1400" spans="1:6" ht="15.6" x14ac:dyDescent="0.3">
      <c r="A1400" s="588">
        <v>46020</v>
      </c>
      <c r="B1400" s="589" t="s">
        <v>6234</v>
      </c>
      <c r="C1400" s="577" t="s">
        <v>2519</v>
      </c>
      <c r="D1400" s="589" t="s">
        <v>6334</v>
      </c>
      <c r="E1400" s="597"/>
      <c r="F1400" s="582">
        <v>200000</v>
      </c>
    </row>
    <row r="1401" spans="1:6" ht="15.6" x14ac:dyDescent="0.3">
      <c r="A1401" s="588">
        <v>46021</v>
      </c>
      <c r="B1401" s="589" t="s">
        <v>6336</v>
      </c>
      <c r="C1401" s="577" t="s">
        <v>2519</v>
      </c>
      <c r="D1401" s="589" t="s">
        <v>6337</v>
      </c>
      <c r="E1401" s="597"/>
      <c r="F1401" s="582">
        <v>1175000</v>
      </c>
    </row>
    <row r="1402" spans="1:6" ht="15.6" x14ac:dyDescent="0.3">
      <c r="A1402" s="588">
        <v>46021</v>
      </c>
      <c r="B1402" s="589" t="s">
        <v>6336</v>
      </c>
      <c r="C1402" s="577" t="s">
        <v>2519</v>
      </c>
      <c r="D1402" s="589" t="s">
        <v>6338</v>
      </c>
      <c r="E1402" s="597"/>
      <c r="F1402" s="582">
        <v>156000</v>
      </c>
    </row>
    <row r="1403" spans="1:6" ht="15.6" x14ac:dyDescent="0.3">
      <c r="A1403" s="588">
        <v>46021</v>
      </c>
      <c r="B1403" s="589" t="s">
        <v>6336</v>
      </c>
      <c r="C1403" s="577" t="s">
        <v>2519</v>
      </c>
      <c r="D1403" s="589" t="s">
        <v>4276</v>
      </c>
      <c r="E1403" s="597"/>
      <c r="F1403" s="582">
        <v>280000</v>
      </c>
    </row>
    <row r="1404" spans="1:6" ht="15.6" x14ac:dyDescent="0.3">
      <c r="A1404" s="588">
        <v>46021</v>
      </c>
      <c r="B1404" s="589" t="s">
        <v>6336</v>
      </c>
      <c r="C1404" s="577" t="s">
        <v>2519</v>
      </c>
      <c r="D1404" s="589" t="s">
        <v>105</v>
      </c>
      <c r="E1404" s="597"/>
      <c r="F1404" s="582">
        <v>2500</v>
      </c>
    </row>
    <row r="1405" spans="1:6" ht="15.6" x14ac:dyDescent="0.3">
      <c r="A1405" s="588">
        <v>46021</v>
      </c>
      <c r="B1405" s="589" t="s">
        <v>6339</v>
      </c>
      <c r="C1405" s="577" t="s">
        <v>2519</v>
      </c>
      <c r="D1405" s="589" t="s">
        <v>6340</v>
      </c>
      <c r="E1405" s="597"/>
      <c r="F1405" s="582">
        <v>1321499</v>
      </c>
    </row>
    <row r="1406" spans="1:6" ht="15.6" x14ac:dyDescent="0.3">
      <c r="A1406" s="588">
        <v>46021</v>
      </c>
      <c r="B1406" s="589" t="s">
        <v>6339</v>
      </c>
      <c r="C1406" s="577" t="s">
        <v>2519</v>
      </c>
      <c r="D1406" s="589" t="s">
        <v>6341</v>
      </c>
      <c r="E1406" s="597"/>
      <c r="F1406" s="582">
        <v>1855897</v>
      </c>
    </row>
    <row r="1407" spans="1:6" ht="15.6" x14ac:dyDescent="0.3">
      <c r="A1407" s="588">
        <v>46021</v>
      </c>
      <c r="B1407" s="589" t="s">
        <v>6339</v>
      </c>
      <c r="C1407" s="577" t="s">
        <v>2519</v>
      </c>
      <c r="D1407" s="589" t="s">
        <v>6342</v>
      </c>
      <c r="E1407" s="597"/>
      <c r="F1407" s="582">
        <v>3386014</v>
      </c>
    </row>
    <row r="1408" spans="1:6" ht="15.6" x14ac:dyDescent="0.3">
      <c r="A1408" s="588">
        <v>46002</v>
      </c>
      <c r="B1408" s="589" t="s">
        <v>6344</v>
      </c>
      <c r="C1408" s="577" t="s">
        <v>2519</v>
      </c>
      <c r="D1408" s="589" t="s">
        <v>6345</v>
      </c>
      <c r="E1408" s="597"/>
      <c r="F1408" s="582">
        <v>475875</v>
      </c>
    </row>
    <row r="1409" spans="1:6" ht="15.6" x14ac:dyDescent="0.3">
      <c r="A1409" s="588">
        <v>46002</v>
      </c>
      <c r="B1409" s="589" t="s">
        <v>6344</v>
      </c>
      <c r="C1409" s="577" t="s">
        <v>2519</v>
      </c>
      <c r="D1409" s="589" t="s">
        <v>6346</v>
      </c>
      <c r="E1409" s="597"/>
      <c r="F1409" s="582">
        <v>850000</v>
      </c>
    </row>
    <row r="1410" spans="1:6" ht="15.6" x14ac:dyDescent="0.3">
      <c r="A1410" s="588">
        <v>46002</v>
      </c>
      <c r="B1410" s="589" t="s">
        <v>6344</v>
      </c>
      <c r="C1410" s="577" t="s">
        <v>2519</v>
      </c>
      <c r="D1410" s="589" t="s">
        <v>6347</v>
      </c>
      <c r="E1410" s="597"/>
      <c r="F1410" s="582">
        <v>1742805</v>
      </c>
    </row>
    <row r="1411" spans="1:6" ht="15.6" x14ac:dyDescent="0.3">
      <c r="A1411" s="588">
        <v>46002</v>
      </c>
      <c r="B1411" s="589" t="s">
        <v>6344</v>
      </c>
      <c r="C1411" s="577" t="s">
        <v>2519</v>
      </c>
      <c r="D1411" s="589" t="s">
        <v>6348</v>
      </c>
      <c r="E1411" s="597"/>
      <c r="F1411" s="582">
        <v>25000</v>
      </c>
    </row>
    <row r="1412" spans="1:6" ht="15.6" x14ac:dyDescent="0.3">
      <c r="A1412" s="588">
        <v>46002</v>
      </c>
      <c r="B1412" s="589" t="s">
        <v>6344</v>
      </c>
      <c r="C1412" s="577" t="s">
        <v>2519</v>
      </c>
      <c r="D1412" s="589" t="s">
        <v>6349</v>
      </c>
      <c r="E1412" s="597"/>
      <c r="F1412" s="582">
        <v>40000</v>
      </c>
    </row>
    <row r="1413" spans="1:6" ht="15.6" x14ac:dyDescent="0.3">
      <c r="A1413" s="588">
        <v>46002</v>
      </c>
      <c r="B1413" s="589" t="s">
        <v>6344</v>
      </c>
      <c r="C1413" s="577" t="s">
        <v>2519</v>
      </c>
      <c r="D1413" s="589" t="s">
        <v>6350</v>
      </c>
      <c r="E1413" s="597"/>
      <c r="F1413" s="582">
        <v>42075</v>
      </c>
    </row>
    <row r="1414" spans="1:6" ht="15.6" x14ac:dyDescent="0.3">
      <c r="A1414" s="588">
        <v>46002</v>
      </c>
      <c r="B1414" s="589" t="s">
        <v>6344</v>
      </c>
      <c r="C1414" s="577" t="s">
        <v>2519</v>
      </c>
      <c r="D1414" s="589" t="s">
        <v>6351</v>
      </c>
      <c r="E1414" s="597"/>
      <c r="F1414" s="582">
        <v>144600</v>
      </c>
    </row>
    <row r="1415" spans="1:6" ht="15.6" x14ac:dyDescent="0.3">
      <c r="A1415" s="588">
        <v>46002</v>
      </c>
      <c r="B1415" s="589" t="s">
        <v>6344</v>
      </c>
      <c r="C1415" s="577" t="s">
        <v>2519</v>
      </c>
      <c r="D1415" s="589" t="s">
        <v>6352</v>
      </c>
      <c r="E1415" s="597"/>
      <c r="F1415" s="582">
        <v>10000</v>
      </c>
    </row>
    <row r="1416" spans="1:6" ht="15.6" x14ac:dyDescent="0.3">
      <c r="A1416" s="588">
        <v>46002</v>
      </c>
      <c r="B1416" s="589" t="s">
        <v>6344</v>
      </c>
      <c r="C1416" s="577" t="s">
        <v>2519</v>
      </c>
      <c r="D1416" s="589" t="s">
        <v>6353</v>
      </c>
      <c r="E1416" s="597"/>
      <c r="F1416" s="582">
        <v>106100</v>
      </c>
    </row>
    <row r="1417" spans="1:6" ht="15.6" x14ac:dyDescent="0.3">
      <c r="A1417" s="588">
        <v>46002</v>
      </c>
      <c r="B1417" s="589" t="s">
        <v>6344</v>
      </c>
      <c r="C1417" s="577" t="s">
        <v>2519</v>
      </c>
      <c r="D1417" s="589" t="s">
        <v>6354</v>
      </c>
      <c r="E1417" s="597"/>
      <c r="F1417" s="582">
        <v>57500</v>
      </c>
    </row>
    <row r="1418" spans="1:6" ht="15.6" x14ac:dyDescent="0.3">
      <c r="A1418" s="588">
        <v>46002</v>
      </c>
      <c r="B1418" s="589" t="s">
        <v>6344</v>
      </c>
      <c r="C1418" s="577" t="s">
        <v>2519</v>
      </c>
      <c r="D1418" s="589" t="s">
        <v>6152</v>
      </c>
      <c r="E1418" s="597"/>
      <c r="F1418" s="582">
        <v>2500</v>
      </c>
    </row>
    <row r="1419" spans="1:6" ht="15.6" x14ac:dyDescent="0.3">
      <c r="A1419" s="588">
        <v>46002</v>
      </c>
      <c r="B1419" s="589" t="s">
        <v>6344</v>
      </c>
      <c r="C1419" s="577" t="s">
        <v>2519</v>
      </c>
      <c r="D1419" s="589" t="s">
        <v>6152</v>
      </c>
      <c r="E1419" s="597"/>
      <c r="F1419" s="582">
        <v>2500</v>
      </c>
    </row>
    <row r="1420" spans="1:6" ht="15.6" x14ac:dyDescent="0.3">
      <c r="A1420" s="588">
        <v>46002</v>
      </c>
      <c r="B1420" s="589" t="s">
        <v>6344</v>
      </c>
      <c r="C1420" s="577" t="s">
        <v>2519</v>
      </c>
      <c r="D1420" s="589" t="s">
        <v>6355</v>
      </c>
      <c r="E1420" s="597"/>
      <c r="F1420" s="582">
        <v>2500</v>
      </c>
    </row>
    <row r="1421" spans="1:6" ht="15.6" x14ac:dyDescent="0.3">
      <c r="A1421" s="588">
        <v>46002</v>
      </c>
      <c r="B1421" s="589" t="s">
        <v>6344</v>
      </c>
      <c r="C1421" s="577" t="s">
        <v>2519</v>
      </c>
      <c r="D1421" s="589" t="s">
        <v>6152</v>
      </c>
      <c r="E1421" s="597"/>
      <c r="F1421" s="582">
        <v>2500</v>
      </c>
    </row>
    <row r="1422" spans="1:6" ht="15.6" x14ac:dyDescent="0.3">
      <c r="A1422" s="588">
        <v>46002</v>
      </c>
      <c r="B1422" s="589" t="s">
        <v>6344</v>
      </c>
      <c r="C1422" s="577" t="s">
        <v>2519</v>
      </c>
      <c r="D1422" s="589" t="s">
        <v>6152</v>
      </c>
      <c r="E1422" s="597"/>
      <c r="F1422" s="582">
        <v>2500</v>
      </c>
    </row>
    <row r="1423" spans="1:6" ht="15.6" x14ac:dyDescent="0.3">
      <c r="A1423" s="588">
        <v>46002</v>
      </c>
      <c r="B1423" s="589" t="s">
        <v>6344</v>
      </c>
      <c r="C1423" s="577" t="s">
        <v>2519</v>
      </c>
      <c r="D1423" s="589" t="s">
        <v>6356</v>
      </c>
      <c r="E1423" s="597"/>
      <c r="F1423" s="582">
        <v>581360</v>
      </c>
    </row>
    <row r="1424" spans="1:6" ht="15.6" x14ac:dyDescent="0.3">
      <c r="A1424" s="588">
        <v>46022</v>
      </c>
      <c r="B1424" s="589" t="s">
        <v>6357</v>
      </c>
      <c r="C1424" s="577" t="s">
        <v>2519</v>
      </c>
      <c r="D1424" s="589" t="s">
        <v>6358</v>
      </c>
      <c r="E1424" s="597"/>
      <c r="F1424" s="582">
        <v>499649</v>
      </c>
    </row>
    <row r="1425" spans="1:6" ht="15.6" x14ac:dyDescent="0.3">
      <c r="A1425" s="588">
        <v>46022</v>
      </c>
      <c r="B1425" s="589" t="s">
        <v>6161</v>
      </c>
      <c r="C1425" s="577" t="s">
        <v>2519</v>
      </c>
      <c r="D1425" s="589" t="s">
        <v>6359</v>
      </c>
      <c r="E1425" s="597"/>
      <c r="F1425" s="582">
        <v>107783582</v>
      </c>
    </row>
    <row r="1426" spans="1:6" ht="15.6" x14ac:dyDescent="0.3">
      <c r="A1426" s="588">
        <v>46022</v>
      </c>
      <c r="B1426" s="589" t="s">
        <v>6360</v>
      </c>
      <c r="C1426" s="577" t="s">
        <v>2519</v>
      </c>
      <c r="D1426" s="589" t="s">
        <v>6361</v>
      </c>
      <c r="E1426" s="597"/>
      <c r="F1426" s="582">
        <v>160000</v>
      </c>
    </row>
    <row r="1427" spans="1:6" ht="15.6" x14ac:dyDescent="0.3">
      <c r="A1427" s="588">
        <v>46022</v>
      </c>
      <c r="B1427" s="589" t="s">
        <v>6360</v>
      </c>
      <c r="C1427" s="577" t="s">
        <v>2519</v>
      </c>
      <c r="D1427" s="589" t="s">
        <v>6362</v>
      </c>
      <c r="E1427" s="597"/>
      <c r="F1427" s="582">
        <v>845600</v>
      </c>
    </row>
    <row r="1428" spans="1:6" ht="15.6" x14ac:dyDescent="0.3">
      <c r="A1428" s="588">
        <v>46022</v>
      </c>
      <c r="B1428" s="589" t="s">
        <v>6360</v>
      </c>
      <c r="C1428" s="577" t="s">
        <v>2519</v>
      </c>
      <c r="D1428" s="589" t="s">
        <v>6363</v>
      </c>
      <c r="E1428" s="597"/>
      <c r="F1428" s="582">
        <v>150000</v>
      </c>
    </row>
    <row r="1429" spans="1:6" ht="15.6" x14ac:dyDescent="0.3">
      <c r="A1429" s="588">
        <v>46022</v>
      </c>
      <c r="B1429" s="589" t="s">
        <v>6360</v>
      </c>
      <c r="C1429" s="577" t="s">
        <v>2519</v>
      </c>
      <c r="D1429" s="589" t="s">
        <v>6364</v>
      </c>
      <c r="E1429" s="597"/>
      <c r="F1429" s="582">
        <v>156500</v>
      </c>
    </row>
    <row r="1430" spans="1:6" ht="15.6" x14ac:dyDescent="0.3">
      <c r="A1430" s="588">
        <v>46022</v>
      </c>
      <c r="B1430" s="589" t="s">
        <v>6360</v>
      </c>
      <c r="C1430" s="577" t="s">
        <v>2519</v>
      </c>
      <c r="D1430" s="589" t="s">
        <v>6365</v>
      </c>
      <c r="E1430" s="597"/>
      <c r="F1430" s="582">
        <v>616800</v>
      </c>
    </row>
    <row r="1431" spans="1:6" ht="15.6" x14ac:dyDescent="0.3">
      <c r="A1431" s="588">
        <v>46022</v>
      </c>
      <c r="B1431" s="589" t="s">
        <v>6360</v>
      </c>
      <c r="C1431" s="577" t="s">
        <v>2519</v>
      </c>
      <c r="D1431" s="589" t="s">
        <v>6366</v>
      </c>
      <c r="E1431" s="597"/>
      <c r="F1431" s="582">
        <v>100000</v>
      </c>
    </row>
    <row r="1432" spans="1:6" ht="15.6" x14ac:dyDescent="0.3">
      <c r="A1432" s="588">
        <v>46022</v>
      </c>
      <c r="B1432" s="589" t="s">
        <v>6367</v>
      </c>
      <c r="C1432" s="577" t="s">
        <v>2519</v>
      </c>
      <c r="D1432" s="589" t="s">
        <v>6368</v>
      </c>
      <c r="E1432" s="597"/>
      <c r="F1432" s="582">
        <v>122000</v>
      </c>
    </row>
    <row r="1433" spans="1:6" ht="15.6" x14ac:dyDescent="0.3">
      <c r="A1433" s="588">
        <v>46022</v>
      </c>
      <c r="B1433" s="589" t="s">
        <v>6367</v>
      </c>
      <c r="C1433" s="577" t="s">
        <v>2519</v>
      </c>
      <c r="D1433" s="589" t="s">
        <v>6369</v>
      </c>
      <c r="E1433" s="597"/>
      <c r="F1433" s="582">
        <v>185700</v>
      </c>
    </row>
    <row r="1434" spans="1:6" ht="15.6" x14ac:dyDescent="0.3">
      <c r="A1434" s="588">
        <v>46022</v>
      </c>
      <c r="B1434" s="589" t="s">
        <v>6367</v>
      </c>
      <c r="C1434" s="577" t="s">
        <v>2519</v>
      </c>
      <c r="D1434" s="589" t="s">
        <v>6370</v>
      </c>
      <c r="E1434" s="597"/>
      <c r="F1434" s="582">
        <v>190000</v>
      </c>
    </row>
    <row r="1435" spans="1:6" ht="15" x14ac:dyDescent="0.3">
      <c r="A1435" s="600">
        <v>46028</v>
      </c>
      <c r="B1435" s="126" t="s">
        <v>6493</v>
      </c>
      <c r="C1435" s="126" t="s">
        <v>6494</v>
      </c>
      <c r="D1435" s="651" t="s">
        <v>6495</v>
      </c>
      <c r="E1435" s="612"/>
      <c r="F1435" s="612">
        <v>15842850</v>
      </c>
    </row>
    <row r="1436" spans="1:6" ht="15" x14ac:dyDescent="0.3">
      <c r="A1436" s="600">
        <v>46028</v>
      </c>
      <c r="B1436" s="126" t="s">
        <v>6493</v>
      </c>
      <c r="C1436" s="126" t="s">
        <v>6494</v>
      </c>
      <c r="D1436" s="651" t="s">
        <v>6496</v>
      </c>
      <c r="E1436" s="612"/>
      <c r="F1436" s="612">
        <v>69709391</v>
      </c>
    </row>
    <row r="1437" spans="1:6" ht="15" x14ac:dyDescent="0.3">
      <c r="A1437" s="600">
        <v>46029</v>
      </c>
      <c r="B1437" s="126" t="s">
        <v>6497</v>
      </c>
      <c r="C1437" s="268" t="s">
        <v>2519</v>
      </c>
      <c r="D1437" s="652" t="s">
        <v>6498</v>
      </c>
      <c r="E1437" s="647"/>
      <c r="F1437" s="566">
        <v>2386000</v>
      </c>
    </row>
    <row r="1438" spans="1:6" ht="15" x14ac:dyDescent="0.3">
      <c r="A1438" s="600">
        <v>46029</v>
      </c>
      <c r="B1438" s="126" t="s">
        <v>6497</v>
      </c>
      <c r="C1438" s="268" t="s">
        <v>2519</v>
      </c>
      <c r="D1438" s="652" t="s">
        <v>6499</v>
      </c>
      <c r="E1438" s="647"/>
      <c r="F1438" s="566">
        <v>262460</v>
      </c>
    </row>
    <row r="1439" spans="1:6" ht="15" x14ac:dyDescent="0.3">
      <c r="A1439" s="600">
        <v>46029</v>
      </c>
      <c r="B1439" s="126" t="s">
        <v>6497</v>
      </c>
      <c r="C1439" s="268" t="s">
        <v>2519</v>
      </c>
      <c r="D1439" s="652" t="s">
        <v>6500</v>
      </c>
      <c r="E1439" s="647"/>
      <c r="F1439" s="566">
        <v>13213000</v>
      </c>
    </row>
    <row r="1440" spans="1:6" ht="15" x14ac:dyDescent="0.3">
      <c r="A1440" s="600">
        <v>46029</v>
      </c>
      <c r="B1440" s="126" t="s">
        <v>6497</v>
      </c>
      <c r="C1440" s="268" t="s">
        <v>2519</v>
      </c>
      <c r="D1440" s="652" t="s">
        <v>6501</v>
      </c>
      <c r="E1440" s="647"/>
      <c r="F1440" s="566">
        <v>1453430</v>
      </c>
    </row>
    <row r="1441" spans="1:6" ht="15" x14ac:dyDescent="0.3">
      <c r="A1441" s="600">
        <v>46036</v>
      </c>
      <c r="B1441" s="126" t="s">
        <v>6502</v>
      </c>
      <c r="C1441" s="614" t="s">
        <v>2519</v>
      </c>
      <c r="D1441" s="653" t="s">
        <v>6503</v>
      </c>
      <c r="E1441" s="356"/>
      <c r="F1441" s="621">
        <v>20000000</v>
      </c>
    </row>
    <row r="1442" spans="1:6" ht="15" x14ac:dyDescent="0.3">
      <c r="A1442" s="600">
        <v>46036</v>
      </c>
      <c r="B1442" s="126" t="s">
        <v>6502</v>
      </c>
      <c r="C1442" s="614" t="s">
        <v>2519</v>
      </c>
      <c r="D1442" s="653" t="s">
        <v>6504</v>
      </c>
      <c r="E1442" s="356"/>
      <c r="F1442" s="621">
        <v>2200000</v>
      </c>
    </row>
    <row r="1443" spans="1:6" ht="15" x14ac:dyDescent="0.3">
      <c r="A1443" s="600">
        <v>46036</v>
      </c>
      <c r="B1443" s="126" t="s">
        <v>6502</v>
      </c>
      <c r="C1443" s="614" t="s">
        <v>2519</v>
      </c>
      <c r="D1443" s="654" t="s">
        <v>6505</v>
      </c>
      <c r="E1443" s="356"/>
      <c r="F1443" s="621">
        <v>-800000</v>
      </c>
    </row>
    <row r="1444" spans="1:6" ht="15" x14ac:dyDescent="0.3">
      <c r="A1444" s="600">
        <v>46036</v>
      </c>
      <c r="B1444" s="126" t="s">
        <v>6502</v>
      </c>
      <c r="C1444" s="614" t="s">
        <v>6506</v>
      </c>
      <c r="D1444" s="653" t="s">
        <v>6394</v>
      </c>
      <c r="E1444" s="356"/>
      <c r="F1444" s="621">
        <v>2900</v>
      </c>
    </row>
    <row r="1445" spans="1:6" ht="15" x14ac:dyDescent="0.3">
      <c r="A1445" s="600">
        <v>46036</v>
      </c>
      <c r="B1445" s="126" t="s">
        <v>6507</v>
      </c>
      <c r="C1445" s="614" t="s">
        <v>2519</v>
      </c>
      <c r="D1445" s="653" t="s">
        <v>6508</v>
      </c>
      <c r="E1445" s="356"/>
      <c r="F1445" s="621">
        <v>95200000</v>
      </c>
    </row>
    <row r="1446" spans="1:6" ht="15" x14ac:dyDescent="0.3">
      <c r="A1446" s="600">
        <v>46036</v>
      </c>
      <c r="B1446" s="126" t="s">
        <v>6507</v>
      </c>
      <c r="C1446" s="614" t="s">
        <v>2519</v>
      </c>
      <c r="D1446" s="653" t="s">
        <v>6509</v>
      </c>
      <c r="E1446" s="356"/>
      <c r="F1446" s="621">
        <v>10472000</v>
      </c>
    </row>
    <row r="1447" spans="1:6" ht="15" x14ac:dyDescent="0.3">
      <c r="A1447" s="600">
        <v>46036</v>
      </c>
      <c r="B1447" s="126" t="s">
        <v>6507</v>
      </c>
      <c r="C1447" s="614" t="s">
        <v>6510</v>
      </c>
      <c r="D1447" s="653" t="s">
        <v>6511</v>
      </c>
      <c r="E1447" s="356"/>
      <c r="F1447" s="621">
        <v>2900</v>
      </c>
    </row>
    <row r="1448" spans="1:6" ht="15" x14ac:dyDescent="0.3">
      <c r="A1448" s="600">
        <v>46036</v>
      </c>
      <c r="B1448" s="126" t="s">
        <v>6512</v>
      </c>
      <c r="C1448" s="614" t="s">
        <v>2519</v>
      </c>
      <c r="D1448" s="653" t="s">
        <v>6513</v>
      </c>
      <c r="E1448" s="356"/>
      <c r="F1448" s="621">
        <v>13500000</v>
      </c>
    </row>
    <row r="1449" spans="1:6" ht="15" x14ac:dyDescent="0.3">
      <c r="A1449" s="600">
        <v>46036</v>
      </c>
      <c r="B1449" s="126" t="s">
        <v>6512</v>
      </c>
      <c r="C1449" s="614" t="s">
        <v>2519</v>
      </c>
      <c r="D1449" s="653" t="s">
        <v>6514</v>
      </c>
      <c r="E1449" s="356"/>
      <c r="F1449" s="621">
        <v>148500</v>
      </c>
    </row>
    <row r="1450" spans="1:6" ht="15" x14ac:dyDescent="0.3">
      <c r="A1450" s="600">
        <v>46036</v>
      </c>
      <c r="B1450" s="126" t="s">
        <v>6512</v>
      </c>
      <c r="C1450" s="614" t="s">
        <v>2519</v>
      </c>
      <c r="D1450" s="653" t="s">
        <v>6515</v>
      </c>
      <c r="E1450" s="356"/>
      <c r="F1450" s="621">
        <v>-270000</v>
      </c>
    </row>
    <row r="1451" spans="1:6" ht="15" x14ac:dyDescent="0.3">
      <c r="A1451" s="600">
        <v>46036</v>
      </c>
      <c r="B1451" s="126" t="s">
        <v>6512</v>
      </c>
      <c r="C1451" s="614" t="s">
        <v>2519</v>
      </c>
      <c r="D1451" s="653" t="s">
        <v>6516</v>
      </c>
      <c r="E1451" s="575"/>
      <c r="F1451" s="621">
        <v>10000</v>
      </c>
    </row>
    <row r="1452" spans="1:6" ht="15" x14ac:dyDescent="0.3">
      <c r="A1452" s="600">
        <v>46036</v>
      </c>
      <c r="B1452" s="126" t="s">
        <v>6512</v>
      </c>
      <c r="C1452" s="614" t="s">
        <v>2519</v>
      </c>
      <c r="D1452" s="653" t="s">
        <v>3071</v>
      </c>
      <c r="E1452" s="575"/>
      <c r="F1452" s="621">
        <v>2900</v>
      </c>
    </row>
    <row r="1453" spans="1:6" ht="15" x14ac:dyDescent="0.3">
      <c r="A1453" s="600">
        <v>46043</v>
      </c>
      <c r="B1453" s="126" t="s">
        <v>6517</v>
      </c>
      <c r="C1453" s="601" t="s">
        <v>2519</v>
      </c>
      <c r="D1453" s="654" t="s">
        <v>6518</v>
      </c>
      <c r="E1453" s="645"/>
      <c r="F1453" s="620">
        <v>206237456</v>
      </c>
    </row>
    <row r="1454" spans="1:6" ht="15" x14ac:dyDescent="0.3">
      <c r="A1454" s="600">
        <v>46043</v>
      </c>
      <c r="B1454" s="126" t="s">
        <v>6517</v>
      </c>
      <c r="C1454" s="601" t="s">
        <v>2519</v>
      </c>
      <c r="D1454" s="654" t="s">
        <v>6519</v>
      </c>
      <c r="E1454" s="645"/>
      <c r="F1454" s="620">
        <v>-10311872.800000001</v>
      </c>
    </row>
    <row r="1455" spans="1:6" ht="15" x14ac:dyDescent="0.3">
      <c r="A1455" s="600">
        <v>46043</v>
      </c>
      <c r="B1455" s="126" t="s">
        <v>6517</v>
      </c>
      <c r="C1455" s="601" t="s">
        <v>2519</v>
      </c>
      <c r="D1455" s="654" t="s">
        <v>6520</v>
      </c>
      <c r="E1455" s="645"/>
      <c r="F1455" s="620">
        <v>-8249498.2400000002</v>
      </c>
    </row>
    <row r="1456" spans="1:6" ht="15" x14ac:dyDescent="0.3">
      <c r="A1456" s="600">
        <v>46043</v>
      </c>
      <c r="B1456" s="126" t="s">
        <v>6517</v>
      </c>
      <c r="C1456" s="601" t="s">
        <v>2519</v>
      </c>
      <c r="D1456" s="654" t="s">
        <v>6521</v>
      </c>
      <c r="E1456" s="645"/>
      <c r="F1456" s="620">
        <v>-31028024.98</v>
      </c>
    </row>
    <row r="1457" spans="1:6" ht="15" x14ac:dyDescent="0.3">
      <c r="A1457" s="600">
        <v>46043</v>
      </c>
      <c r="B1457" s="126" t="s">
        <v>6517</v>
      </c>
      <c r="C1457" s="601" t="s">
        <v>2519</v>
      </c>
      <c r="D1457" s="654" t="s">
        <v>5205</v>
      </c>
      <c r="E1457" s="645"/>
      <c r="F1457" s="620">
        <v>2900</v>
      </c>
    </row>
    <row r="1458" spans="1:6" ht="15" x14ac:dyDescent="0.3">
      <c r="A1458" s="600">
        <v>46024</v>
      </c>
      <c r="B1458" s="126" t="s">
        <v>6522</v>
      </c>
      <c r="C1458" s="126" t="s">
        <v>2519</v>
      </c>
      <c r="D1458" s="561" t="s">
        <v>6523</v>
      </c>
      <c r="E1458" s="566"/>
      <c r="F1458" s="621">
        <v>299200</v>
      </c>
    </row>
    <row r="1459" spans="1:6" ht="15" x14ac:dyDescent="0.3">
      <c r="A1459" s="600">
        <v>46024</v>
      </c>
      <c r="B1459" s="126" t="s">
        <v>6522</v>
      </c>
      <c r="C1459" s="126" t="s">
        <v>2519</v>
      </c>
      <c r="D1459" s="561" t="s">
        <v>981</v>
      </c>
      <c r="E1459" s="566"/>
      <c r="F1459" s="356">
        <v>2500</v>
      </c>
    </row>
    <row r="1460" spans="1:6" ht="15" x14ac:dyDescent="0.3">
      <c r="A1460" s="600">
        <v>46024</v>
      </c>
      <c r="B1460" s="126" t="s">
        <v>6522</v>
      </c>
      <c r="C1460" s="126" t="s">
        <v>2519</v>
      </c>
      <c r="D1460" s="561" t="s">
        <v>6524</v>
      </c>
      <c r="E1460" s="566"/>
      <c r="F1460" s="356">
        <v>1175000</v>
      </c>
    </row>
    <row r="1461" spans="1:6" ht="15" x14ac:dyDescent="0.3">
      <c r="A1461" s="600">
        <v>46024</v>
      </c>
      <c r="B1461" s="126" t="s">
        <v>6522</v>
      </c>
      <c r="C1461" s="126" t="s">
        <v>2519</v>
      </c>
      <c r="D1461" s="561" t="s">
        <v>981</v>
      </c>
      <c r="E1461" s="566"/>
      <c r="F1461" s="356">
        <v>2500</v>
      </c>
    </row>
    <row r="1462" spans="1:6" ht="15" x14ac:dyDescent="0.3">
      <c r="A1462" s="600">
        <v>46024</v>
      </c>
      <c r="B1462" s="126" t="s">
        <v>6522</v>
      </c>
      <c r="C1462" s="126" t="s">
        <v>2519</v>
      </c>
      <c r="D1462" s="561" t="s">
        <v>5605</v>
      </c>
      <c r="E1462" s="566"/>
      <c r="F1462" s="356">
        <v>100000</v>
      </c>
    </row>
    <row r="1463" spans="1:6" ht="15" x14ac:dyDescent="0.3">
      <c r="A1463" s="600">
        <v>46024</v>
      </c>
      <c r="B1463" s="126" t="s">
        <v>6522</v>
      </c>
      <c r="C1463" s="126" t="s">
        <v>2519</v>
      </c>
      <c r="D1463" s="561" t="s">
        <v>6525</v>
      </c>
      <c r="E1463" s="566"/>
      <c r="F1463" s="356">
        <v>190190</v>
      </c>
    </row>
    <row r="1464" spans="1:6" ht="15" x14ac:dyDescent="0.3">
      <c r="A1464" s="600">
        <v>46024</v>
      </c>
      <c r="B1464" s="126" t="s">
        <v>6522</v>
      </c>
      <c r="C1464" s="126" t="s">
        <v>2519</v>
      </c>
      <c r="D1464" s="561" t="s">
        <v>981</v>
      </c>
      <c r="E1464" s="566"/>
      <c r="F1464" s="612">
        <v>2500</v>
      </c>
    </row>
    <row r="1465" spans="1:6" ht="15" x14ac:dyDescent="0.3">
      <c r="A1465" s="600">
        <v>46024</v>
      </c>
      <c r="B1465" s="126" t="s">
        <v>6526</v>
      </c>
      <c r="C1465" s="623" t="s">
        <v>2519</v>
      </c>
      <c r="D1465" s="195" t="s">
        <v>6527</v>
      </c>
      <c r="E1465" s="566"/>
      <c r="F1465" s="660">
        <v>43000</v>
      </c>
    </row>
    <row r="1466" spans="1:6" ht="15" x14ac:dyDescent="0.3">
      <c r="A1466" s="600">
        <v>46024</v>
      </c>
      <c r="B1466" s="126" t="s">
        <v>6526</v>
      </c>
      <c r="C1466" s="623" t="s">
        <v>2519</v>
      </c>
      <c r="D1466" s="195" t="s">
        <v>6491</v>
      </c>
      <c r="E1466" s="612"/>
      <c r="F1466" s="660">
        <v>500</v>
      </c>
    </row>
    <row r="1467" spans="1:6" ht="15" x14ac:dyDescent="0.3">
      <c r="A1467" s="600">
        <v>46027</v>
      </c>
      <c r="B1467" s="126" t="s">
        <v>6455</v>
      </c>
      <c r="C1467" s="623" t="s">
        <v>2519</v>
      </c>
      <c r="D1467" s="624" t="s">
        <v>6528</v>
      </c>
      <c r="E1467" s="646"/>
      <c r="F1467" s="647">
        <v>476000</v>
      </c>
    </row>
    <row r="1468" spans="1:6" ht="15" x14ac:dyDescent="0.3">
      <c r="A1468" s="600">
        <v>46028</v>
      </c>
      <c r="B1468" s="126" t="s">
        <v>6467</v>
      </c>
      <c r="C1468" s="126" t="s">
        <v>2519</v>
      </c>
      <c r="D1468" s="636" t="s">
        <v>6529</v>
      </c>
      <c r="E1468" s="646"/>
      <c r="F1468" s="647">
        <v>19000</v>
      </c>
    </row>
    <row r="1469" spans="1:6" ht="15" x14ac:dyDescent="0.3">
      <c r="A1469" s="600">
        <v>46028</v>
      </c>
      <c r="B1469" s="126" t="s">
        <v>6467</v>
      </c>
      <c r="C1469" s="126" t="s">
        <v>2519</v>
      </c>
      <c r="D1469" s="636" t="s">
        <v>2372</v>
      </c>
      <c r="E1469" s="646"/>
      <c r="F1469" s="647">
        <v>2500</v>
      </c>
    </row>
    <row r="1470" spans="1:6" ht="15" x14ac:dyDescent="0.3">
      <c r="A1470" s="600">
        <v>46028</v>
      </c>
      <c r="B1470" s="126" t="s">
        <v>6467</v>
      </c>
      <c r="C1470" s="126" t="s">
        <v>2519</v>
      </c>
      <c r="D1470" s="636" t="s">
        <v>6530</v>
      </c>
      <c r="E1470" s="646"/>
      <c r="F1470" s="647">
        <v>3000000</v>
      </c>
    </row>
    <row r="1471" spans="1:6" ht="15" x14ac:dyDescent="0.3">
      <c r="A1471" s="600">
        <v>46028</v>
      </c>
      <c r="B1471" s="126" t="s">
        <v>6467</v>
      </c>
      <c r="C1471" s="126" t="s">
        <v>2519</v>
      </c>
      <c r="D1471" s="636" t="s">
        <v>2372</v>
      </c>
      <c r="E1471" s="646"/>
      <c r="F1471" s="566">
        <v>2500</v>
      </c>
    </row>
    <row r="1472" spans="1:6" ht="15" x14ac:dyDescent="0.3">
      <c r="A1472" s="600">
        <v>46030</v>
      </c>
      <c r="B1472" s="656" t="s">
        <v>6531</v>
      </c>
      <c r="C1472" s="650" t="s">
        <v>2519</v>
      </c>
      <c r="D1472" s="657" t="s">
        <v>6532</v>
      </c>
      <c r="E1472" s="646"/>
      <c r="F1472" s="647">
        <v>414240</v>
      </c>
    </row>
    <row r="1473" spans="1:6" ht="15" x14ac:dyDescent="0.3">
      <c r="A1473" s="600">
        <v>46030</v>
      </c>
      <c r="B1473" s="656" t="s">
        <v>6531</v>
      </c>
      <c r="C1473" s="650" t="s">
        <v>2519</v>
      </c>
      <c r="D1473" s="657" t="s">
        <v>6533</v>
      </c>
      <c r="E1473" s="646"/>
      <c r="F1473" s="647">
        <v>334000</v>
      </c>
    </row>
    <row r="1474" spans="1:6" ht="15" x14ac:dyDescent="0.3">
      <c r="A1474" s="600">
        <v>46030</v>
      </c>
      <c r="B1474" s="656" t="s">
        <v>6531</v>
      </c>
      <c r="C1474" s="650" t="s">
        <v>2519</v>
      </c>
      <c r="D1474" s="657" t="s">
        <v>6534</v>
      </c>
      <c r="E1474" s="646"/>
      <c r="F1474" s="647">
        <v>36740</v>
      </c>
    </row>
    <row r="1475" spans="1:6" ht="15" x14ac:dyDescent="0.3">
      <c r="A1475" s="600">
        <v>46030</v>
      </c>
      <c r="B1475" s="656" t="s">
        <v>6531</v>
      </c>
      <c r="C1475" s="650" t="s">
        <v>2519</v>
      </c>
      <c r="D1475" s="657" t="s">
        <v>6457</v>
      </c>
      <c r="E1475" s="646"/>
      <c r="F1475" s="647">
        <v>2500</v>
      </c>
    </row>
    <row r="1476" spans="1:6" ht="15" x14ac:dyDescent="0.3">
      <c r="A1476" s="600">
        <v>46034</v>
      </c>
      <c r="B1476" s="656" t="s">
        <v>6535</v>
      </c>
      <c r="C1476" s="650" t="s">
        <v>2519</v>
      </c>
      <c r="D1476" s="657" t="s">
        <v>6536</v>
      </c>
      <c r="E1476" s="646"/>
      <c r="F1476" s="647">
        <v>126500</v>
      </c>
    </row>
    <row r="1477" spans="1:6" ht="15" x14ac:dyDescent="0.3">
      <c r="A1477" s="600">
        <v>46034</v>
      </c>
      <c r="B1477" s="656" t="s">
        <v>6535</v>
      </c>
      <c r="C1477" s="650" t="s">
        <v>2519</v>
      </c>
      <c r="D1477" s="657" t="s">
        <v>6537</v>
      </c>
      <c r="E1477" s="646"/>
      <c r="F1477" s="647">
        <v>920000</v>
      </c>
    </row>
    <row r="1478" spans="1:6" ht="15" x14ac:dyDescent="0.3">
      <c r="A1478" s="600">
        <v>46034</v>
      </c>
      <c r="B1478" s="656" t="s">
        <v>6535</v>
      </c>
      <c r="C1478" s="650" t="s">
        <v>2519</v>
      </c>
      <c r="D1478" s="657" t="s">
        <v>6538</v>
      </c>
      <c r="E1478" s="612"/>
      <c r="F1478" s="647">
        <v>97799</v>
      </c>
    </row>
    <row r="1479" spans="1:6" ht="15" x14ac:dyDescent="0.3">
      <c r="A1479" s="600">
        <v>46034</v>
      </c>
      <c r="B1479" s="656" t="s">
        <v>6535</v>
      </c>
      <c r="C1479" s="650" t="s">
        <v>2519</v>
      </c>
      <c r="D1479" s="657" t="s">
        <v>6539</v>
      </c>
      <c r="E1479" s="612"/>
      <c r="F1479" s="647">
        <v>939510</v>
      </c>
    </row>
    <row r="1480" spans="1:6" ht="15" x14ac:dyDescent="0.3">
      <c r="A1480" s="600">
        <v>46034</v>
      </c>
      <c r="B1480" s="656" t="s">
        <v>6535</v>
      </c>
      <c r="C1480" s="650" t="s">
        <v>2519</v>
      </c>
      <c r="D1480" s="657" t="s">
        <v>4980</v>
      </c>
      <c r="E1480" s="612"/>
      <c r="F1480" s="647">
        <v>2500</v>
      </c>
    </row>
    <row r="1481" spans="1:6" ht="15" x14ac:dyDescent="0.3">
      <c r="A1481" s="600">
        <v>46034</v>
      </c>
      <c r="B1481" s="126" t="s">
        <v>6540</v>
      </c>
      <c r="C1481" s="126" t="s">
        <v>2519</v>
      </c>
      <c r="D1481" s="637" t="s">
        <v>6541</v>
      </c>
      <c r="E1481" s="647"/>
      <c r="F1481" s="647">
        <v>330264</v>
      </c>
    </row>
    <row r="1482" spans="1:6" ht="15" x14ac:dyDescent="0.3">
      <c r="A1482" s="600">
        <v>46034</v>
      </c>
      <c r="B1482" s="126" t="s">
        <v>6540</v>
      </c>
      <c r="C1482" s="126" t="s">
        <v>2519</v>
      </c>
      <c r="D1482" s="637" t="s">
        <v>6542</v>
      </c>
      <c r="E1482" s="647"/>
      <c r="F1482" s="647">
        <v>50000</v>
      </c>
    </row>
    <row r="1483" spans="1:6" ht="15" x14ac:dyDescent="0.3">
      <c r="A1483" s="600">
        <v>46034</v>
      </c>
      <c r="B1483" s="126" t="s">
        <v>6540</v>
      </c>
      <c r="C1483" s="126" t="s">
        <v>2519</v>
      </c>
      <c r="D1483" s="637" t="s">
        <v>6457</v>
      </c>
      <c r="E1483" s="647"/>
      <c r="F1483" s="647">
        <v>2500</v>
      </c>
    </row>
    <row r="1484" spans="1:6" ht="15" x14ac:dyDescent="0.3">
      <c r="A1484" s="600">
        <v>46034</v>
      </c>
      <c r="B1484" s="126" t="s">
        <v>6470</v>
      </c>
      <c r="C1484" s="126" t="s">
        <v>2519</v>
      </c>
      <c r="D1484" s="636" t="s">
        <v>6543</v>
      </c>
      <c r="E1484" s="647"/>
      <c r="F1484" s="647">
        <v>108500</v>
      </c>
    </row>
    <row r="1485" spans="1:6" ht="15" x14ac:dyDescent="0.3">
      <c r="A1485" s="600">
        <v>46034</v>
      </c>
      <c r="B1485" s="126" t="s">
        <v>6470</v>
      </c>
      <c r="C1485" s="126" t="s">
        <v>2519</v>
      </c>
      <c r="D1485" s="636" t="s">
        <v>2372</v>
      </c>
      <c r="E1485" s="647"/>
      <c r="F1485" s="647">
        <v>2500</v>
      </c>
    </row>
    <row r="1486" spans="1:6" ht="15" x14ac:dyDescent="0.3">
      <c r="A1486" s="600">
        <v>46034</v>
      </c>
      <c r="B1486" s="126" t="s">
        <v>6470</v>
      </c>
      <c r="C1486" s="126" t="s">
        <v>2519</v>
      </c>
      <c r="D1486" s="636" t="s">
        <v>6544</v>
      </c>
      <c r="E1486" s="647"/>
      <c r="F1486" s="647">
        <v>196999</v>
      </c>
    </row>
    <row r="1487" spans="1:6" ht="15" x14ac:dyDescent="0.3">
      <c r="A1487" s="600">
        <v>46034</v>
      </c>
      <c r="B1487" s="126" t="s">
        <v>6470</v>
      </c>
      <c r="C1487" s="126" t="s">
        <v>2519</v>
      </c>
      <c r="D1487" s="636" t="s">
        <v>2372</v>
      </c>
      <c r="E1487" s="647"/>
      <c r="F1487" s="647">
        <v>2500</v>
      </c>
    </row>
    <row r="1488" spans="1:6" ht="15" x14ac:dyDescent="0.3">
      <c r="A1488" s="600">
        <v>46037</v>
      </c>
      <c r="B1488" s="126" t="s">
        <v>6473</v>
      </c>
      <c r="C1488" s="126" t="s">
        <v>2519</v>
      </c>
      <c r="D1488" s="637" t="s">
        <v>6545</v>
      </c>
      <c r="E1488" s="647"/>
      <c r="F1488" s="647">
        <v>462000</v>
      </c>
    </row>
    <row r="1489" spans="1:6" ht="15" x14ac:dyDescent="0.3">
      <c r="A1489" s="600">
        <v>46037</v>
      </c>
      <c r="B1489" s="126" t="s">
        <v>6473</v>
      </c>
      <c r="C1489" s="126" t="s">
        <v>2519</v>
      </c>
      <c r="D1489" s="637" t="s">
        <v>6546</v>
      </c>
      <c r="E1489" s="647"/>
      <c r="F1489" s="647">
        <v>170000</v>
      </c>
    </row>
    <row r="1490" spans="1:6" ht="15" x14ac:dyDescent="0.3">
      <c r="A1490" s="600">
        <v>46037</v>
      </c>
      <c r="B1490" s="126" t="s">
        <v>6473</v>
      </c>
      <c r="C1490" s="126" t="s">
        <v>2519</v>
      </c>
      <c r="D1490" s="637" t="s">
        <v>6547</v>
      </c>
      <c r="E1490" s="647"/>
      <c r="F1490" s="647">
        <v>80000</v>
      </c>
    </row>
    <row r="1491" spans="1:6" ht="15" x14ac:dyDescent="0.3">
      <c r="A1491" s="600">
        <v>46041</v>
      </c>
      <c r="B1491" s="126" t="s">
        <v>6481</v>
      </c>
      <c r="C1491" s="126" t="s">
        <v>2519</v>
      </c>
      <c r="D1491" s="636" t="s">
        <v>6548</v>
      </c>
      <c r="E1491" s="647"/>
      <c r="F1491" s="647">
        <v>500000</v>
      </c>
    </row>
    <row r="1492" spans="1:6" ht="15" x14ac:dyDescent="0.3">
      <c r="A1492" s="600">
        <v>46041</v>
      </c>
      <c r="B1492" s="126" t="s">
        <v>6481</v>
      </c>
      <c r="C1492" s="126" t="s">
        <v>2519</v>
      </c>
      <c r="D1492" s="636" t="s">
        <v>6549</v>
      </c>
      <c r="E1492" s="647"/>
      <c r="F1492" s="647">
        <v>145500</v>
      </c>
    </row>
    <row r="1493" spans="1:6" ht="15" x14ac:dyDescent="0.3">
      <c r="A1493" s="600">
        <v>46041</v>
      </c>
      <c r="B1493" s="126" t="s">
        <v>6481</v>
      </c>
      <c r="C1493" s="126" t="s">
        <v>2519</v>
      </c>
      <c r="D1493" s="636" t="s">
        <v>6550</v>
      </c>
      <c r="E1493" s="647"/>
      <c r="F1493" s="647">
        <v>80000</v>
      </c>
    </row>
    <row r="1494" spans="1:6" ht="15" x14ac:dyDescent="0.3">
      <c r="A1494" s="600">
        <v>46043</v>
      </c>
      <c r="B1494" s="126" t="s">
        <v>6487</v>
      </c>
      <c r="C1494" s="642" t="s">
        <v>2519</v>
      </c>
      <c r="D1494" s="639" t="s">
        <v>6551</v>
      </c>
      <c r="E1494" s="647"/>
      <c r="F1494" s="647">
        <v>335700</v>
      </c>
    </row>
    <row r="1495" spans="1:6" ht="15" x14ac:dyDescent="0.3">
      <c r="A1495" s="600">
        <v>46043</v>
      </c>
      <c r="B1495" s="126" t="s">
        <v>6487</v>
      </c>
      <c r="C1495" s="642" t="s">
        <v>2519</v>
      </c>
      <c r="D1495" s="639" t="s">
        <v>6552</v>
      </c>
      <c r="E1495" s="647"/>
      <c r="F1495" s="647">
        <v>1103647</v>
      </c>
    </row>
    <row r="1496" spans="1:6" ht="15" x14ac:dyDescent="0.3">
      <c r="A1496" s="600">
        <v>46043</v>
      </c>
      <c r="B1496" s="126" t="s">
        <v>6487</v>
      </c>
      <c r="C1496" s="642" t="s">
        <v>2519</v>
      </c>
      <c r="D1496" s="639" t="s">
        <v>6457</v>
      </c>
      <c r="E1496" s="647"/>
      <c r="F1496" s="647">
        <v>2500</v>
      </c>
    </row>
    <row r="1497" spans="1:6" ht="15" x14ac:dyDescent="0.3">
      <c r="A1497" s="600">
        <v>46043</v>
      </c>
      <c r="B1497" s="126" t="s">
        <v>6487</v>
      </c>
      <c r="C1497" s="642" t="s">
        <v>2519</v>
      </c>
      <c r="D1497" s="639" t="s">
        <v>6553</v>
      </c>
      <c r="E1497" s="647"/>
      <c r="F1497" s="647">
        <v>2255700</v>
      </c>
    </row>
    <row r="1498" spans="1:6" ht="15" x14ac:dyDescent="0.3">
      <c r="A1498" s="600">
        <v>46043</v>
      </c>
      <c r="B1498" s="126" t="s">
        <v>6487</v>
      </c>
      <c r="C1498" s="642" t="s">
        <v>2519</v>
      </c>
      <c r="D1498" s="639" t="s">
        <v>6457</v>
      </c>
      <c r="E1498" s="647"/>
      <c r="F1498" s="647">
        <v>2500</v>
      </c>
    </row>
    <row r="1499" spans="1:6" ht="15" x14ac:dyDescent="0.3">
      <c r="A1499" s="600">
        <v>46044</v>
      </c>
      <c r="B1499" s="126" t="s">
        <v>6554</v>
      </c>
      <c r="C1499" s="640" t="s">
        <v>2519</v>
      </c>
      <c r="D1499" s="639" t="s">
        <v>6555</v>
      </c>
      <c r="E1499" s="647"/>
      <c r="F1499" s="647">
        <v>27500</v>
      </c>
    </row>
    <row r="1500" spans="1:6" ht="15" x14ac:dyDescent="0.3">
      <c r="A1500" s="600">
        <v>46044</v>
      </c>
      <c r="B1500" s="126" t="s">
        <v>6554</v>
      </c>
      <c r="C1500" s="640" t="s">
        <v>2519</v>
      </c>
      <c r="D1500" s="639" t="s">
        <v>6556</v>
      </c>
      <c r="E1500" s="647"/>
      <c r="F1500" s="647">
        <v>750000</v>
      </c>
    </row>
    <row r="1501" spans="1:6" ht="15" x14ac:dyDescent="0.3">
      <c r="A1501" s="600">
        <v>46044</v>
      </c>
      <c r="B1501" s="126" t="s">
        <v>6554</v>
      </c>
      <c r="C1501" s="640" t="s">
        <v>2519</v>
      </c>
      <c r="D1501" s="639" t="s">
        <v>50</v>
      </c>
      <c r="E1501" s="566"/>
      <c r="F1501" s="566">
        <v>2500</v>
      </c>
    </row>
    <row r="1502" spans="1:6" ht="15" x14ac:dyDescent="0.3">
      <c r="A1502" s="127">
        <v>46044</v>
      </c>
      <c r="B1502" s="132" t="s">
        <v>6557</v>
      </c>
      <c r="C1502" s="658" t="s">
        <v>2519</v>
      </c>
      <c r="D1502" s="661" t="s">
        <v>6558</v>
      </c>
      <c r="E1502" s="631"/>
      <c r="F1502" s="631">
        <v>196000</v>
      </c>
    </row>
  </sheetData>
  <autoFilter ref="A2:F2" xr:uid="{AEFAEE9E-74C7-4772-89E5-0BB19469BE43}"/>
  <pageMargins left="0.7" right="0.7" top="0.75" bottom="0.75" header="0.3" footer="0.3"/>
  <pageSetup paperSize="9" orientation="portrait" horizontalDpi="0"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A0C9B-BD4F-4A75-8F88-9CD64E8254C2}">
  <dimension ref="A2:F89"/>
  <sheetViews>
    <sheetView workbookViewId="0">
      <pane xSplit="3" ySplit="2" topLeftCell="D75" activePane="bottomRight" state="frozen"/>
      <selection pane="topRight" activeCell="D1" sqref="D1"/>
      <selection pane="bottomLeft" activeCell="A3" sqref="A3"/>
      <selection pane="bottomRight" activeCell="D93" sqref="D93"/>
    </sheetView>
  </sheetViews>
  <sheetFormatPr defaultRowHeight="14.4" x14ac:dyDescent="0.3"/>
  <cols>
    <col min="1" max="3" width="13.88671875" style="83" customWidth="1"/>
    <col min="4" max="4" width="111" style="83" customWidth="1"/>
    <col min="5" max="6" width="18.88671875" style="468" customWidth="1"/>
    <col min="7" max="16384" width="8.88671875" style="83"/>
  </cols>
  <sheetData>
    <row r="2" spans="1:6" ht="15.6" x14ac:dyDescent="0.3">
      <c r="A2" s="1" t="s">
        <v>0</v>
      </c>
      <c r="B2" s="2" t="s">
        <v>1</v>
      </c>
      <c r="C2" s="2" t="s">
        <v>2</v>
      </c>
      <c r="D2" s="2" t="s">
        <v>3</v>
      </c>
      <c r="E2" s="412" t="s">
        <v>4</v>
      </c>
      <c r="F2" s="397" t="s">
        <v>5</v>
      </c>
    </row>
    <row r="3" spans="1:6" ht="15" x14ac:dyDescent="0.3">
      <c r="A3" s="33">
        <v>45946</v>
      </c>
      <c r="B3" s="11" t="s">
        <v>5975</v>
      </c>
      <c r="C3" s="54" t="s">
        <v>5976</v>
      </c>
      <c r="D3" s="17" t="s">
        <v>5977</v>
      </c>
      <c r="E3" s="289"/>
      <c r="F3" s="416">
        <v>17094330</v>
      </c>
    </row>
    <row r="4" spans="1:6" ht="15" x14ac:dyDescent="0.3">
      <c r="A4" s="33">
        <v>45973</v>
      </c>
      <c r="B4" s="11" t="s">
        <v>5978</v>
      </c>
      <c r="C4" s="11" t="s">
        <v>5976</v>
      </c>
      <c r="D4" s="34" t="s">
        <v>5979</v>
      </c>
      <c r="E4" s="289"/>
      <c r="F4" s="416">
        <v>46539700</v>
      </c>
    </row>
    <row r="5" spans="1:6" ht="15" x14ac:dyDescent="0.3">
      <c r="A5" s="33">
        <v>45973</v>
      </c>
      <c r="B5" s="11" t="s">
        <v>5978</v>
      </c>
      <c r="C5" s="11" t="s">
        <v>5980</v>
      </c>
      <c r="D5" s="34" t="s">
        <v>5981</v>
      </c>
      <c r="E5" s="289"/>
      <c r="F5" s="416">
        <v>421250</v>
      </c>
    </row>
    <row r="6" spans="1:6" ht="15" x14ac:dyDescent="0.3">
      <c r="A6" s="105">
        <v>45936</v>
      </c>
      <c r="B6" s="11" t="s">
        <v>5181</v>
      </c>
      <c r="C6" s="54" t="s">
        <v>5976</v>
      </c>
      <c r="D6" s="28" t="s">
        <v>3570</v>
      </c>
      <c r="E6" s="290"/>
      <c r="F6" s="289">
        <v>150000</v>
      </c>
    </row>
    <row r="7" spans="1:6" ht="15" x14ac:dyDescent="0.3">
      <c r="A7" s="105">
        <v>45936</v>
      </c>
      <c r="B7" s="11" t="s">
        <v>5181</v>
      </c>
      <c r="C7" s="54" t="s">
        <v>5976</v>
      </c>
      <c r="D7" s="28" t="s">
        <v>5982</v>
      </c>
      <c r="E7" s="290"/>
      <c r="F7" s="289">
        <v>279400</v>
      </c>
    </row>
    <row r="8" spans="1:6" ht="15" x14ac:dyDescent="0.3">
      <c r="A8" s="105">
        <v>45936</v>
      </c>
      <c r="B8" s="11" t="s">
        <v>5181</v>
      </c>
      <c r="C8" s="54" t="s">
        <v>5976</v>
      </c>
      <c r="D8" s="28" t="s">
        <v>3571</v>
      </c>
      <c r="E8" s="290"/>
      <c r="F8" s="289">
        <v>53000</v>
      </c>
    </row>
    <row r="9" spans="1:6" ht="15" x14ac:dyDescent="0.3">
      <c r="A9" s="105">
        <v>45936</v>
      </c>
      <c r="B9" s="11" t="s">
        <v>5187</v>
      </c>
      <c r="C9" s="54" t="s">
        <v>5976</v>
      </c>
      <c r="D9" s="28" t="s">
        <v>405</v>
      </c>
      <c r="E9" s="290"/>
      <c r="F9" s="289">
        <v>284992</v>
      </c>
    </row>
    <row r="10" spans="1:6" ht="15" x14ac:dyDescent="0.3">
      <c r="A10" s="105">
        <v>45936</v>
      </c>
      <c r="B10" s="11" t="s">
        <v>5187</v>
      </c>
      <c r="C10" s="54" t="s">
        <v>5976</v>
      </c>
      <c r="D10" s="28" t="s">
        <v>404</v>
      </c>
      <c r="E10" s="290"/>
      <c r="F10" s="289">
        <v>122000</v>
      </c>
    </row>
    <row r="11" spans="1:6" ht="15" x14ac:dyDescent="0.3">
      <c r="A11" s="105">
        <v>45943</v>
      </c>
      <c r="B11" s="11" t="s">
        <v>4951</v>
      </c>
      <c r="C11" s="54" t="s">
        <v>5976</v>
      </c>
      <c r="D11" s="28" t="s">
        <v>5983</v>
      </c>
      <c r="E11" s="290"/>
      <c r="F11" s="289">
        <v>81000</v>
      </c>
    </row>
    <row r="12" spans="1:6" ht="15" x14ac:dyDescent="0.3">
      <c r="A12" s="105">
        <v>45947</v>
      </c>
      <c r="B12" s="11" t="s">
        <v>5128</v>
      </c>
      <c r="C12" s="54" t="s">
        <v>5976</v>
      </c>
      <c r="D12" s="28" t="s">
        <v>5984</v>
      </c>
      <c r="E12" s="290"/>
      <c r="F12" s="289">
        <v>21500</v>
      </c>
    </row>
    <row r="13" spans="1:6" ht="15" x14ac:dyDescent="0.3">
      <c r="A13" s="105">
        <v>45952</v>
      </c>
      <c r="B13" s="11" t="s">
        <v>5985</v>
      </c>
      <c r="C13" s="54" t="s">
        <v>5976</v>
      </c>
      <c r="D13" s="28" t="s">
        <v>5986</v>
      </c>
      <c r="E13" s="290"/>
      <c r="F13" s="289">
        <v>5000000</v>
      </c>
    </row>
    <row r="14" spans="1:6" ht="15" x14ac:dyDescent="0.3">
      <c r="A14" s="105">
        <v>45954</v>
      </c>
      <c r="B14" s="11" t="s">
        <v>5082</v>
      </c>
      <c r="C14" s="54" t="s">
        <v>5976</v>
      </c>
      <c r="D14" s="28" t="s">
        <v>5984</v>
      </c>
      <c r="E14" s="290"/>
      <c r="F14" s="289">
        <v>40000</v>
      </c>
    </row>
    <row r="15" spans="1:6" ht="15" x14ac:dyDescent="0.3">
      <c r="A15" s="105">
        <v>45958</v>
      </c>
      <c r="B15" s="11" t="s">
        <v>5987</v>
      </c>
      <c r="C15" s="54" t="s">
        <v>5976</v>
      </c>
      <c r="D15" s="28" t="s">
        <v>5988</v>
      </c>
      <c r="E15" s="290"/>
      <c r="F15" s="289">
        <v>110000</v>
      </c>
    </row>
    <row r="16" spans="1:6" ht="15" x14ac:dyDescent="0.3">
      <c r="A16" s="105">
        <v>45958</v>
      </c>
      <c r="B16" s="11" t="s">
        <v>5987</v>
      </c>
      <c r="C16" s="54" t="s">
        <v>5976</v>
      </c>
      <c r="D16" s="28" t="s">
        <v>5988</v>
      </c>
      <c r="E16" s="290"/>
      <c r="F16" s="289">
        <v>1151718.76</v>
      </c>
    </row>
    <row r="17" spans="1:6" ht="15" x14ac:dyDescent="0.3">
      <c r="A17" s="105">
        <v>45961</v>
      </c>
      <c r="B17" s="11" t="s">
        <v>5461</v>
      </c>
      <c r="C17" s="54" t="s">
        <v>5976</v>
      </c>
      <c r="D17" s="28" t="s">
        <v>5984</v>
      </c>
      <c r="E17" s="290"/>
      <c r="F17" s="289">
        <v>18000</v>
      </c>
    </row>
    <row r="18" spans="1:6" ht="15.6" x14ac:dyDescent="0.3">
      <c r="A18" s="263">
        <v>45966</v>
      </c>
      <c r="B18" s="264" t="s">
        <v>5539</v>
      </c>
      <c r="C18" s="266" t="s">
        <v>5976</v>
      </c>
      <c r="D18" s="258" t="s">
        <v>5989</v>
      </c>
      <c r="E18" s="562"/>
      <c r="F18" s="562">
        <v>87079979</v>
      </c>
    </row>
    <row r="19" spans="1:6" ht="15.6" x14ac:dyDescent="0.3">
      <c r="A19" s="263">
        <v>45966</v>
      </c>
      <c r="B19" s="264" t="s">
        <v>5539</v>
      </c>
      <c r="C19" s="266" t="s">
        <v>5976</v>
      </c>
      <c r="D19" s="258" t="s">
        <v>5990</v>
      </c>
      <c r="E19" s="562"/>
      <c r="F19" s="562">
        <v>9578798</v>
      </c>
    </row>
    <row r="20" spans="1:6" ht="15" x14ac:dyDescent="0.3">
      <c r="A20" s="263">
        <v>45966</v>
      </c>
      <c r="B20" s="264" t="s">
        <v>5539</v>
      </c>
      <c r="C20" s="264" t="s">
        <v>5976</v>
      </c>
      <c r="D20" s="28" t="s">
        <v>5991</v>
      </c>
      <c r="E20" s="563"/>
      <c r="F20" s="563">
        <v>-2307619</v>
      </c>
    </row>
    <row r="21" spans="1:6" ht="15.6" x14ac:dyDescent="0.3">
      <c r="A21" s="263">
        <v>45967</v>
      </c>
      <c r="B21" s="264" t="s">
        <v>5504</v>
      </c>
      <c r="C21" s="31" t="s">
        <v>5976</v>
      </c>
      <c r="D21" s="252" t="s">
        <v>5992</v>
      </c>
      <c r="E21" s="562"/>
      <c r="F21" s="429">
        <v>2000000</v>
      </c>
    </row>
    <row r="22" spans="1:6" ht="15" x14ac:dyDescent="0.3">
      <c r="A22" s="263">
        <v>45968</v>
      </c>
      <c r="B22" s="264" t="s">
        <v>5659</v>
      </c>
      <c r="C22" s="264" t="s">
        <v>5976</v>
      </c>
      <c r="D22" s="265" t="s">
        <v>5993</v>
      </c>
      <c r="E22" s="563"/>
      <c r="F22" s="563">
        <v>60000</v>
      </c>
    </row>
    <row r="23" spans="1:6" ht="15" x14ac:dyDescent="0.3">
      <c r="A23" s="33">
        <v>45980</v>
      </c>
      <c r="B23" s="264" t="s">
        <v>5994</v>
      </c>
      <c r="C23" s="11" t="s">
        <v>5976</v>
      </c>
      <c r="D23" s="34" t="s">
        <v>5995</v>
      </c>
      <c r="E23" s="289"/>
      <c r="F23" s="416">
        <v>15720000</v>
      </c>
    </row>
    <row r="24" spans="1:6" ht="15" x14ac:dyDescent="0.3">
      <c r="A24" s="33">
        <v>45980</v>
      </c>
      <c r="B24" s="264" t="s">
        <v>5994</v>
      </c>
      <c r="C24" s="11" t="s">
        <v>5976</v>
      </c>
      <c r="D24" s="34" t="s">
        <v>5996</v>
      </c>
      <c r="E24" s="289"/>
      <c r="F24" s="416">
        <v>1729200</v>
      </c>
    </row>
    <row r="25" spans="1:6" ht="15" x14ac:dyDescent="0.3">
      <c r="A25" s="33">
        <v>45980</v>
      </c>
      <c r="B25" s="264" t="s">
        <v>5994</v>
      </c>
      <c r="C25" s="11" t="s">
        <v>5976</v>
      </c>
      <c r="D25" s="34" t="s">
        <v>5297</v>
      </c>
      <c r="E25" s="289"/>
      <c r="F25" s="416">
        <v>2900</v>
      </c>
    </row>
    <row r="26" spans="1:6" ht="15.6" x14ac:dyDescent="0.3">
      <c r="A26" s="263">
        <v>45985</v>
      </c>
      <c r="B26" s="264" t="s">
        <v>5997</v>
      </c>
      <c r="C26" s="266" t="s">
        <v>5976</v>
      </c>
      <c r="D26" s="265" t="s">
        <v>5998</v>
      </c>
      <c r="E26" s="562"/>
      <c r="F26" s="562">
        <v>1662170</v>
      </c>
    </row>
    <row r="27" spans="1:6" ht="15.6" x14ac:dyDescent="0.3">
      <c r="A27" s="263">
        <v>45985</v>
      </c>
      <c r="B27" s="264" t="s">
        <v>5997</v>
      </c>
      <c r="C27" s="266" t="s">
        <v>5999</v>
      </c>
      <c r="D27" s="265" t="s">
        <v>6000</v>
      </c>
      <c r="E27" s="562"/>
      <c r="F27" s="562">
        <v>8292329</v>
      </c>
    </row>
    <row r="28" spans="1:6" ht="15.6" x14ac:dyDescent="0.3">
      <c r="A28" s="263">
        <v>45985</v>
      </c>
      <c r="B28" s="264" t="s">
        <v>5997</v>
      </c>
      <c r="C28" s="266" t="s">
        <v>5999</v>
      </c>
      <c r="D28" s="265" t="s">
        <v>6001</v>
      </c>
      <c r="E28" s="562"/>
      <c r="F28" s="562">
        <v>1884525</v>
      </c>
    </row>
    <row r="29" spans="1:6" ht="15.6" x14ac:dyDescent="0.3">
      <c r="A29" s="105">
        <v>45996</v>
      </c>
      <c r="B29" s="11" t="s">
        <v>6002</v>
      </c>
      <c r="C29" s="253" t="s">
        <v>5976</v>
      </c>
      <c r="D29" s="258" t="s">
        <v>6003</v>
      </c>
      <c r="E29" s="501"/>
      <c r="F29" s="311">
        <v>3500000</v>
      </c>
    </row>
    <row r="30" spans="1:6" ht="15.6" x14ac:dyDescent="0.3">
      <c r="A30" s="105">
        <v>46001</v>
      </c>
      <c r="B30" s="11" t="s">
        <v>5800</v>
      </c>
      <c r="C30" s="253" t="s">
        <v>5976</v>
      </c>
      <c r="D30" s="258" t="s">
        <v>6004</v>
      </c>
      <c r="E30" s="501"/>
      <c r="F30" s="311">
        <v>-1175580</v>
      </c>
    </row>
    <row r="31" spans="1:6" ht="15.6" x14ac:dyDescent="0.3">
      <c r="A31" s="105">
        <v>46001</v>
      </c>
      <c r="B31" s="11" t="s">
        <v>6005</v>
      </c>
      <c r="C31" s="253" t="s">
        <v>6006</v>
      </c>
      <c r="D31" s="258" t="s">
        <v>6007</v>
      </c>
      <c r="E31" s="501"/>
      <c r="F31" s="311">
        <v>35216825</v>
      </c>
    </row>
    <row r="32" spans="1:6" ht="15.6" x14ac:dyDescent="0.3">
      <c r="A32" s="105">
        <v>46001</v>
      </c>
      <c r="B32" s="11" t="s">
        <v>6005</v>
      </c>
      <c r="C32" s="253" t="s">
        <v>6006</v>
      </c>
      <c r="D32" s="258" t="s">
        <v>6008</v>
      </c>
      <c r="E32" s="501"/>
      <c r="F32" s="311">
        <v>154955025</v>
      </c>
    </row>
    <row r="33" spans="1:6" ht="15.6" x14ac:dyDescent="0.3">
      <c r="A33" s="105">
        <v>46001</v>
      </c>
      <c r="B33" s="11" t="s">
        <v>6009</v>
      </c>
      <c r="C33" s="253" t="s">
        <v>6010</v>
      </c>
      <c r="D33" s="258" t="s">
        <v>6011</v>
      </c>
      <c r="E33" s="501"/>
      <c r="F33" s="311">
        <v>4480950</v>
      </c>
    </row>
    <row r="34" spans="1:6" ht="15.6" x14ac:dyDescent="0.3">
      <c r="A34" s="105">
        <v>46001</v>
      </c>
      <c r="B34" s="11" t="s">
        <v>6009</v>
      </c>
      <c r="C34" s="253" t="s">
        <v>6010</v>
      </c>
      <c r="D34" s="258" t="s">
        <v>6012</v>
      </c>
      <c r="E34" s="501"/>
      <c r="F34" s="311">
        <v>19716534</v>
      </c>
    </row>
    <row r="35" spans="1:6" ht="15.6" x14ac:dyDescent="0.3">
      <c r="A35" s="105">
        <v>46003</v>
      </c>
      <c r="B35" s="11" t="s">
        <v>5817</v>
      </c>
      <c r="C35" s="253" t="s">
        <v>5976</v>
      </c>
      <c r="D35" s="258" t="s">
        <v>6013</v>
      </c>
      <c r="E35" s="501"/>
      <c r="F35" s="311">
        <v>216000</v>
      </c>
    </row>
    <row r="36" spans="1:6" ht="15.6" x14ac:dyDescent="0.3">
      <c r="A36" s="105">
        <v>46008</v>
      </c>
      <c r="B36" s="11" t="s">
        <v>6014</v>
      </c>
      <c r="C36" s="253" t="s">
        <v>5976</v>
      </c>
      <c r="D36" s="512" t="s">
        <v>6015</v>
      </c>
      <c r="E36" s="501"/>
      <c r="F36" s="311">
        <v>21810000</v>
      </c>
    </row>
    <row r="37" spans="1:6" ht="15.6" x14ac:dyDescent="0.3">
      <c r="A37" s="105">
        <v>46008</v>
      </c>
      <c r="B37" s="11" t="s">
        <v>6014</v>
      </c>
      <c r="C37" s="253" t="s">
        <v>5976</v>
      </c>
      <c r="D37" s="512" t="s">
        <v>6016</v>
      </c>
      <c r="E37" s="501"/>
      <c r="F37" s="311">
        <v>2399100</v>
      </c>
    </row>
    <row r="38" spans="1:6" ht="15.6" x14ac:dyDescent="0.3">
      <c r="A38" s="105">
        <v>46008</v>
      </c>
      <c r="B38" s="11" t="s">
        <v>6014</v>
      </c>
      <c r="C38" s="253" t="s">
        <v>5976</v>
      </c>
      <c r="D38" s="28" t="s">
        <v>6017</v>
      </c>
      <c r="E38" s="501"/>
      <c r="F38" s="311">
        <v>2900</v>
      </c>
    </row>
    <row r="39" spans="1:6" ht="15" x14ac:dyDescent="0.3">
      <c r="A39" s="662">
        <v>46009</v>
      </c>
      <c r="B39" s="663" t="s">
        <v>6371</v>
      </c>
      <c r="C39" s="664" t="s">
        <v>5976</v>
      </c>
      <c r="D39" s="665" t="s">
        <v>6372</v>
      </c>
      <c r="E39" s="506"/>
      <c r="F39" s="366">
        <v>117857829.60000001</v>
      </c>
    </row>
    <row r="40" spans="1:6" ht="15" x14ac:dyDescent="0.3">
      <c r="A40" s="666">
        <v>46020</v>
      </c>
      <c r="B40" s="667" t="s">
        <v>6166</v>
      </c>
      <c r="C40" s="667" t="s">
        <v>5976</v>
      </c>
      <c r="D40" s="668" t="s">
        <v>6373</v>
      </c>
      <c r="E40" s="431"/>
      <c r="F40" s="429">
        <v>15000000</v>
      </c>
    </row>
    <row r="41" spans="1:6" ht="15.6" x14ac:dyDescent="0.3">
      <c r="A41" s="588">
        <v>46010</v>
      </c>
      <c r="B41" s="577" t="s">
        <v>6124</v>
      </c>
      <c r="C41" s="577" t="s">
        <v>5976</v>
      </c>
      <c r="D41" s="579" t="s">
        <v>5794</v>
      </c>
      <c r="E41" s="311"/>
      <c r="F41" s="311">
        <v>8000</v>
      </c>
    </row>
    <row r="42" spans="1:6" ht="15.6" x14ac:dyDescent="0.3">
      <c r="A42" s="588">
        <v>46010</v>
      </c>
      <c r="B42" s="577" t="s">
        <v>6124</v>
      </c>
      <c r="C42" s="577" t="s">
        <v>5976</v>
      </c>
      <c r="D42" s="579" t="s">
        <v>6126</v>
      </c>
      <c r="E42" s="452"/>
      <c r="F42" s="311">
        <v>64000</v>
      </c>
    </row>
    <row r="43" spans="1:6" ht="15.6" x14ac:dyDescent="0.3">
      <c r="A43" s="576">
        <v>46020</v>
      </c>
      <c r="B43" s="669" t="s">
        <v>6127</v>
      </c>
      <c r="C43" s="669" t="s">
        <v>5976</v>
      </c>
      <c r="D43" s="670" t="s">
        <v>5794</v>
      </c>
      <c r="E43" s="452"/>
      <c r="F43" s="311">
        <v>147560</v>
      </c>
    </row>
    <row r="44" spans="1:6" ht="15.6" x14ac:dyDescent="0.3">
      <c r="A44" s="576">
        <v>46020</v>
      </c>
      <c r="B44" s="669" t="s">
        <v>6127</v>
      </c>
      <c r="C44" s="669" t="s">
        <v>5976</v>
      </c>
      <c r="D44" s="670" t="s">
        <v>6128</v>
      </c>
      <c r="E44" s="452"/>
      <c r="F44" s="311">
        <v>65500</v>
      </c>
    </row>
    <row r="45" spans="1:6" ht="15.6" x14ac:dyDescent="0.3">
      <c r="A45" s="576">
        <v>46020</v>
      </c>
      <c r="B45" s="669" t="s">
        <v>6127</v>
      </c>
      <c r="C45" s="669" t="s">
        <v>5976</v>
      </c>
      <c r="D45" s="670" t="s">
        <v>5795</v>
      </c>
      <c r="E45" s="452"/>
      <c r="F45" s="311">
        <v>53000</v>
      </c>
    </row>
    <row r="46" spans="1:6" ht="15.6" x14ac:dyDescent="0.3">
      <c r="A46" s="576">
        <v>46020</v>
      </c>
      <c r="B46" s="669" t="s">
        <v>6127</v>
      </c>
      <c r="C46" s="669" t="s">
        <v>5976</v>
      </c>
      <c r="D46" s="670" t="s">
        <v>6129</v>
      </c>
      <c r="E46" s="452"/>
      <c r="F46" s="311">
        <v>8000</v>
      </c>
    </row>
    <row r="47" spans="1:6" ht="15.6" x14ac:dyDescent="0.3">
      <c r="A47" s="671">
        <v>46022</v>
      </c>
      <c r="B47" s="672" t="s">
        <v>6374</v>
      </c>
      <c r="C47" s="672" t="s">
        <v>5976</v>
      </c>
      <c r="D47" s="673" t="s">
        <v>6375</v>
      </c>
      <c r="E47" s="674"/>
      <c r="F47" s="350">
        <v>12000000</v>
      </c>
    </row>
    <row r="48" spans="1:6" ht="15.6" x14ac:dyDescent="0.3">
      <c r="A48" s="576">
        <v>46022</v>
      </c>
      <c r="B48" s="669" t="s">
        <v>6374</v>
      </c>
      <c r="C48" s="669" t="s">
        <v>5976</v>
      </c>
      <c r="D48" s="670" t="s">
        <v>6376</v>
      </c>
      <c r="E48" s="452"/>
      <c r="F48" s="311">
        <v>1320000</v>
      </c>
    </row>
    <row r="49" spans="1:6" ht="15.6" x14ac:dyDescent="0.3">
      <c r="A49" s="576">
        <v>46022</v>
      </c>
      <c r="B49" s="669" t="s">
        <v>6374</v>
      </c>
      <c r="C49" s="669" t="s">
        <v>5976</v>
      </c>
      <c r="D49" s="670" t="s">
        <v>6377</v>
      </c>
      <c r="E49" s="452"/>
      <c r="F49" s="311">
        <v>2900</v>
      </c>
    </row>
    <row r="50" spans="1:6" ht="15.6" x14ac:dyDescent="0.3">
      <c r="A50" s="675" t="s">
        <v>6143</v>
      </c>
      <c r="B50" s="676" t="s">
        <v>6147</v>
      </c>
      <c r="C50" s="669" t="s">
        <v>5976</v>
      </c>
      <c r="D50" s="676" t="s">
        <v>6378</v>
      </c>
      <c r="E50" s="677"/>
      <c r="F50" s="678">
        <v>50000</v>
      </c>
    </row>
    <row r="51" spans="1:6" ht="15.6" x14ac:dyDescent="0.3">
      <c r="A51" s="675" t="s">
        <v>6143</v>
      </c>
      <c r="B51" s="676" t="s">
        <v>6147</v>
      </c>
      <c r="C51" s="669" t="s">
        <v>5976</v>
      </c>
      <c r="D51" s="676" t="s">
        <v>6379</v>
      </c>
      <c r="E51" s="677"/>
      <c r="F51" s="678">
        <v>149600</v>
      </c>
    </row>
    <row r="52" spans="1:6" ht="15.6" x14ac:dyDescent="0.3">
      <c r="A52" s="675" t="s">
        <v>6223</v>
      </c>
      <c r="B52" s="676" t="s">
        <v>6224</v>
      </c>
      <c r="C52" s="669" t="s">
        <v>5976</v>
      </c>
      <c r="D52" s="676" t="s">
        <v>6380</v>
      </c>
      <c r="E52" s="677"/>
      <c r="F52" s="678">
        <v>251400</v>
      </c>
    </row>
    <row r="53" spans="1:6" ht="15.6" x14ac:dyDescent="0.3">
      <c r="A53" s="675" t="s">
        <v>6223</v>
      </c>
      <c r="B53" s="676" t="s">
        <v>6227</v>
      </c>
      <c r="C53" s="669" t="s">
        <v>5976</v>
      </c>
      <c r="D53" s="676" t="s">
        <v>6381</v>
      </c>
      <c r="E53" s="677"/>
      <c r="F53" s="678">
        <v>115898</v>
      </c>
    </row>
    <row r="54" spans="1:6" ht="15.6" x14ac:dyDescent="0.3">
      <c r="A54" s="675" t="s">
        <v>6223</v>
      </c>
      <c r="B54" s="676" t="s">
        <v>6227</v>
      </c>
      <c r="C54" s="669" t="s">
        <v>5976</v>
      </c>
      <c r="D54" s="676" t="s">
        <v>6152</v>
      </c>
      <c r="E54" s="677"/>
      <c r="F54" s="678">
        <v>2500</v>
      </c>
    </row>
    <row r="55" spans="1:6" ht="15.6" x14ac:dyDescent="0.3">
      <c r="A55" s="675" t="s">
        <v>6335</v>
      </c>
      <c r="B55" s="676" t="s">
        <v>6339</v>
      </c>
      <c r="C55" s="669" t="s">
        <v>5976</v>
      </c>
      <c r="D55" s="676" t="s">
        <v>2870</v>
      </c>
      <c r="E55" s="677"/>
      <c r="F55" s="678">
        <v>600000</v>
      </c>
    </row>
    <row r="56" spans="1:6" ht="15.6" x14ac:dyDescent="0.3">
      <c r="A56" s="675" t="s">
        <v>6343</v>
      </c>
      <c r="B56" s="676" t="s">
        <v>6344</v>
      </c>
      <c r="C56" s="669" t="s">
        <v>5976</v>
      </c>
      <c r="D56" s="676" t="s">
        <v>6382</v>
      </c>
      <c r="E56" s="677"/>
      <c r="F56" s="678">
        <v>425000</v>
      </c>
    </row>
    <row r="57" spans="1:6" ht="15.6" x14ac:dyDescent="0.3">
      <c r="A57" s="675" t="s">
        <v>6343</v>
      </c>
      <c r="B57" s="676" t="s">
        <v>6344</v>
      </c>
      <c r="C57" s="669" t="s">
        <v>5976</v>
      </c>
      <c r="D57" s="676" t="s">
        <v>6152</v>
      </c>
      <c r="E57" s="677"/>
      <c r="F57" s="678">
        <v>2500</v>
      </c>
    </row>
    <row r="58" spans="1:6" ht="15" x14ac:dyDescent="0.3">
      <c r="A58" s="607">
        <v>46036</v>
      </c>
      <c r="B58" s="128" t="s">
        <v>6507</v>
      </c>
      <c r="C58" s="616" t="s">
        <v>5976</v>
      </c>
      <c r="D58" s="654" t="s">
        <v>6559</v>
      </c>
      <c r="E58" s="645"/>
      <c r="F58" s="620">
        <v>120000000</v>
      </c>
    </row>
    <row r="59" spans="1:6" ht="15" x14ac:dyDescent="0.3">
      <c r="A59" s="600">
        <v>46036</v>
      </c>
      <c r="B59" s="126" t="s">
        <v>6507</v>
      </c>
      <c r="C59" s="614" t="s">
        <v>5976</v>
      </c>
      <c r="D59" s="653" t="s">
        <v>6560</v>
      </c>
      <c r="E59" s="356"/>
      <c r="F59" s="621">
        <v>13200000</v>
      </c>
    </row>
    <row r="60" spans="1:6" ht="15" x14ac:dyDescent="0.3">
      <c r="A60" s="600">
        <v>46036</v>
      </c>
      <c r="B60" s="126" t="s">
        <v>6507</v>
      </c>
      <c r="C60" s="614" t="s">
        <v>6510</v>
      </c>
      <c r="D60" s="653" t="s">
        <v>6511</v>
      </c>
      <c r="E60" s="356"/>
      <c r="F60" s="621">
        <v>2900</v>
      </c>
    </row>
    <row r="61" spans="1:6" ht="15" x14ac:dyDescent="0.3">
      <c r="A61" s="600">
        <v>46043</v>
      </c>
      <c r="B61" s="126" t="s">
        <v>6561</v>
      </c>
      <c r="C61" s="601" t="s">
        <v>5976</v>
      </c>
      <c r="D61" s="654" t="s">
        <v>6562</v>
      </c>
      <c r="E61" s="645"/>
      <c r="F61" s="620">
        <v>36680000</v>
      </c>
    </row>
    <row r="62" spans="1:6" ht="15" x14ac:dyDescent="0.3">
      <c r="A62" s="600">
        <v>46043</v>
      </c>
      <c r="B62" s="126" t="s">
        <v>6561</v>
      </c>
      <c r="C62" s="601" t="s">
        <v>5976</v>
      </c>
      <c r="D62" s="679" t="s">
        <v>6563</v>
      </c>
      <c r="E62" s="645"/>
      <c r="F62" s="611">
        <v>4034800</v>
      </c>
    </row>
    <row r="63" spans="1:6" ht="15" x14ac:dyDescent="0.3">
      <c r="A63" s="600">
        <v>46043</v>
      </c>
      <c r="B63" s="126" t="s">
        <v>6561</v>
      </c>
      <c r="C63" s="601" t="s">
        <v>5976</v>
      </c>
      <c r="D63" s="655" t="s">
        <v>6564</v>
      </c>
      <c r="E63" s="356"/>
      <c r="F63" s="612">
        <v>2900</v>
      </c>
    </row>
    <row r="64" spans="1:6" ht="15" x14ac:dyDescent="0.3">
      <c r="A64" s="600">
        <v>46043</v>
      </c>
      <c r="B64" s="126" t="s">
        <v>6565</v>
      </c>
      <c r="C64" s="601" t="s">
        <v>5976</v>
      </c>
      <c r="D64" s="655" t="s">
        <v>6566</v>
      </c>
      <c r="E64" s="356"/>
      <c r="F64" s="612">
        <v>124399970</v>
      </c>
    </row>
    <row r="65" spans="1:6" ht="15" x14ac:dyDescent="0.3">
      <c r="A65" s="600">
        <v>46043</v>
      </c>
      <c r="B65" s="126" t="s">
        <v>6565</v>
      </c>
      <c r="C65" s="601" t="s">
        <v>5976</v>
      </c>
      <c r="D65" s="655" t="s">
        <v>6567</v>
      </c>
      <c r="E65" s="356"/>
      <c r="F65" s="612">
        <v>13683997</v>
      </c>
    </row>
    <row r="66" spans="1:6" ht="15" x14ac:dyDescent="0.3">
      <c r="A66" s="600">
        <v>46043</v>
      </c>
      <c r="B66" s="126" t="s">
        <v>6565</v>
      </c>
      <c r="C66" s="601" t="s">
        <v>5976</v>
      </c>
      <c r="D66" s="655" t="s">
        <v>6568</v>
      </c>
      <c r="E66" s="356"/>
      <c r="F66" s="612">
        <v>-4975999</v>
      </c>
    </row>
    <row r="67" spans="1:6" ht="15" x14ac:dyDescent="0.3">
      <c r="A67" s="600">
        <v>46043</v>
      </c>
      <c r="B67" s="126" t="s">
        <v>6565</v>
      </c>
      <c r="C67" s="601" t="s">
        <v>5976</v>
      </c>
      <c r="D67" s="655" t="s">
        <v>6394</v>
      </c>
      <c r="E67" s="356"/>
      <c r="F67" s="612">
        <v>2900</v>
      </c>
    </row>
    <row r="68" spans="1:6" ht="15" x14ac:dyDescent="0.3">
      <c r="A68" s="600">
        <v>46027</v>
      </c>
      <c r="B68" s="126" t="s">
        <v>6569</v>
      </c>
      <c r="C68" s="650" t="s">
        <v>5976</v>
      </c>
      <c r="D68" s="680" t="s">
        <v>6570</v>
      </c>
      <c r="E68" s="646"/>
      <c r="F68" s="567">
        <v>102500</v>
      </c>
    </row>
    <row r="69" spans="1:6" ht="15" x14ac:dyDescent="0.3">
      <c r="A69" s="600">
        <v>46028</v>
      </c>
      <c r="B69" s="126" t="s">
        <v>6467</v>
      </c>
      <c r="C69" s="126" t="s">
        <v>5976</v>
      </c>
      <c r="D69" s="636" t="s">
        <v>6571</v>
      </c>
      <c r="E69" s="646"/>
      <c r="F69" s="647">
        <v>4410000</v>
      </c>
    </row>
    <row r="70" spans="1:6" ht="15" x14ac:dyDescent="0.3">
      <c r="A70" s="600">
        <v>46028</v>
      </c>
      <c r="B70" s="126" t="s">
        <v>6467</v>
      </c>
      <c r="C70" s="126" t="s">
        <v>5976</v>
      </c>
      <c r="D70" s="636" t="s">
        <v>2372</v>
      </c>
      <c r="E70" s="646"/>
      <c r="F70" s="647">
        <v>2500</v>
      </c>
    </row>
    <row r="71" spans="1:6" ht="15" x14ac:dyDescent="0.3">
      <c r="A71" s="600">
        <v>46028</v>
      </c>
      <c r="B71" s="126" t="s">
        <v>6572</v>
      </c>
      <c r="C71" s="126" t="s">
        <v>5976</v>
      </c>
      <c r="D71" s="561" t="s">
        <v>6573</v>
      </c>
      <c r="E71" s="646"/>
      <c r="F71" s="356">
        <v>22000</v>
      </c>
    </row>
    <row r="72" spans="1:6" ht="15" x14ac:dyDescent="0.3">
      <c r="A72" s="600">
        <v>46034</v>
      </c>
      <c r="B72" s="126" t="s">
        <v>6470</v>
      </c>
      <c r="C72" s="126" t="s">
        <v>5976</v>
      </c>
      <c r="D72" s="637" t="s">
        <v>6574</v>
      </c>
      <c r="E72" s="647"/>
      <c r="F72" s="681">
        <v>64000</v>
      </c>
    </row>
    <row r="73" spans="1:6" ht="15" x14ac:dyDescent="0.3">
      <c r="A73" s="600">
        <v>46037</v>
      </c>
      <c r="B73" s="126" t="s">
        <v>6473</v>
      </c>
      <c r="C73" s="126" t="s">
        <v>5976</v>
      </c>
      <c r="D73" s="637" t="s">
        <v>6575</v>
      </c>
      <c r="E73" s="647"/>
      <c r="F73" s="647">
        <v>80002</v>
      </c>
    </row>
    <row r="74" spans="1:6" ht="15" x14ac:dyDescent="0.3">
      <c r="A74" s="600">
        <v>46037</v>
      </c>
      <c r="B74" s="126" t="s">
        <v>6473</v>
      </c>
      <c r="C74" s="126" t="s">
        <v>5976</v>
      </c>
      <c r="D74" s="637" t="s">
        <v>50</v>
      </c>
      <c r="E74" s="647"/>
      <c r="F74" s="647">
        <v>2500</v>
      </c>
    </row>
    <row r="75" spans="1:6" ht="15" x14ac:dyDescent="0.3">
      <c r="A75" s="600">
        <v>46037</v>
      </c>
      <c r="B75" s="126" t="s">
        <v>6473</v>
      </c>
      <c r="C75" s="126" t="s">
        <v>5976</v>
      </c>
      <c r="D75" s="637" t="s">
        <v>6575</v>
      </c>
      <c r="E75" s="647"/>
      <c r="F75" s="647">
        <v>80000</v>
      </c>
    </row>
    <row r="76" spans="1:6" ht="15" x14ac:dyDescent="0.3">
      <c r="A76" s="600">
        <v>46037</v>
      </c>
      <c r="B76" s="126" t="s">
        <v>6473</v>
      </c>
      <c r="C76" s="126" t="s">
        <v>5976</v>
      </c>
      <c r="D76" s="637" t="s">
        <v>50</v>
      </c>
      <c r="E76" s="647"/>
      <c r="F76" s="647">
        <v>2500</v>
      </c>
    </row>
    <row r="77" spans="1:6" ht="15" x14ac:dyDescent="0.3">
      <c r="A77" s="600">
        <v>46037</v>
      </c>
      <c r="B77" s="126" t="s">
        <v>6473</v>
      </c>
      <c r="C77" s="126" t="s">
        <v>5976</v>
      </c>
      <c r="D77" s="637" t="s">
        <v>6576</v>
      </c>
      <c r="E77" s="647"/>
      <c r="F77" s="647">
        <v>78000</v>
      </c>
    </row>
    <row r="78" spans="1:6" ht="15" x14ac:dyDescent="0.3">
      <c r="A78" s="600">
        <v>46037</v>
      </c>
      <c r="B78" s="126" t="s">
        <v>6473</v>
      </c>
      <c r="C78" s="126" t="s">
        <v>5976</v>
      </c>
      <c r="D78" s="637" t="s">
        <v>50</v>
      </c>
      <c r="E78" s="647"/>
      <c r="F78" s="647">
        <v>2500</v>
      </c>
    </row>
    <row r="79" spans="1:6" ht="15" x14ac:dyDescent="0.3">
      <c r="A79" s="600">
        <v>46037</v>
      </c>
      <c r="B79" s="126" t="s">
        <v>6473</v>
      </c>
      <c r="C79" s="126" t="s">
        <v>5976</v>
      </c>
      <c r="D79" s="637" t="s">
        <v>6576</v>
      </c>
      <c r="E79" s="647"/>
      <c r="F79" s="647">
        <v>67000</v>
      </c>
    </row>
    <row r="80" spans="1:6" ht="15" x14ac:dyDescent="0.3">
      <c r="A80" s="600">
        <v>46037</v>
      </c>
      <c r="B80" s="126" t="s">
        <v>6473</v>
      </c>
      <c r="C80" s="126" t="s">
        <v>5976</v>
      </c>
      <c r="D80" s="637" t="s">
        <v>50</v>
      </c>
      <c r="E80" s="647"/>
      <c r="F80" s="647">
        <v>2500</v>
      </c>
    </row>
    <row r="81" spans="1:6" ht="15" x14ac:dyDescent="0.3">
      <c r="A81" s="600">
        <v>46039</v>
      </c>
      <c r="B81" s="126" t="s">
        <v>6476</v>
      </c>
      <c r="C81" s="126" t="s">
        <v>5976</v>
      </c>
      <c r="D81" s="637" t="s">
        <v>6577</v>
      </c>
      <c r="E81" s="647"/>
      <c r="F81" s="621">
        <v>53000</v>
      </c>
    </row>
    <row r="82" spans="1:6" ht="15" x14ac:dyDescent="0.3">
      <c r="A82" s="600">
        <v>46039</v>
      </c>
      <c r="B82" s="126" t="s">
        <v>6476</v>
      </c>
      <c r="C82" s="126" t="s">
        <v>5976</v>
      </c>
      <c r="D82" s="637" t="s">
        <v>6479</v>
      </c>
      <c r="E82" s="647"/>
      <c r="F82" s="621">
        <v>304800</v>
      </c>
    </row>
    <row r="83" spans="1:6" ht="15" x14ac:dyDescent="0.3">
      <c r="A83" s="600">
        <v>46042</v>
      </c>
      <c r="B83" s="126" t="s">
        <v>6483</v>
      </c>
      <c r="C83" s="126" t="s">
        <v>5976</v>
      </c>
      <c r="D83" s="615" t="s">
        <v>6578</v>
      </c>
      <c r="E83" s="647"/>
      <c r="F83" s="647">
        <v>27000</v>
      </c>
    </row>
    <row r="84" spans="1:6" ht="15" x14ac:dyDescent="0.3">
      <c r="A84" s="600">
        <v>46042</v>
      </c>
      <c r="B84" s="126" t="s">
        <v>6483</v>
      </c>
      <c r="C84" s="126" t="s">
        <v>5976</v>
      </c>
      <c r="D84" s="615" t="s">
        <v>2372</v>
      </c>
      <c r="E84" s="647"/>
      <c r="F84" s="647">
        <v>2500</v>
      </c>
    </row>
    <row r="85" spans="1:6" ht="15" x14ac:dyDescent="0.3">
      <c r="A85" s="600">
        <v>46042</v>
      </c>
      <c r="B85" s="126" t="s">
        <v>6483</v>
      </c>
      <c r="C85" s="601" t="s">
        <v>5976</v>
      </c>
      <c r="D85" s="638" t="s">
        <v>6579</v>
      </c>
      <c r="E85" s="647"/>
      <c r="F85" s="647">
        <v>99000</v>
      </c>
    </row>
    <row r="86" spans="1:6" ht="15" x14ac:dyDescent="0.3">
      <c r="A86" s="600">
        <v>46042</v>
      </c>
      <c r="B86" s="126" t="s">
        <v>6483</v>
      </c>
      <c r="C86" s="126" t="s">
        <v>5976</v>
      </c>
      <c r="D86" s="639" t="s">
        <v>6580</v>
      </c>
      <c r="E86" s="647"/>
      <c r="F86" s="647">
        <v>119000</v>
      </c>
    </row>
    <row r="87" spans="1:6" ht="15" x14ac:dyDescent="0.3">
      <c r="A87" s="600">
        <v>46042</v>
      </c>
      <c r="B87" s="126" t="s">
        <v>6483</v>
      </c>
      <c r="C87" s="126" t="s">
        <v>5976</v>
      </c>
      <c r="D87" s="639" t="s">
        <v>6581</v>
      </c>
      <c r="E87" s="647"/>
      <c r="F87" s="647">
        <v>77064</v>
      </c>
    </row>
    <row r="88" spans="1:6" ht="15" x14ac:dyDescent="0.3">
      <c r="A88" s="600">
        <v>46044</v>
      </c>
      <c r="B88" s="126" t="s">
        <v>6557</v>
      </c>
      <c r="C88" s="640" t="s">
        <v>5976</v>
      </c>
      <c r="D88" s="639" t="s">
        <v>6582</v>
      </c>
      <c r="E88" s="647"/>
      <c r="F88" s="647">
        <v>80000</v>
      </c>
    </row>
    <row r="89" spans="1:6" ht="15" x14ac:dyDescent="0.3">
      <c r="A89" s="127">
        <v>46044</v>
      </c>
      <c r="B89" s="132" t="s">
        <v>6557</v>
      </c>
      <c r="C89" s="658" t="s">
        <v>5976</v>
      </c>
      <c r="D89" s="644" t="s">
        <v>4980</v>
      </c>
      <c r="E89" s="631"/>
      <c r="F89" s="631">
        <v>2500</v>
      </c>
    </row>
  </sheetData>
  <autoFilter ref="A2:F2" xr:uid="{AEFAEE9E-74C7-4772-89E5-0BB19469BE43}"/>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AA97B-5114-4517-A1F8-D69F38436C9B}">
  <dimension ref="A2:F94"/>
  <sheetViews>
    <sheetView workbookViewId="0">
      <pane xSplit="3" ySplit="2" topLeftCell="D80" activePane="bottomRight" state="frozen"/>
      <selection pane="topRight" activeCell="D1" sqref="D1"/>
      <selection pane="bottomLeft" activeCell="A3" sqref="A3"/>
      <selection pane="bottomRight" activeCell="D98" sqref="D98"/>
    </sheetView>
  </sheetViews>
  <sheetFormatPr defaultRowHeight="14.4" x14ac:dyDescent="0.3"/>
  <cols>
    <col min="1" max="3" width="13.88671875" style="83" customWidth="1"/>
    <col min="4" max="4" width="111" style="83" customWidth="1"/>
    <col min="5" max="6" width="18.88671875" style="468" customWidth="1"/>
    <col min="7" max="16384" width="8.88671875" style="83"/>
  </cols>
  <sheetData>
    <row r="2" spans="1:6" ht="15.6" x14ac:dyDescent="0.3">
      <c r="A2" s="379" t="s">
        <v>0</v>
      </c>
      <c r="B2" s="2" t="s">
        <v>1</v>
      </c>
      <c r="C2" s="2" t="s">
        <v>2</v>
      </c>
      <c r="D2" s="2" t="s">
        <v>3</v>
      </c>
      <c r="E2" s="396" t="s">
        <v>4</v>
      </c>
      <c r="F2" s="397" t="s">
        <v>5</v>
      </c>
    </row>
    <row r="3" spans="1:6" ht="15" x14ac:dyDescent="0.3">
      <c r="A3" s="315">
        <v>45973</v>
      </c>
      <c r="B3" s="38" t="s">
        <v>5802</v>
      </c>
      <c r="C3" s="38" t="s">
        <v>5803</v>
      </c>
      <c r="D3" s="45" t="s">
        <v>5804</v>
      </c>
      <c r="E3" s="317"/>
      <c r="F3" s="318">
        <v>6179750</v>
      </c>
    </row>
    <row r="4" spans="1:6" ht="15" x14ac:dyDescent="0.3">
      <c r="A4" s="230">
        <v>45973</v>
      </c>
      <c r="B4" s="11" t="s">
        <v>5802</v>
      </c>
      <c r="C4" s="11" t="s">
        <v>5803</v>
      </c>
      <c r="D4" s="17" t="s">
        <v>650</v>
      </c>
      <c r="E4" s="282"/>
      <c r="F4" s="283">
        <v>2500</v>
      </c>
    </row>
    <row r="5" spans="1:6" ht="15" x14ac:dyDescent="0.3">
      <c r="A5" s="230">
        <v>45943</v>
      </c>
      <c r="B5" s="11" t="s">
        <v>4951</v>
      </c>
      <c r="C5" s="11" t="s">
        <v>6018</v>
      </c>
      <c r="D5" s="28" t="s">
        <v>6019</v>
      </c>
      <c r="E5" s="293"/>
      <c r="F5" s="289">
        <v>20000</v>
      </c>
    </row>
    <row r="6" spans="1:6" ht="15" x14ac:dyDescent="0.3">
      <c r="A6" s="230">
        <v>45944</v>
      </c>
      <c r="B6" s="11" t="s">
        <v>4956</v>
      </c>
      <c r="C6" s="11" t="s">
        <v>6018</v>
      </c>
      <c r="D6" s="28" t="s">
        <v>6020</v>
      </c>
      <c r="E6" s="293"/>
      <c r="F6" s="289">
        <v>77000</v>
      </c>
    </row>
    <row r="7" spans="1:6" ht="15" x14ac:dyDescent="0.3">
      <c r="A7" s="230">
        <v>45946</v>
      </c>
      <c r="B7" s="11" t="s">
        <v>6021</v>
      </c>
      <c r="C7" s="11" t="s">
        <v>6018</v>
      </c>
      <c r="D7" s="28" t="s">
        <v>6022</v>
      </c>
      <c r="E7" s="293"/>
      <c r="F7" s="289">
        <v>63900000</v>
      </c>
    </row>
    <row r="8" spans="1:6" ht="15" x14ac:dyDescent="0.3">
      <c r="A8" s="230">
        <v>45946</v>
      </c>
      <c r="B8" s="11" t="s">
        <v>6021</v>
      </c>
      <c r="C8" s="11" t="s">
        <v>6018</v>
      </c>
      <c r="D8" s="28" t="s">
        <v>6023</v>
      </c>
      <c r="E8" s="293"/>
      <c r="F8" s="289">
        <v>7029000</v>
      </c>
    </row>
    <row r="9" spans="1:6" ht="15" x14ac:dyDescent="0.3">
      <c r="A9" s="230">
        <v>45946</v>
      </c>
      <c r="B9" s="11" t="s">
        <v>6021</v>
      </c>
      <c r="C9" s="11" t="s">
        <v>6018</v>
      </c>
      <c r="D9" s="28" t="s">
        <v>6024</v>
      </c>
      <c r="E9" s="293"/>
      <c r="F9" s="289">
        <v>2900</v>
      </c>
    </row>
    <row r="10" spans="1:6" ht="15" x14ac:dyDescent="0.3">
      <c r="A10" s="230">
        <v>45947</v>
      </c>
      <c r="B10" s="11" t="s">
        <v>5125</v>
      </c>
      <c r="C10" s="11" t="s">
        <v>6018</v>
      </c>
      <c r="D10" s="28" t="s">
        <v>5126</v>
      </c>
      <c r="E10" s="293"/>
      <c r="F10" s="289">
        <v>31838</v>
      </c>
    </row>
    <row r="11" spans="1:6" ht="15" x14ac:dyDescent="0.3">
      <c r="A11" s="230">
        <v>45947</v>
      </c>
      <c r="B11" s="11" t="s">
        <v>5125</v>
      </c>
      <c r="C11" s="11" t="s">
        <v>6018</v>
      </c>
      <c r="D11" s="28" t="s">
        <v>6025</v>
      </c>
      <c r="E11" s="293"/>
      <c r="F11" s="289">
        <v>12000</v>
      </c>
    </row>
    <row r="12" spans="1:6" ht="15" x14ac:dyDescent="0.3">
      <c r="A12" s="230">
        <v>45947</v>
      </c>
      <c r="B12" s="11" t="s">
        <v>5128</v>
      </c>
      <c r="C12" s="11" t="s">
        <v>6018</v>
      </c>
      <c r="D12" s="28" t="s">
        <v>6026</v>
      </c>
      <c r="E12" s="293"/>
      <c r="F12" s="289">
        <v>40000</v>
      </c>
    </row>
    <row r="13" spans="1:6" ht="15" x14ac:dyDescent="0.3">
      <c r="A13" s="230">
        <v>45947</v>
      </c>
      <c r="B13" s="11" t="s">
        <v>5128</v>
      </c>
      <c r="C13" s="11" t="s">
        <v>6018</v>
      </c>
      <c r="D13" s="28" t="s">
        <v>6027</v>
      </c>
      <c r="E13" s="293"/>
      <c r="F13" s="289">
        <v>40000</v>
      </c>
    </row>
    <row r="14" spans="1:6" ht="15" x14ac:dyDescent="0.3">
      <c r="A14" s="230">
        <v>45947</v>
      </c>
      <c r="B14" s="11" t="s">
        <v>4963</v>
      </c>
      <c r="C14" s="11" t="s">
        <v>6018</v>
      </c>
      <c r="D14" s="28" t="s">
        <v>6028</v>
      </c>
      <c r="E14" s="293"/>
      <c r="F14" s="289">
        <v>1450000</v>
      </c>
    </row>
    <row r="15" spans="1:6" ht="15" x14ac:dyDescent="0.3">
      <c r="A15" s="230">
        <v>45947</v>
      </c>
      <c r="B15" s="11" t="s">
        <v>4963</v>
      </c>
      <c r="C15" s="11" t="s">
        <v>6018</v>
      </c>
      <c r="D15" s="28" t="s">
        <v>6029</v>
      </c>
      <c r="E15" s="293"/>
      <c r="F15" s="289">
        <v>-29000</v>
      </c>
    </row>
    <row r="16" spans="1:6" ht="15" x14ac:dyDescent="0.3">
      <c r="A16" s="230">
        <v>45947</v>
      </c>
      <c r="B16" s="11" t="s">
        <v>4963</v>
      </c>
      <c r="C16" s="11" t="s">
        <v>6018</v>
      </c>
      <c r="D16" s="28" t="s">
        <v>6030</v>
      </c>
      <c r="E16" s="293"/>
      <c r="F16" s="289">
        <v>135120</v>
      </c>
    </row>
    <row r="17" spans="1:6" ht="15" x14ac:dyDescent="0.3">
      <c r="A17" s="230">
        <v>45947</v>
      </c>
      <c r="B17" s="11" t="s">
        <v>4963</v>
      </c>
      <c r="C17" s="11" t="s">
        <v>6018</v>
      </c>
      <c r="D17" s="28" t="s">
        <v>6031</v>
      </c>
      <c r="E17" s="293"/>
      <c r="F17" s="289">
        <v>135120</v>
      </c>
    </row>
    <row r="18" spans="1:6" ht="15" x14ac:dyDescent="0.3">
      <c r="A18" s="230">
        <v>45947</v>
      </c>
      <c r="B18" s="11" t="s">
        <v>4963</v>
      </c>
      <c r="C18" s="11" t="s">
        <v>6018</v>
      </c>
      <c r="D18" s="28" t="s">
        <v>981</v>
      </c>
      <c r="E18" s="293"/>
      <c r="F18" s="289">
        <v>2500</v>
      </c>
    </row>
    <row r="19" spans="1:6" ht="15" x14ac:dyDescent="0.3">
      <c r="A19" s="230">
        <v>45954</v>
      </c>
      <c r="B19" s="11" t="s">
        <v>6032</v>
      </c>
      <c r="C19" s="11" t="s">
        <v>6018</v>
      </c>
      <c r="D19" s="28" t="s">
        <v>6033</v>
      </c>
      <c r="E19" s="293"/>
      <c r="F19" s="289">
        <v>117940</v>
      </c>
    </row>
    <row r="20" spans="1:6" ht="15" x14ac:dyDescent="0.3">
      <c r="A20" s="230">
        <v>45954</v>
      </c>
      <c r="B20" s="11" t="s">
        <v>6032</v>
      </c>
      <c r="C20" s="11" t="s">
        <v>6018</v>
      </c>
      <c r="D20" s="28" t="s">
        <v>6034</v>
      </c>
      <c r="E20" s="293"/>
      <c r="F20" s="289">
        <v>27000</v>
      </c>
    </row>
    <row r="21" spans="1:6" ht="15" x14ac:dyDescent="0.3">
      <c r="A21" s="230">
        <v>45954</v>
      </c>
      <c r="B21" s="11" t="s">
        <v>6032</v>
      </c>
      <c r="C21" s="11" t="s">
        <v>6018</v>
      </c>
      <c r="D21" s="28" t="s">
        <v>404</v>
      </c>
      <c r="E21" s="293"/>
      <c r="F21" s="289">
        <v>87000</v>
      </c>
    </row>
    <row r="22" spans="1:6" ht="15" x14ac:dyDescent="0.3">
      <c r="A22" s="230">
        <v>45954</v>
      </c>
      <c r="B22" s="11" t="s">
        <v>6032</v>
      </c>
      <c r="C22" s="11" t="s">
        <v>6018</v>
      </c>
      <c r="D22" s="28" t="s">
        <v>6035</v>
      </c>
      <c r="E22" s="293"/>
      <c r="F22" s="289">
        <v>720000</v>
      </c>
    </row>
    <row r="23" spans="1:6" ht="15" x14ac:dyDescent="0.3">
      <c r="A23" s="230">
        <v>45954</v>
      </c>
      <c r="B23" s="11" t="s">
        <v>5132</v>
      </c>
      <c r="C23" s="11" t="s">
        <v>6018</v>
      </c>
      <c r="D23" s="28" t="s">
        <v>5134</v>
      </c>
      <c r="E23" s="293"/>
      <c r="F23" s="289">
        <v>123500</v>
      </c>
    </row>
    <row r="24" spans="1:6" ht="15" x14ac:dyDescent="0.3">
      <c r="A24" s="230">
        <v>45957</v>
      </c>
      <c r="B24" s="11" t="s">
        <v>5403</v>
      </c>
      <c r="C24" s="11" t="s">
        <v>6018</v>
      </c>
      <c r="D24" s="28" t="s">
        <v>6036</v>
      </c>
      <c r="E24" s="293"/>
      <c r="F24" s="289">
        <v>413070</v>
      </c>
    </row>
    <row r="25" spans="1:6" ht="15" x14ac:dyDescent="0.3">
      <c r="A25" s="230">
        <v>45957</v>
      </c>
      <c r="B25" s="11" t="s">
        <v>5403</v>
      </c>
      <c r="C25" s="11" t="s">
        <v>6018</v>
      </c>
      <c r="D25" s="28" t="s">
        <v>981</v>
      </c>
      <c r="E25" s="293"/>
      <c r="F25" s="289">
        <v>2500</v>
      </c>
    </row>
    <row r="26" spans="1:6" ht="15" x14ac:dyDescent="0.3">
      <c r="A26" s="230">
        <v>45957</v>
      </c>
      <c r="B26" s="11" t="s">
        <v>5411</v>
      </c>
      <c r="C26" s="11" t="s">
        <v>6018</v>
      </c>
      <c r="D26" s="28" t="s">
        <v>6037</v>
      </c>
      <c r="E26" s="293"/>
      <c r="F26" s="289">
        <v>1450000</v>
      </c>
    </row>
    <row r="27" spans="1:6" ht="15" x14ac:dyDescent="0.3">
      <c r="A27" s="230">
        <v>45957</v>
      </c>
      <c r="B27" s="11" t="s">
        <v>5411</v>
      </c>
      <c r="C27" s="11" t="s">
        <v>6018</v>
      </c>
      <c r="D27" s="28" t="s">
        <v>6038</v>
      </c>
      <c r="E27" s="293"/>
      <c r="F27" s="289">
        <v>-29000</v>
      </c>
    </row>
    <row r="28" spans="1:6" ht="15" x14ac:dyDescent="0.3">
      <c r="A28" s="230">
        <v>45957</v>
      </c>
      <c r="B28" s="11" t="s">
        <v>5411</v>
      </c>
      <c r="C28" s="11" t="s">
        <v>6018</v>
      </c>
      <c r="D28" s="28" t="s">
        <v>981</v>
      </c>
      <c r="E28" s="293"/>
      <c r="F28" s="289">
        <v>2500</v>
      </c>
    </row>
    <row r="29" spans="1:6" ht="15" x14ac:dyDescent="0.3">
      <c r="A29" s="230">
        <v>45960</v>
      </c>
      <c r="B29" s="11" t="s">
        <v>5455</v>
      </c>
      <c r="C29" s="11" t="s">
        <v>6018</v>
      </c>
      <c r="D29" s="280" t="s">
        <v>6039</v>
      </c>
      <c r="E29" s="293"/>
      <c r="F29" s="283">
        <v>532500</v>
      </c>
    </row>
    <row r="30" spans="1:6" ht="15" x14ac:dyDescent="0.3">
      <c r="A30" s="230">
        <v>45960</v>
      </c>
      <c r="B30" s="11" t="s">
        <v>5455</v>
      </c>
      <c r="C30" s="11" t="s">
        <v>6018</v>
      </c>
      <c r="D30" s="280" t="s">
        <v>2539</v>
      </c>
      <c r="E30" s="293"/>
      <c r="F30" s="283">
        <v>2500</v>
      </c>
    </row>
    <row r="31" spans="1:6" ht="15" x14ac:dyDescent="0.3">
      <c r="A31" s="230">
        <v>45960</v>
      </c>
      <c r="B31" s="11" t="s">
        <v>5455</v>
      </c>
      <c r="C31" s="11" t="s">
        <v>6018</v>
      </c>
      <c r="D31" s="280" t="s">
        <v>6040</v>
      </c>
      <c r="E31" s="293"/>
      <c r="F31" s="283">
        <v>1200000</v>
      </c>
    </row>
    <row r="32" spans="1:6" ht="15" x14ac:dyDescent="0.3">
      <c r="A32" s="230">
        <v>45961</v>
      </c>
      <c r="B32" s="11" t="s">
        <v>6041</v>
      </c>
      <c r="C32" s="11" t="s">
        <v>6018</v>
      </c>
      <c r="D32" s="28" t="s">
        <v>6042</v>
      </c>
      <c r="E32" s="293"/>
      <c r="F32" s="289">
        <v>33000000</v>
      </c>
    </row>
    <row r="33" spans="1:6" ht="15" x14ac:dyDescent="0.3">
      <c r="A33" s="230">
        <v>45961</v>
      </c>
      <c r="B33" s="11" t="s">
        <v>6041</v>
      </c>
      <c r="C33" s="11" t="s">
        <v>6018</v>
      </c>
      <c r="D33" s="28" t="s">
        <v>6043</v>
      </c>
      <c r="E33" s="293"/>
      <c r="F33" s="289">
        <v>3630000</v>
      </c>
    </row>
    <row r="34" spans="1:6" ht="15" x14ac:dyDescent="0.3">
      <c r="A34" s="230">
        <v>45961</v>
      </c>
      <c r="B34" s="11" t="s">
        <v>6041</v>
      </c>
      <c r="C34" s="11" t="s">
        <v>6018</v>
      </c>
      <c r="D34" s="28" t="s">
        <v>6044</v>
      </c>
      <c r="E34" s="293"/>
      <c r="F34" s="283">
        <v>-660000</v>
      </c>
    </row>
    <row r="35" spans="1:6" ht="15" x14ac:dyDescent="0.3">
      <c r="A35" s="230">
        <v>45961</v>
      </c>
      <c r="B35" s="11" t="s">
        <v>6041</v>
      </c>
      <c r="C35" s="11" t="s">
        <v>6018</v>
      </c>
      <c r="D35" s="28" t="s">
        <v>6045</v>
      </c>
      <c r="E35" s="293"/>
      <c r="F35" s="283">
        <v>2900</v>
      </c>
    </row>
    <row r="36" spans="1:6" ht="15.6" x14ac:dyDescent="0.3">
      <c r="A36" s="230">
        <v>45966</v>
      </c>
      <c r="B36" s="11" t="s">
        <v>6046</v>
      </c>
      <c r="C36" s="253" t="s">
        <v>6018</v>
      </c>
      <c r="D36" s="258" t="s">
        <v>6047</v>
      </c>
      <c r="E36" s="310"/>
      <c r="F36" s="311">
        <v>5337000</v>
      </c>
    </row>
    <row r="37" spans="1:6" ht="15.6" x14ac:dyDescent="0.3">
      <c r="A37" s="230">
        <v>45966</v>
      </c>
      <c r="B37" s="11" t="s">
        <v>6046</v>
      </c>
      <c r="C37" s="253" t="s">
        <v>6018</v>
      </c>
      <c r="D37" s="258" t="s">
        <v>6048</v>
      </c>
      <c r="E37" s="310"/>
      <c r="F37" s="311">
        <v>587070</v>
      </c>
    </row>
    <row r="38" spans="1:6" ht="15.6" x14ac:dyDescent="0.3">
      <c r="A38" s="230">
        <v>45966</v>
      </c>
      <c r="B38" s="11" t="s">
        <v>6046</v>
      </c>
      <c r="C38" s="253" t="s">
        <v>6018</v>
      </c>
      <c r="D38" s="258" t="s">
        <v>6049</v>
      </c>
      <c r="E38" s="310"/>
      <c r="F38" s="311">
        <v>2900</v>
      </c>
    </row>
    <row r="39" spans="1:6" ht="15.6" x14ac:dyDescent="0.3">
      <c r="A39" s="230">
        <v>45968</v>
      </c>
      <c r="B39" s="11" t="s">
        <v>6050</v>
      </c>
      <c r="C39" s="253" t="s">
        <v>6018</v>
      </c>
      <c r="D39" s="258" t="s">
        <v>6051</v>
      </c>
      <c r="E39" s="310"/>
      <c r="F39" s="311">
        <v>213000</v>
      </c>
    </row>
    <row r="40" spans="1:6" ht="15.6" x14ac:dyDescent="0.3">
      <c r="A40" s="230">
        <v>45968</v>
      </c>
      <c r="B40" s="11" t="s">
        <v>6050</v>
      </c>
      <c r="C40" s="253" t="s">
        <v>6018</v>
      </c>
      <c r="D40" s="258" t="s">
        <v>6052</v>
      </c>
      <c r="E40" s="310"/>
      <c r="F40" s="311">
        <v>138000</v>
      </c>
    </row>
    <row r="41" spans="1:6" ht="15.6" x14ac:dyDescent="0.3">
      <c r="A41" s="230">
        <v>45968</v>
      </c>
      <c r="B41" s="11" t="s">
        <v>6050</v>
      </c>
      <c r="C41" s="253" t="s">
        <v>6018</v>
      </c>
      <c r="D41" s="258" t="s">
        <v>6053</v>
      </c>
      <c r="E41" s="310"/>
      <c r="F41" s="311">
        <v>718000</v>
      </c>
    </row>
    <row r="42" spans="1:6" ht="15" x14ac:dyDescent="0.3">
      <c r="A42" s="230">
        <v>45974</v>
      </c>
      <c r="B42" s="11" t="s">
        <v>6054</v>
      </c>
      <c r="C42" s="15" t="s">
        <v>6018</v>
      </c>
      <c r="D42" s="12" t="s">
        <v>6055</v>
      </c>
      <c r="E42" s="293"/>
      <c r="F42" s="285">
        <v>489558</v>
      </c>
    </row>
    <row r="43" spans="1:6" ht="15" x14ac:dyDescent="0.3">
      <c r="A43" s="230">
        <v>45974</v>
      </c>
      <c r="B43" s="11" t="s">
        <v>6054</v>
      </c>
      <c r="C43" s="15" t="s">
        <v>6018</v>
      </c>
      <c r="D43" s="12" t="s">
        <v>6056</v>
      </c>
      <c r="E43" s="293"/>
      <c r="F43" s="285">
        <v>5897800</v>
      </c>
    </row>
    <row r="44" spans="1:6" ht="15" x14ac:dyDescent="0.3">
      <c r="A44" s="230">
        <v>45974</v>
      </c>
      <c r="B44" s="11" t="s">
        <v>5515</v>
      </c>
      <c r="C44" s="11" t="s">
        <v>6018</v>
      </c>
      <c r="D44" s="280" t="s">
        <v>6057</v>
      </c>
      <c r="E44" s="293"/>
      <c r="F44" s="283">
        <v>31000</v>
      </c>
    </row>
    <row r="45" spans="1:6" ht="15.6" x14ac:dyDescent="0.3">
      <c r="A45" s="230">
        <v>45975</v>
      </c>
      <c r="B45" s="253" t="s">
        <v>5401</v>
      </c>
      <c r="C45" s="253" t="s">
        <v>6018</v>
      </c>
      <c r="D45" s="258" t="s">
        <v>6058</v>
      </c>
      <c r="E45" s="310"/>
      <c r="F45" s="311">
        <v>40000</v>
      </c>
    </row>
    <row r="46" spans="1:6" ht="15.6" x14ac:dyDescent="0.3">
      <c r="A46" s="230">
        <v>45985</v>
      </c>
      <c r="B46" s="11" t="s">
        <v>5892</v>
      </c>
      <c r="C46" s="11" t="s">
        <v>6018</v>
      </c>
      <c r="D46" s="568" t="s">
        <v>6059</v>
      </c>
      <c r="E46" s="569"/>
      <c r="F46" s="311">
        <v>1600000</v>
      </c>
    </row>
    <row r="47" spans="1:6" ht="15.6" x14ac:dyDescent="0.3">
      <c r="A47" s="230">
        <v>45986</v>
      </c>
      <c r="B47" s="11" t="s">
        <v>5898</v>
      </c>
      <c r="C47" s="527" t="s">
        <v>6018</v>
      </c>
      <c r="D47" s="528" t="s">
        <v>6060</v>
      </c>
      <c r="E47" s="569"/>
      <c r="F47" s="289">
        <v>400000</v>
      </c>
    </row>
    <row r="48" spans="1:6" ht="15.6" x14ac:dyDescent="0.3">
      <c r="A48" s="230">
        <v>45986</v>
      </c>
      <c r="B48" s="11" t="s">
        <v>5898</v>
      </c>
      <c r="C48" s="527" t="s">
        <v>6018</v>
      </c>
      <c r="D48" s="528" t="s">
        <v>2372</v>
      </c>
      <c r="E48" s="569"/>
      <c r="F48" s="289">
        <v>2500</v>
      </c>
    </row>
    <row r="49" spans="1:6" ht="15.6" x14ac:dyDescent="0.3">
      <c r="A49" s="230">
        <v>45987</v>
      </c>
      <c r="B49" s="11" t="s">
        <v>5729</v>
      </c>
      <c r="C49" s="253" t="s">
        <v>6018</v>
      </c>
      <c r="D49" s="258" t="s">
        <v>6061</v>
      </c>
      <c r="E49" s="310"/>
      <c r="F49" s="311">
        <v>6176000</v>
      </c>
    </row>
    <row r="50" spans="1:6" ht="15.6" x14ac:dyDescent="0.3">
      <c r="A50" s="230">
        <v>45987</v>
      </c>
      <c r="B50" s="11" t="s">
        <v>5729</v>
      </c>
      <c r="C50" s="253" t="s">
        <v>6018</v>
      </c>
      <c r="D50" s="258" t="s">
        <v>210</v>
      </c>
      <c r="E50" s="310"/>
      <c r="F50" s="311">
        <v>2500</v>
      </c>
    </row>
    <row r="51" spans="1:6" ht="15.6" x14ac:dyDescent="0.3">
      <c r="A51" s="230">
        <v>45987</v>
      </c>
      <c r="B51" s="11" t="s">
        <v>5729</v>
      </c>
      <c r="C51" s="253" t="s">
        <v>6018</v>
      </c>
      <c r="D51" s="258" t="s">
        <v>6062</v>
      </c>
      <c r="E51" s="310"/>
      <c r="F51" s="311">
        <v>650000</v>
      </c>
    </row>
    <row r="52" spans="1:6" ht="15.6" x14ac:dyDescent="0.3">
      <c r="A52" s="230">
        <v>45987</v>
      </c>
      <c r="B52" s="11" t="s">
        <v>5729</v>
      </c>
      <c r="C52" s="253" t="s">
        <v>6018</v>
      </c>
      <c r="D52" s="258" t="s">
        <v>210</v>
      </c>
      <c r="E52" s="310"/>
      <c r="F52" s="311">
        <v>2500</v>
      </c>
    </row>
    <row r="53" spans="1:6" ht="15.6" x14ac:dyDescent="0.3">
      <c r="A53" s="230">
        <v>45987</v>
      </c>
      <c r="B53" s="11" t="s">
        <v>5729</v>
      </c>
      <c r="C53" s="253" t="s">
        <v>6018</v>
      </c>
      <c r="D53" s="258" t="s">
        <v>6063</v>
      </c>
      <c r="E53" s="310"/>
      <c r="F53" s="311">
        <v>497805</v>
      </c>
    </row>
    <row r="54" spans="1:6" ht="15.6" x14ac:dyDescent="0.3">
      <c r="A54" s="230">
        <v>45987</v>
      </c>
      <c r="B54" s="11" t="s">
        <v>5729</v>
      </c>
      <c r="C54" s="253" t="s">
        <v>6018</v>
      </c>
      <c r="D54" s="258" t="s">
        <v>6064</v>
      </c>
      <c r="E54" s="310"/>
      <c r="F54" s="311">
        <v>305525</v>
      </c>
    </row>
    <row r="55" spans="1:6" ht="15.6" x14ac:dyDescent="0.3">
      <c r="A55" s="230">
        <v>45987</v>
      </c>
      <c r="B55" s="11" t="s">
        <v>5729</v>
      </c>
      <c r="C55" s="253" t="s">
        <v>6018</v>
      </c>
      <c r="D55" s="258" t="s">
        <v>210</v>
      </c>
      <c r="E55" s="310"/>
      <c r="F55" s="311">
        <v>2500</v>
      </c>
    </row>
    <row r="56" spans="1:6" ht="15" x14ac:dyDescent="0.3">
      <c r="A56" s="230">
        <v>45987</v>
      </c>
      <c r="B56" s="11" t="s">
        <v>6065</v>
      </c>
      <c r="C56" s="11" t="s">
        <v>6018</v>
      </c>
      <c r="D56" s="28" t="s">
        <v>6066</v>
      </c>
      <c r="E56" s="293"/>
      <c r="F56" s="290">
        <v>12240000</v>
      </c>
    </row>
    <row r="57" spans="1:6" ht="15" x14ac:dyDescent="0.3">
      <c r="A57" s="230">
        <v>45987</v>
      </c>
      <c r="B57" s="11" t="s">
        <v>6065</v>
      </c>
      <c r="C57" s="11" t="s">
        <v>6067</v>
      </c>
      <c r="D57" s="28" t="s">
        <v>6068</v>
      </c>
      <c r="E57" s="293"/>
      <c r="F57" s="290">
        <v>2900</v>
      </c>
    </row>
    <row r="58" spans="1:6" ht="15" x14ac:dyDescent="0.3">
      <c r="A58" s="230">
        <v>45987</v>
      </c>
      <c r="B58" s="11" t="s">
        <v>6069</v>
      </c>
      <c r="C58" s="11" t="s">
        <v>6018</v>
      </c>
      <c r="D58" s="28" t="s">
        <v>6070</v>
      </c>
      <c r="E58" s="293"/>
      <c r="F58" s="290">
        <v>6179750</v>
      </c>
    </row>
    <row r="59" spans="1:6" ht="15" x14ac:dyDescent="0.3">
      <c r="A59" s="230">
        <v>45987</v>
      </c>
      <c r="B59" s="11" t="s">
        <v>6069</v>
      </c>
      <c r="C59" s="11" t="s">
        <v>6067</v>
      </c>
      <c r="D59" s="28" t="s">
        <v>6071</v>
      </c>
      <c r="E59" s="293"/>
      <c r="F59" s="290">
        <v>2900</v>
      </c>
    </row>
    <row r="60" spans="1:6" ht="15" x14ac:dyDescent="0.3">
      <c r="A60" s="230">
        <v>45988</v>
      </c>
      <c r="B60" s="11" t="s">
        <v>5733</v>
      </c>
      <c r="C60" s="11" t="s">
        <v>6018</v>
      </c>
      <c r="D60" s="280" t="s">
        <v>6072</v>
      </c>
      <c r="E60" s="293"/>
      <c r="F60" s="283">
        <v>1090000</v>
      </c>
    </row>
    <row r="61" spans="1:6" ht="15" x14ac:dyDescent="0.3">
      <c r="A61" s="230">
        <v>45988</v>
      </c>
      <c r="B61" s="11" t="s">
        <v>5733</v>
      </c>
      <c r="C61" s="11" t="s">
        <v>6018</v>
      </c>
      <c r="D61" s="280" t="s">
        <v>6073</v>
      </c>
      <c r="E61" s="293"/>
      <c r="F61" s="283">
        <v>202500</v>
      </c>
    </row>
    <row r="62" spans="1:6" ht="15" x14ac:dyDescent="0.3">
      <c r="A62" s="230">
        <v>45988</v>
      </c>
      <c r="B62" s="11" t="s">
        <v>5733</v>
      </c>
      <c r="C62" s="11" t="s">
        <v>6018</v>
      </c>
      <c r="D62" s="280" t="s">
        <v>6074</v>
      </c>
      <c r="E62" s="293"/>
      <c r="F62" s="283">
        <v>16007</v>
      </c>
    </row>
    <row r="63" spans="1:6" ht="15" x14ac:dyDescent="0.3">
      <c r="A63" s="105">
        <v>45988</v>
      </c>
      <c r="B63" s="11" t="s">
        <v>5733</v>
      </c>
      <c r="C63" s="11" t="s">
        <v>6018</v>
      </c>
      <c r="D63" s="280" t="s">
        <v>6075</v>
      </c>
      <c r="E63" s="293"/>
      <c r="F63" s="283">
        <v>203000</v>
      </c>
    </row>
    <row r="64" spans="1:6" ht="15" x14ac:dyDescent="0.3">
      <c r="A64" s="105">
        <v>45988</v>
      </c>
      <c r="B64" s="11" t="s">
        <v>5733</v>
      </c>
      <c r="C64" s="11" t="s">
        <v>6018</v>
      </c>
      <c r="D64" s="280" t="s">
        <v>6076</v>
      </c>
      <c r="E64" s="293"/>
      <c r="F64" s="283">
        <v>1302500</v>
      </c>
    </row>
    <row r="65" spans="1:6" ht="15.6" x14ac:dyDescent="0.3">
      <c r="A65" s="105">
        <v>45995</v>
      </c>
      <c r="B65" s="11" t="s">
        <v>6077</v>
      </c>
      <c r="C65" s="253" t="s">
        <v>6018</v>
      </c>
      <c r="D65" s="258" t="s">
        <v>6078</v>
      </c>
      <c r="E65" s="570"/>
      <c r="F65" s="311">
        <v>54250000</v>
      </c>
    </row>
    <row r="66" spans="1:6" ht="15.6" x14ac:dyDescent="0.3">
      <c r="A66" s="105">
        <v>45995</v>
      </c>
      <c r="B66" s="11" t="s">
        <v>6077</v>
      </c>
      <c r="C66" s="253" t="s">
        <v>6018</v>
      </c>
      <c r="D66" s="258" t="s">
        <v>6079</v>
      </c>
      <c r="E66" s="570"/>
      <c r="F66" s="311">
        <v>5967500</v>
      </c>
    </row>
    <row r="67" spans="1:6" ht="15.6" x14ac:dyDescent="0.3">
      <c r="A67" s="105">
        <v>45995</v>
      </c>
      <c r="B67" s="11" t="s">
        <v>6077</v>
      </c>
      <c r="C67" s="253" t="s">
        <v>6018</v>
      </c>
      <c r="D67" s="258" t="s">
        <v>6080</v>
      </c>
      <c r="E67" s="570"/>
      <c r="F67" s="311">
        <v>2900</v>
      </c>
    </row>
    <row r="68" spans="1:6" ht="15.6" x14ac:dyDescent="0.3">
      <c r="A68" s="105">
        <v>46008</v>
      </c>
      <c r="B68" s="11" t="s">
        <v>5749</v>
      </c>
      <c r="C68" s="11" t="s">
        <v>6018</v>
      </c>
      <c r="D68" s="234" t="s">
        <v>6081</v>
      </c>
      <c r="E68" s="503"/>
      <c r="F68" s="290">
        <v>4000000</v>
      </c>
    </row>
    <row r="69" spans="1:6" ht="15.6" x14ac:dyDescent="0.3">
      <c r="A69" s="105">
        <v>46008</v>
      </c>
      <c r="B69" s="11" t="s">
        <v>5749</v>
      </c>
      <c r="C69" s="11" t="s">
        <v>6018</v>
      </c>
      <c r="D69" s="234" t="s">
        <v>6082</v>
      </c>
      <c r="E69" s="503"/>
      <c r="F69" s="290">
        <v>-80000</v>
      </c>
    </row>
    <row r="70" spans="1:6" ht="15.6" x14ac:dyDescent="0.3">
      <c r="A70" s="682">
        <v>46010</v>
      </c>
      <c r="B70" s="683" t="s">
        <v>6383</v>
      </c>
      <c r="C70" s="683" t="s">
        <v>6018</v>
      </c>
      <c r="D70" s="684" t="s">
        <v>6384</v>
      </c>
      <c r="E70" s="500"/>
      <c r="F70" s="500">
        <v>112500</v>
      </c>
    </row>
    <row r="71" spans="1:6" ht="15.6" x14ac:dyDescent="0.3">
      <c r="A71" s="588">
        <v>46015</v>
      </c>
      <c r="B71" s="589" t="s">
        <v>6224</v>
      </c>
      <c r="C71" s="577" t="s">
        <v>6018</v>
      </c>
      <c r="D71" s="589" t="s">
        <v>6385</v>
      </c>
      <c r="E71" s="632"/>
      <c r="F71" s="582">
        <v>1502500</v>
      </c>
    </row>
    <row r="72" spans="1:6" ht="15" x14ac:dyDescent="0.3">
      <c r="A72" s="689">
        <v>46030</v>
      </c>
      <c r="B72" s="690" t="s">
        <v>6583</v>
      </c>
      <c r="C72" s="690" t="s">
        <v>6018</v>
      </c>
      <c r="D72" s="691" t="s">
        <v>6584</v>
      </c>
      <c r="E72" s="693"/>
      <c r="F72" s="694">
        <v>558360000</v>
      </c>
    </row>
    <row r="73" spans="1:6" ht="15" x14ac:dyDescent="0.3">
      <c r="A73" s="685">
        <v>46030</v>
      </c>
      <c r="B73" s="686" t="s">
        <v>6583</v>
      </c>
      <c r="C73" s="686" t="s">
        <v>6018</v>
      </c>
      <c r="D73" s="687" t="s">
        <v>6585</v>
      </c>
      <c r="E73" s="695"/>
      <c r="F73" s="696">
        <v>3000000</v>
      </c>
    </row>
    <row r="74" spans="1:6" ht="15" x14ac:dyDescent="0.3">
      <c r="A74" s="600">
        <v>46031</v>
      </c>
      <c r="B74" s="126" t="s">
        <v>6586</v>
      </c>
      <c r="C74" s="614" t="s">
        <v>6018</v>
      </c>
      <c r="D74" s="653" t="s">
        <v>6587</v>
      </c>
      <c r="E74" s="356"/>
      <c r="F74" s="621">
        <v>167000000</v>
      </c>
    </row>
    <row r="75" spans="1:6" ht="15" x14ac:dyDescent="0.3">
      <c r="A75" s="600">
        <v>46031</v>
      </c>
      <c r="B75" s="126" t="s">
        <v>6586</v>
      </c>
      <c r="C75" s="614" t="s">
        <v>6018</v>
      </c>
      <c r="D75" s="653" t="s">
        <v>6588</v>
      </c>
      <c r="E75" s="356"/>
      <c r="F75" s="621">
        <v>-7145000</v>
      </c>
    </row>
    <row r="76" spans="1:6" ht="15" x14ac:dyDescent="0.3">
      <c r="A76" s="600">
        <v>46031</v>
      </c>
      <c r="B76" s="126" t="s">
        <v>6586</v>
      </c>
      <c r="C76" s="614" t="s">
        <v>6018</v>
      </c>
      <c r="D76" s="653" t="s">
        <v>6589</v>
      </c>
      <c r="E76" s="356"/>
      <c r="F76" s="621">
        <v>2900</v>
      </c>
    </row>
    <row r="77" spans="1:6" ht="15" x14ac:dyDescent="0.3">
      <c r="A77" s="600">
        <v>46031</v>
      </c>
      <c r="B77" s="126" t="s">
        <v>6590</v>
      </c>
      <c r="C77" s="614" t="s">
        <v>6018</v>
      </c>
      <c r="D77" s="653" t="s">
        <v>6591</v>
      </c>
      <c r="E77" s="356"/>
      <c r="F77" s="621">
        <v>46511259.229999997</v>
      </c>
    </row>
    <row r="78" spans="1:6" ht="15" x14ac:dyDescent="0.3">
      <c r="A78" s="600">
        <v>46030</v>
      </c>
      <c r="B78" s="126" t="s">
        <v>6592</v>
      </c>
      <c r="C78" s="650" t="s">
        <v>6018</v>
      </c>
      <c r="D78" s="680" t="s">
        <v>6593</v>
      </c>
      <c r="E78" s="646"/>
      <c r="F78" s="356">
        <v>201500</v>
      </c>
    </row>
    <row r="79" spans="1:6" ht="15" x14ac:dyDescent="0.3">
      <c r="A79" s="600">
        <v>46034</v>
      </c>
      <c r="B79" s="656" t="s">
        <v>6535</v>
      </c>
      <c r="C79" s="650" t="s">
        <v>6018</v>
      </c>
      <c r="D79" s="657" t="s">
        <v>6594</v>
      </c>
      <c r="E79" s="646"/>
      <c r="F79" s="647">
        <v>129500</v>
      </c>
    </row>
    <row r="80" spans="1:6" ht="15" x14ac:dyDescent="0.3">
      <c r="A80" s="600">
        <v>46034</v>
      </c>
      <c r="B80" s="656" t="s">
        <v>6535</v>
      </c>
      <c r="C80" s="650" t="s">
        <v>6018</v>
      </c>
      <c r="D80" s="657" t="s">
        <v>6595</v>
      </c>
      <c r="E80" s="646"/>
      <c r="F80" s="647">
        <v>2500</v>
      </c>
    </row>
    <row r="81" spans="1:6" ht="15" x14ac:dyDescent="0.3">
      <c r="A81" s="600">
        <v>46034</v>
      </c>
      <c r="B81" s="126" t="s">
        <v>6540</v>
      </c>
      <c r="C81" s="126" t="s">
        <v>6018</v>
      </c>
      <c r="D81" s="688" t="s">
        <v>6596</v>
      </c>
      <c r="E81" s="647"/>
      <c r="F81" s="647">
        <v>1000000</v>
      </c>
    </row>
    <row r="82" spans="1:6" ht="15" x14ac:dyDescent="0.3">
      <c r="A82" s="600">
        <v>46034</v>
      </c>
      <c r="B82" s="126" t="s">
        <v>6540</v>
      </c>
      <c r="C82" s="126" t="s">
        <v>6018</v>
      </c>
      <c r="D82" s="688" t="s">
        <v>6457</v>
      </c>
      <c r="E82" s="647"/>
      <c r="F82" s="647">
        <v>2500</v>
      </c>
    </row>
    <row r="83" spans="1:6" ht="15" x14ac:dyDescent="0.3">
      <c r="A83" s="600">
        <v>46037</v>
      </c>
      <c r="B83" s="126" t="s">
        <v>6473</v>
      </c>
      <c r="C83" s="126" t="s">
        <v>6018</v>
      </c>
      <c r="D83" s="688" t="s">
        <v>6597</v>
      </c>
      <c r="E83" s="647"/>
      <c r="F83" s="681">
        <v>38700000</v>
      </c>
    </row>
    <row r="84" spans="1:6" ht="15" x14ac:dyDescent="0.3">
      <c r="A84" s="600">
        <v>46037</v>
      </c>
      <c r="B84" s="126" t="s">
        <v>6473</v>
      </c>
      <c r="C84" s="126" t="s">
        <v>6018</v>
      </c>
      <c r="D84" s="688" t="s">
        <v>50</v>
      </c>
      <c r="E84" s="647"/>
      <c r="F84" s="647">
        <v>6500</v>
      </c>
    </row>
    <row r="85" spans="1:6" ht="15" x14ac:dyDescent="0.3">
      <c r="A85" s="600">
        <v>46037</v>
      </c>
      <c r="B85" s="126" t="s">
        <v>6473</v>
      </c>
      <c r="C85" s="126" t="s">
        <v>6018</v>
      </c>
      <c r="D85" s="688" t="s">
        <v>6598</v>
      </c>
      <c r="E85" s="647"/>
      <c r="F85" s="647">
        <v>202000</v>
      </c>
    </row>
    <row r="86" spans="1:6" ht="15" x14ac:dyDescent="0.3">
      <c r="A86" s="600">
        <v>46037</v>
      </c>
      <c r="B86" s="126" t="s">
        <v>6473</v>
      </c>
      <c r="C86" s="126" t="s">
        <v>6018</v>
      </c>
      <c r="D86" s="688" t="s">
        <v>6599</v>
      </c>
      <c r="E86" s="647"/>
      <c r="F86" s="647">
        <v>325000</v>
      </c>
    </row>
    <row r="87" spans="1:6" ht="15" x14ac:dyDescent="0.3">
      <c r="A87" s="600">
        <v>46041</v>
      </c>
      <c r="B87" s="126" t="s">
        <v>6600</v>
      </c>
      <c r="C87" s="126" t="s">
        <v>6018</v>
      </c>
      <c r="D87" s="688" t="s">
        <v>6601</v>
      </c>
      <c r="E87" s="647"/>
      <c r="F87" s="647">
        <v>129001</v>
      </c>
    </row>
    <row r="88" spans="1:6" ht="15" x14ac:dyDescent="0.3">
      <c r="A88" s="600">
        <v>46041</v>
      </c>
      <c r="B88" s="126" t="s">
        <v>6600</v>
      </c>
      <c r="C88" s="126" t="s">
        <v>6018</v>
      </c>
      <c r="D88" s="688" t="s">
        <v>6602</v>
      </c>
      <c r="E88" s="647"/>
      <c r="F88" s="647">
        <v>1027000</v>
      </c>
    </row>
    <row r="89" spans="1:6" ht="15" x14ac:dyDescent="0.3">
      <c r="A89" s="600">
        <v>46041</v>
      </c>
      <c r="B89" s="126" t="s">
        <v>6600</v>
      </c>
      <c r="C89" s="126" t="s">
        <v>6018</v>
      </c>
      <c r="D89" s="651" t="s">
        <v>6603</v>
      </c>
      <c r="E89" s="647"/>
      <c r="F89" s="647">
        <v>260500</v>
      </c>
    </row>
    <row r="90" spans="1:6" ht="15" x14ac:dyDescent="0.3">
      <c r="A90" s="600">
        <v>46041</v>
      </c>
      <c r="B90" s="126" t="s">
        <v>6600</v>
      </c>
      <c r="C90" s="126" t="s">
        <v>6018</v>
      </c>
      <c r="D90" s="636" t="s">
        <v>2372</v>
      </c>
      <c r="E90" s="647"/>
      <c r="F90" s="647">
        <v>2500</v>
      </c>
    </row>
    <row r="91" spans="1:6" ht="15" x14ac:dyDescent="0.3">
      <c r="A91" s="600">
        <v>46041</v>
      </c>
      <c r="B91" s="126" t="s">
        <v>6600</v>
      </c>
      <c r="C91" s="126" t="s">
        <v>6018</v>
      </c>
      <c r="D91" s="636" t="s">
        <v>6604</v>
      </c>
      <c r="E91" s="647"/>
      <c r="F91" s="647">
        <v>335600</v>
      </c>
    </row>
    <row r="92" spans="1:6" ht="15" x14ac:dyDescent="0.3">
      <c r="A92" s="600">
        <v>46041</v>
      </c>
      <c r="B92" s="126" t="s">
        <v>6600</v>
      </c>
      <c r="C92" s="126" t="s">
        <v>6018</v>
      </c>
      <c r="D92" s="636" t="s">
        <v>6605</v>
      </c>
      <c r="E92" s="647"/>
      <c r="F92" s="647">
        <v>47500</v>
      </c>
    </row>
    <row r="93" spans="1:6" ht="15" x14ac:dyDescent="0.3">
      <c r="A93" s="600">
        <v>46041</v>
      </c>
      <c r="B93" s="126" t="s">
        <v>6600</v>
      </c>
      <c r="C93" s="126" t="s">
        <v>6018</v>
      </c>
      <c r="D93" s="636" t="s">
        <v>2372</v>
      </c>
      <c r="E93" s="647"/>
      <c r="F93" s="647">
        <v>2500</v>
      </c>
    </row>
    <row r="94" spans="1:6" ht="15" x14ac:dyDescent="0.3">
      <c r="A94" s="127">
        <v>46041</v>
      </c>
      <c r="B94" s="132" t="s">
        <v>6606</v>
      </c>
      <c r="C94" s="132" t="s">
        <v>6018</v>
      </c>
      <c r="D94" s="692" t="s">
        <v>6607</v>
      </c>
      <c r="E94" s="631"/>
      <c r="F94" s="631">
        <v>3396199</v>
      </c>
    </row>
  </sheetData>
  <autoFilter ref="A2:F2" xr:uid="{AEFAEE9E-74C7-4772-89E5-0BB19469BE43}"/>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0D31C-FC36-4E57-9CF5-06BD3110B2E0}">
  <dimension ref="A2:F6"/>
  <sheetViews>
    <sheetView workbookViewId="0">
      <pane xSplit="3" ySplit="2" topLeftCell="D3" activePane="bottomRight" state="frozen"/>
      <selection pane="topRight" activeCell="D1" sqref="D1"/>
      <selection pane="bottomLeft" activeCell="A3" sqref="A3"/>
      <selection pane="bottomRight" activeCell="D12" sqref="D12"/>
    </sheetView>
  </sheetViews>
  <sheetFormatPr defaultRowHeight="14.4" x14ac:dyDescent="0.3"/>
  <cols>
    <col min="1" max="3" width="13.88671875" style="83" customWidth="1"/>
    <col min="4" max="4" width="111" style="83" customWidth="1"/>
    <col min="5" max="6" width="18.88671875" style="83" customWidth="1"/>
    <col min="7" max="16384" width="8.88671875" style="83"/>
  </cols>
  <sheetData>
    <row r="2" spans="1:6" ht="15.6" x14ac:dyDescent="0.3">
      <c r="A2" s="379" t="s">
        <v>0</v>
      </c>
      <c r="B2" s="2" t="s">
        <v>1</v>
      </c>
      <c r="C2" s="382" t="s">
        <v>2</v>
      </c>
      <c r="D2" s="2" t="s">
        <v>3</v>
      </c>
      <c r="E2" s="395" t="s">
        <v>4</v>
      </c>
      <c r="F2" s="91" t="s">
        <v>5</v>
      </c>
    </row>
    <row r="3" spans="1:6" ht="15" x14ac:dyDescent="0.3">
      <c r="A3" s="315">
        <v>45947</v>
      </c>
      <c r="B3" s="38" t="s">
        <v>5128</v>
      </c>
      <c r="C3" s="316" t="s">
        <v>6083</v>
      </c>
      <c r="D3" s="571" t="s">
        <v>6084</v>
      </c>
      <c r="E3" s="572"/>
      <c r="F3" s="366">
        <v>79500</v>
      </c>
    </row>
    <row r="4" spans="1:6" ht="15.6" x14ac:dyDescent="0.3">
      <c r="A4" s="230">
        <v>45967</v>
      </c>
      <c r="B4" s="11" t="s">
        <v>5504</v>
      </c>
      <c r="C4" s="112" t="s">
        <v>6083</v>
      </c>
      <c r="D4" s="568" t="s">
        <v>6085</v>
      </c>
      <c r="E4" s="310"/>
      <c r="F4" s="283">
        <v>300000</v>
      </c>
    </row>
    <row r="5" spans="1:6" ht="15" x14ac:dyDescent="0.3">
      <c r="A5" s="230">
        <v>46008</v>
      </c>
      <c r="B5" s="11" t="s">
        <v>5749</v>
      </c>
      <c r="C5" s="112" t="s">
        <v>6083</v>
      </c>
      <c r="D5" s="28" t="s">
        <v>6086</v>
      </c>
      <c r="E5" s="313"/>
      <c r="F5" s="290">
        <v>1824000</v>
      </c>
    </row>
    <row r="6" spans="1:6" ht="15" x14ac:dyDescent="0.3">
      <c r="A6" s="322">
        <v>46008</v>
      </c>
      <c r="B6" s="50" t="s">
        <v>5749</v>
      </c>
      <c r="C6" s="357" t="s">
        <v>6083</v>
      </c>
      <c r="D6" s="493" t="s">
        <v>6087</v>
      </c>
      <c r="E6" s="573"/>
      <c r="F6" s="376">
        <v>-36480</v>
      </c>
    </row>
  </sheetData>
  <autoFilter ref="A2:F2" xr:uid="{AEFAEE9E-74C7-4772-89E5-0BB19469BE43}"/>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0AF2F-0263-4547-92FC-ADD0C6E7098F}">
  <dimension ref="A2:F71"/>
  <sheetViews>
    <sheetView workbookViewId="0">
      <pane xSplit="3" ySplit="2" topLeftCell="D55" activePane="bottomRight" state="frozen"/>
      <selection pane="topRight" activeCell="D1" sqref="D1"/>
      <selection pane="bottomLeft" activeCell="A3" sqref="A3"/>
      <selection pane="bottomRight" activeCell="D66" sqref="D66"/>
    </sheetView>
  </sheetViews>
  <sheetFormatPr defaultRowHeight="14.4" x14ac:dyDescent="0.3"/>
  <cols>
    <col min="1" max="3" width="13.88671875" style="83" customWidth="1"/>
    <col min="4" max="4" width="111" style="83" customWidth="1"/>
    <col min="5" max="6" width="18.88671875" style="468" customWidth="1"/>
    <col min="7" max="16384" width="8.88671875" style="83"/>
  </cols>
  <sheetData>
    <row r="2" spans="1:6" ht="15.6" x14ac:dyDescent="0.3">
      <c r="A2" s="101" t="s">
        <v>0</v>
      </c>
      <c r="B2" s="102" t="s">
        <v>1</v>
      </c>
      <c r="C2" s="109" t="s">
        <v>2</v>
      </c>
      <c r="D2" s="102" t="s">
        <v>3</v>
      </c>
      <c r="E2" s="320" t="s">
        <v>4</v>
      </c>
      <c r="F2" s="179" t="s">
        <v>5</v>
      </c>
    </row>
    <row r="3" spans="1:6" ht="15" x14ac:dyDescent="0.3">
      <c r="A3" s="198">
        <v>45952</v>
      </c>
      <c r="B3" s="38" t="s">
        <v>5985</v>
      </c>
      <c r="C3" s="316" t="s">
        <v>6088</v>
      </c>
      <c r="D3" s="571" t="s">
        <v>6089</v>
      </c>
      <c r="E3" s="572"/>
      <c r="F3" s="366">
        <v>5000000</v>
      </c>
    </row>
    <row r="4" spans="1:6" ht="15" x14ac:dyDescent="0.3">
      <c r="A4" s="105">
        <v>45952</v>
      </c>
      <c r="B4" s="11" t="s">
        <v>5985</v>
      </c>
      <c r="C4" s="112" t="s">
        <v>6088</v>
      </c>
      <c r="D4" s="28" t="s">
        <v>6090</v>
      </c>
      <c r="E4" s="293"/>
      <c r="F4" s="289">
        <v>7000000</v>
      </c>
    </row>
    <row r="5" spans="1:6" ht="15.6" x14ac:dyDescent="0.3">
      <c r="A5" s="105">
        <v>45967</v>
      </c>
      <c r="B5" s="11" t="s">
        <v>5504</v>
      </c>
      <c r="C5" s="112" t="s">
        <v>6088</v>
      </c>
      <c r="D5" s="568" t="s">
        <v>6091</v>
      </c>
      <c r="E5" s="310"/>
      <c r="F5" s="283">
        <v>3074500</v>
      </c>
    </row>
    <row r="6" spans="1:6" ht="15.6" x14ac:dyDescent="0.3">
      <c r="A6" s="105">
        <v>45967</v>
      </c>
      <c r="B6" s="11" t="s">
        <v>5504</v>
      </c>
      <c r="C6" s="112" t="s">
        <v>6088</v>
      </c>
      <c r="D6" s="568" t="s">
        <v>6092</v>
      </c>
      <c r="E6" s="310"/>
      <c r="F6" s="283">
        <v>123500</v>
      </c>
    </row>
    <row r="7" spans="1:6" ht="15.6" x14ac:dyDescent="0.3">
      <c r="A7" s="105">
        <v>45967</v>
      </c>
      <c r="B7" s="11" t="s">
        <v>5504</v>
      </c>
      <c r="C7" s="112" t="s">
        <v>6088</v>
      </c>
      <c r="D7" s="568" t="s">
        <v>6093</v>
      </c>
      <c r="E7" s="310"/>
      <c r="F7" s="283">
        <v>1002500</v>
      </c>
    </row>
    <row r="8" spans="1:6" ht="15" x14ac:dyDescent="0.3">
      <c r="A8" s="105">
        <v>45968</v>
      </c>
      <c r="B8" s="11" t="s">
        <v>5659</v>
      </c>
      <c r="C8" s="112" t="s">
        <v>6088</v>
      </c>
      <c r="D8" s="28" t="s">
        <v>6094</v>
      </c>
      <c r="E8" s="293"/>
      <c r="F8" s="290">
        <v>25000</v>
      </c>
    </row>
    <row r="9" spans="1:6" ht="15.6" x14ac:dyDescent="0.3">
      <c r="A9" s="105">
        <v>45968</v>
      </c>
      <c r="B9" s="11" t="s">
        <v>5659</v>
      </c>
      <c r="C9" s="262" t="s">
        <v>6088</v>
      </c>
      <c r="D9" s="258" t="s">
        <v>6095</v>
      </c>
      <c r="E9" s="310"/>
      <c r="F9" s="311">
        <v>80000</v>
      </c>
    </row>
    <row r="10" spans="1:6" ht="15" x14ac:dyDescent="0.3">
      <c r="A10" s="105">
        <v>45971</v>
      </c>
      <c r="B10" s="11" t="s">
        <v>6096</v>
      </c>
      <c r="C10" s="112" t="s">
        <v>6088</v>
      </c>
      <c r="D10" s="28" t="s">
        <v>6097</v>
      </c>
      <c r="E10" s="293"/>
      <c r="F10" s="290">
        <v>15000000</v>
      </c>
    </row>
    <row r="11" spans="1:6" ht="15" x14ac:dyDescent="0.3">
      <c r="A11" s="105">
        <v>45971</v>
      </c>
      <c r="B11" s="11" t="s">
        <v>6096</v>
      </c>
      <c r="C11" s="112" t="s">
        <v>6088</v>
      </c>
      <c r="D11" s="28" t="s">
        <v>6098</v>
      </c>
      <c r="E11" s="293"/>
      <c r="F11" s="290">
        <v>1650000</v>
      </c>
    </row>
    <row r="12" spans="1:6" ht="15" x14ac:dyDescent="0.3">
      <c r="A12" s="105">
        <v>45971</v>
      </c>
      <c r="B12" s="11" t="s">
        <v>6096</v>
      </c>
      <c r="C12" s="112" t="s">
        <v>6088</v>
      </c>
      <c r="D12" s="28" t="s">
        <v>6099</v>
      </c>
      <c r="E12" s="293"/>
      <c r="F12" s="290">
        <v>-300000</v>
      </c>
    </row>
    <row r="13" spans="1:6" ht="15" x14ac:dyDescent="0.3">
      <c r="A13" s="105">
        <v>45971</v>
      </c>
      <c r="B13" s="11" t="s">
        <v>6096</v>
      </c>
      <c r="C13" s="112" t="s">
        <v>6088</v>
      </c>
      <c r="D13" s="28" t="s">
        <v>6100</v>
      </c>
      <c r="E13" s="293"/>
      <c r="F13" s="290">
        <v>2900</v>
      </c>
    </row>
    <row r="14" spans="1:6" ht="15" x14ac:dyDescent="0.3">
      <c r="A14" s="105">
        <v>45974</v>
      </c>
      <c r="B14" s="11" t="s">
        <v>5515</v>
      </c>
      <c r="C14" s="112" t="s">
        <v>6088</v>
      </c>
      <c r="D14" s="568" t="s">
        <v>6101</v>
      </c>
      <c r="E14" s="293"/>
      <c r="F14" s="283">
        <v>643000</v>
      </c>
    </row>
    <row r="15" spans="1:6" ht="15.6" x14ac:dyDescent="0.3">
      <c r="A15" s="105">
        <v>45975</v>
      </c>
      <c r="B15" s="253" t="s">
        <v>6102</v>
      </c>
      <c r="C15" s="262" t="s">
        <v>6088</v>
      </c>
      <c r="D15" s="258" t="s">
        <v>6103</v>
      </c>
      <c r="E15" s="310"/>
      <c r="F15" s="311">
        <v>3351600</v>
      </c>
    </row>
    <row r="16" spans="1:6" ht="15.6" x14ac:dyDescent="0.3">
      <c r="A16" s="105">
        <v>45975</v>
      </c>
      <c r="B16" s="253" t="s">
        <v>6102</v>
      </c>
      <c r="C16" s="262" t="s">
        <v>6088</v>
      </c>
      <c r="D16" s="258" t="s">
        <v>6104</v>
      </c>
      <c r="E16" s="310"/>
      <c r="F16" s="311">
        <v>368676</v>
      </c>
    </row>
    <row r="17" spans="1:6" ht="15.6" x14ac:dyDescent="0.3">
      <c r="A17" s="105">
        <v>45975</v>
      </c>
      <c r="B17" s="253" t="s">
        <v>6102</v>
      </c>
      <c r="C17" s="262" t="s">
        <v>6088</v>
      </c>
      <c r="D17" s="258" t="s">
        <v>6105</v>
      </c>
      <c r="E17" s="310"/>
      <c r="F17" s="311">
        <v>2900</v>
      </c>
    </row>
    <row r="18" spans="1:6" ht="15.6" x14ac:dyDescent="0.3">
      <c r="A18" s="105">
        <v>45975</v>
      </c>
      <c r="B18" s="253" t="s">
        <v>5697</v>
      </c>
      <c r="C18" s="262" t="s">
        <v>6088</v>
      </c>
      <c r="D18" s="258" t="s">
        <v>6106</v>
      </c>
      <c r="E18" s="310"/>
      <c r="F18" s="311">
        <v>20000</v>
      </c>
    </row>
    <row r="19" spans="1:6" ht="15.6" x14ac:dyDescent="0.3">
      <c r="A19" s="105">
        <v>45979</v>
      </c>
      <c r="B19" s="11" t="s">
        <v>5714</v>
      </c>
      <c r="C19" s="112" t="s">
        <v>6088</v>
      </c>
      <c r="D19" s="28" t="s">
        <v>6107</v>
      </c>
      <c r="E19" s="310"/>
      <c r="F19" s="311">
        <v>416000</v>
      </c>
    </row>
    <row r="20" spans="1:6" ht="15.6" x14ac:dyDescent="0.3">
      <c r="A20" s="105">
        <v>45979</v>
      </c>
      <c r="B20" s="11" t="s">
        <v>5714</v>
      </c>
      <c r="C20" s="112" t="s">
        <v>6088</v>
      </c>
      <c r="D20" s="28" t="s">
        <v>2372</v>
      </c>
      <c r="E20" s="310"/>
      <c r="F20" s="311">
        <v>2500</v>
      </c>
    </row>
    <row r="21" spans="1:6" ht="15.6" x14ac:dyDescent="0.3">
      <c r="A21" s="105">
        <v>45980</v>
      </c>
      <c r="B21" s="253" t="s">
        <v>6108</v>
      </c>
      <c r="C21" s="262" t="s">
        <v>6088</v>
      </c>
      <c r="D21" s="258" t="s">
        <v>6109</v>
      </c>
      <c r="E21" s="310"/>
      <c r="F21" s="311">
        <v>15554160</v>
      </c>
    </row>
    <row r="22" spans="1:6" ht="15" x14ac:dyDescent="0.3">
      <c r="A22" s="105">
        <v>45980</v>
      </c>
      <c r="B22" s="11" t="s">
        <v>6108</v>
      </c>
      <c r="C22" s="112" t="s">
        <v>6110</v>
      </c>
      <c r="D22" s="17" t="s">
        <v>6111</v>
      </c>
      <c r="E22" s="293"/>
      <c r="F22" s="290">
        <v>5002800</v>
      </c>
    </row>
    <row r="23" spans="1:6" ht="15" x14ac:dyDescent="0.3">
      <c r="A23" s="105">
        <v>45980</v>
      </c>
      <c r="B23" s="11" t="s">
        <v>6108</v>
      </c>
      <c r="C23" s="112" t="s">
        <v>6110</v>
      </c>
      <c r="D23" s="17" t="s">
        <v>5297</v>
      </c>
      <c r="E23" s="293"/>
      <c r="F23" s="290">
        <v>2900</v>
      </c>
    </row>
    <row r="24" spans="1:6" ht="15.6" x14ac:dyDescent="0.3">
      <c r="A24" s="105">
        <v>45985</v>
      </c>
      <c r="B24" s="11" t="s">
        <v>5997</v>
      </c>
      <c r="C24" s="262" t="s">
        <v>6088</v>
      </c>
      <c r="D24" s="28" t="s">
        <v>6112</v>
      </c>
      <c r="E24" s="310"/>
      <c r="F24" s="311">
        <v>481060</v>
      </c>
    </row>
    <row r="25" spans="1:6" ht="15.6" x14ac:dyDescent="0.3">
      <c r="A25" s="105">
        <v>45985</v>
      </c>
      <c r="B25" s="11" t="s">
        <v>5997</v>
      </c>
      <c r="C25" s="262" t="s">
        <v>5999</v>
      </c>
      <c r="D25" s="28" t="s">
        <v>6000</v>
      </c>
      <c r="E25" s="310"/>
      <c r="F25" s="311">
        <v>8292329</v>
      </c>
    </row>
    <row r="26" spans="1:6" ht="15.6" x14ac:dyDescent="0.3">
      <c r="A26" s="105">
        <v>45985</v>
      </c>
      <c r="B26" s="11" t="s">
        <v>5997</v>
      </c>
      <c r="C26" s="262" t="s">
        <v>5999</v>
      </c>
      <c r="D26" s="28" t="s">
        <v>6001</v>
      </c>
      <c r="E26" s="310"/>
      <c r="F26" s="311">
        <v>1884525</v>
      </c>
    </row>
    <row r="27" spans="1:6" ht="15.6" x14ac:dyDescent="0.3">
      <c r="A27" s="105">
        <v>45986</v>
      </c>
      <c r="B27" s="11" t="s">
        <v>5898</v>
      </c>
      <c r="C27" s="574" t="s">
        <v>6088</v>
      </c>
      <c r="D27" s="528" t="s">
        <v>6113</v>
      </c>
      <c r="E27" s="569"/>
      <c r="F27" s="289">
        <v>850000</v>
      </c>
    </row>
    <row r="28" spans="1:6" ht="15" x14ac:dyDescent="0.3">
      <c r="A28" s="105">
        <v>45987</v>
      </c>
      <c r="B28" s="11" t="s">
        <v>6114</v>
      </c>
      <c r="C28" s="112" t="s">
        <v>6088</v>
      </c>
      <c r="D28" s="28" t="s">
        <v>6115</v>
      </c>
      <c r="E28" s="293"/>
      <c r="F28" s="290">
        <v>4800000</v>
      </c>
    </row>
    <row r="29" spans="1:6" ht="15" x14ac:dyDescent="0.3">
      <c r="A29" s="105">
        <v>45987</v>
      </c>
      <c r="B29" s="11" t="s">
        <v>6114</v>
      </c>
      <c r="C29" s="112" t="s">
        <v>6116</v>
      </c>
      <c r="D29" s="28" t="s">
        <v>2048</v>
      </c>
      <c r="E29" s="293"/>
      <c r="F29" s="290">
        <v>2900</v>
      </c>
    </row>
    <row r="30" spans="1:6" ht="15" x14ac:dyDescent="0.3">
      <c r="A30" s="105">
        <v>45989</v>
      </c>
      <c r="B30" s="11" t="s">
        <v>6117</v>
      </c>
      <c r="C30" s="112" t="s">
        <v>6088</v>
      </c>
      <c r="D30" s="17" t="s">
        <v>6118</v>
      </c>
      <c r="E30" s="293">
        <v>668250000</v>
      </c>
      <c r="F30" s="290"/>
    </row>
    <row r="31" spans="1:6" ht="15" x14ac:dyDescent="0.3">
      <c r="A31" s="105">
        <v>45989</v>
      </c>
      <c r="B31" s="11" t="s">
        <v>6117</v>
      </c>
      <c r="C31" s="112" t="s">
        <v>6088</v>
      </c>
      <c r="D31" s="17" t="s">
        <v>6119</v>
      </c>
      <c r="E31" s="293">
        <v>73507500</v>
      </c>
      <c r="F31" s="290"/>
    </row>
    <row r="32" spans="1:6" ht="15" x14ac:dyDescent="0.3">
      <c r="A32" s="105">
        <v>45992</v>
      </c>
      <c r="B32" s="11" t="s">
        <v>6120</v>
      </c>
      <c r="C32" s="112" t="s">
        <v>6088</v>
      </c>
      <c r="D32" s="28" t="s">
        <v>1936</v>
      </c>
      <c r="E32" s="293"/>
      <c r="F32" s="290">
        <v>20000</v>
      </c>
    </row>
    <row r="33" spans="1:6" ht="15.6" x14ac:dyDescent="0.3">
      <c r="A33" s="105">
        <v>45996</v>
      </c>
      <c r="B33" s="11" t="s">
        <v>6121</v>
      </c>
      <c r="C33" s="262" t="s">
        <v>6088</v>
      </c>
      <c r="D33" s="258" t="s">
        <v>6122</v>
      </c>
      <c r="E33" s="570"/>
      <c r="F33" s="311">
        <v>80000</v>
      </c>
    </row>
    <row r="34" spans="1:6" ht="15.6" x14ac:dyDescent="0.3">
      <c r="A34" s="105">
        <v>46001</v>
      </c>
      <c r="B34" s="11" t="s">
        <v>5800</v>
      </c>
      <c r="C34" s="262" t="s">
        <v>6088</v>
      </c>
      <c r="D34" s="258" t="s">
        <v>6123</v>
      </c>
      <c r="E34" s="570"/>
      <c r="F34" s="311">
        <v>-3733695</v>
      </c>
    </row>
    <row r="35" spans="1:6" ht="15.6" x14ac:dyDescent="0.3">
      <c r="A35" s="105">
        <v>46001</v>
      </c>
      <c r="B35" s="11" t="s">
        <v>6009</v>
      </c>
      <c r="C35" s="262" t="s">
        <v>6010</v>
      </c>
      <c r="D35" s="258" t="s">
        <v>6011</v>
      </c>
      <c r="E35" s="570"/>
      <c r="F35" s="311">
        <v>4480950</v>
      </c>
    </row>
    <row r="36" spans="1:6" ht="15.6" x14ac:dyDescent="0.3">
      <c r="A36" s="105">
        <v>46001</v>
      </c>
      <c r="B36" s="11" t="s">
        <v>6009</v>
      </c>
      <c r="C36" s="262" t="s">
        <v>6010</v>
      </c>
      <c r="D36" s="258" t="s">
        <v>6012</v>
      </c>
      <c r="E36" s="570"/>
      <c r="F36" s="311">
        <v>19716534</v>
      </c>
    </row>
    <row r="37" spans="1:6" ht="15.6" x14ac:dyDescent="0.3">
      <c r="A37" s="682">
        <v>46020</v>
      </c>
      <c r="B37" s="683" t="s">
        <v>6386</v>
      </c>
      <c r="C37" s="683" t="s">
        <v>6088</v>
      </c>
      <c r="D37" s="697" t="s">
        <v>6387</v>
      </c>
      <c r="E37" s="698"/>
      <c r="F37" s="500">
        <v>14970000</v>
      </c>
    </row>
    <row r="38" spans="1:6" ht="15.6" x14ac:dyDescent="0.3">
      <c r="A38" s="588">
        <v>46020</v>
      </c>
      <c r="B38" s="577" t="s">
        <v>6386</v>
      </c>
      <c r="C38" s="577" t="s">
        <v>6088</v>
      </c>
      <c r="D38" s="579" t="s">
        <v>6388</v>
      </c>
      <c r="E38" s="310"/>
      <c r="F38" s="311">
        <v>1646700</v>
      </c>
    </row>
    <row r="39" spans="1:6" ht="15.6" x14ac:dyDescent="0.3">
      <c r="A39" s="588">
        <v>46020</v>
      </c>
      <c r="B39" s="577" t="s">
        <v>6386</v>
      </c>
      <c r="C39" s="577" t="s">
        <v>6088</v>
      </c>
      <c r="D39" s="579" t="s">
        <v>6389</v>
      </c>
      <c r="E39" s="310"/>
      <c r="F39" s="311">
        <v>2900</v>
      </c>
    </row>
    <row r="40" spans="1:6" ht="15.6" x14ac:dyDescent="0.3">
      <c r="A40" s="588">
        <v>46022</v>
      </c>
      <c r="B40" s="577" t="s">
        <v>6390</v>
      </c>
      <c r="C40" s="577" t="s">
        <v>6088</v>
      </c>
      <c r="D40" s="579" t="s">
        <v>6391</v>
      </c>
      <c r="E40" s="310"/>
      <c r="F40" s="311">
        <v>148350000</v>
      </c>
    </row>
    <row r="41" spans="1:6" ht="15.6" x14ac:dyDescent="0.3">
      <c r="A41" s="588">
        <v>46022</v>
      </c>
      <c r="B41" s="577" t="s">
        <v>6390</v>
      </c>
      <c r="C41" s="577" t="s">
        <v>6088</v>
      </c>
      <c r="D41" s="579" t="s">
        <v>6392</v>
      </c>
      <c r="E41" s="310"/>
      <c r="F41" s="311">
        <v>16318500</v>
      </c>
    </row>
    <row r="42" spans="1:6" ht="15" x14ac:dyDescent="0.3">
      <c r="A42" s="588">
        <v>46022</v>
      </c>
      <c r="B42" s="577" t="s">
        <v>6390</v>
      </c>
      <c r="C42" s="577" t="s">
        <v>6088</v>
      </c>
      <c r="D42" s="579" t="s">
        <v>6393</v>
      </c>
      <c r="E42" s="293"/>
      <c r="F42" s="290">
        <v>-5934000</v>
      </c>
    </row>
    <row r="43" spans="1:6" ht="15" x14ac:dyDescent="0.3">
      <c r="A43" s="588">
        <v>46022</v>
      </c>
      <c r="B43" s="577" t="s">
        <v>6390</v>
      </c>
      <c r="C43" s="577" t="s">
        <v>6088</v>
      </c>
      <c r="D43" s="579" t="s">
        <v>6394</v>
      </c>
      <c r="E43" s="293"/>
      <c r="F43" s="290">
        <v>2900</v>
      </c>
    </row>
    <row r="44" spans="1:6" ht="15.6" x14ac:dyDescent="0.3">
      <c r="A44" s="588">
        <v>46022</v>
      </c>
      <c r="B44" s="577" t="s">
        <v>6395</v>
      </c>
      <c r="C44" s="577" t="s">
        <v>6088</v>
      </c>
      <c r="D44" s="579" t="s">
        <v>6396</v>
      </c>
      <c r="E44" s="310"/>
      <c r="F44" s="311">
        <v>8420000</v>
      </c>
    </row>
    <row r="45" spans="1:6" ht="15.6" x14ac:dyDescent="0.3">
      <c r="A45" s="588">
        <v>46022</v>
      </c>
      <c r="B45" s="577" t="s">
        <v>6395</v>
      </c>
      <c r="C45" s="577" t="s">
        <v>6088</v>
      </c>
      <c r="D45" s="579" t="s">
        <v>6397</v>
      </c>
      <c r="E45" s="310"/>
      <c r="F45" s="311">
        <v>926200</v>
      </c>
    </row>
    <row r="46" spans="1:6" ht="15.6" x14ac:dyDescent="0.3">
      <c r="A46" s="588">
        <v>46022</v>
      </c>
      <c r="B46" s="577" t="s">
        <v>6395</v>
      </c>
      <c r="C46" s="577" t="s">
        <v>6088</v>
      </c>
      <c r="D46" s="579" t="s">
        <v>2556</v>
      </c>
      <c r="E46" s="310"/>
      <c r="F46" s="311">
        <v>2900</v>
      </c>
    </row>
    <row r="47" spans="1:6" ht="15.6" x14ac:dyDescent="0.3">
      <c r="A47" s="588">
        <v>46022</v>
      </c>
      <c r="B47" s="580" t="s">
        <v>6398</v>
      </c>
      <c r="C47" s="577" t="s">
        <v>6088</v>
      </c>
      <c r="D47" s="580" t="s">
        <v>6399</v>
      </c>
      <c r="E47" s="699"/>
      <c r="F47" s="582">
        <v>20000</v>
      </c>
    </row>
    <row r="48" spans="1:6" ht="15.6" x14ac:dyDescent="0.3">
      <c r="A48" s="588">
        <v>46000</v>
      </c>
      <c r="B48" s="580" t="s">
        <v>6155</v>
      </c>
      <c r="C48" s="577" t="s">
        <v>6088</v>
      </c>
      <c r="D48" s="580" t="s">
        <v>6400</v>
      </c>
      <c r="E48" s="699"/>
      <c r="F48" s="582">
        <v>56500</v>
      </c>
    </row>
    <row r="49" spans="1:6" ht="15.6" x14ac:dyDescent="0.3">
      <c r="A49" s="588">
        <v>46000</v>
      </c>
      <c r="B49" s="580" t="s">
        <v>6155</v>
      </c>
      <c r="C49" s="577" t="s">
        <v>6088</v>
      </c>
      <c r="D49" s="580" t="s">
        <v>105</v>
      </c>
      <c r="E49" s="699"/>
      <c r="F49" s="582">
        <v>2500</v>
      </c>
    </row>
    <row r="50" spans="1:6" ht="15.6" x14ac:dyDescent="0.3">
      <c r="A50" s="588">
        <v>46014</v>
      </c>
      <c r="B50" s="580" t="s">
        <v>6218</v>
      </c>
      <c r="C50" s="577" t="s">
        <v>6088</v>
      </c>
      <c r="D50" s="580" t="s">
        <v>6401</v>
      </c>
      <c r="E50" s="699"/>
      <c r="F50" s="582">
        <v>600000</v>
      </c>
    </row>
    <row r="51" spans="1:6" ht="15.6" x14ac:dyDescent="0.3">
      <c r="A51" s="588">
        <v>46014</v>
      </c>
      <c r="B51" s="580" t="s">
        <v>6218</v>
      </c>
      <c r="C51" s="577" t="s">
        <v>6088</v>
      </c>
      <c r="D51" s="580" t="s">
        <v>105</v>
      </c>
      <c r="E51" s="699"/>
      <c r="F51" s="582">
        <v>2500</v>
      </c>
    </row>
    <row r="52" spans="1:6" ht="15.6" x14ac:dyDescent="0.3">
      <c r="A52" s="588">
        <v>46015</v>
      </c>
      <c r="B52" s="580" t="s">
        <v>6227</v>
      </c>
      <c r="C52" s="577" t="s">
        <v>6088</v>
      </c>
      <c r="D52" s="580" t="s">
        <v>6402</v>
      </c>
      <c r="E52" s="699"/>
      <c r="F52" s="582">
        <v>260800</v>
      </c>
    </row>
    <row r="53" spans="1:6" ht="15.6" x14ac:dyDescent="0.3">
      <c r="A53" s="588">
        <v>46019</v>
      </c>
      <c r="B53" s="580" t="s">
        <v>6231</v>
      </c>
      <c r="C53" s="577" t="s">
        <v>6088</v>
      </c>
      <c r="D53" s="580" t="s">
        <v>6403</v>
      </c>
      <c r="E53" s="699"/>
      <c r="F53" s="582">
        <v>101500</v>
      </c>
    </row>
    <row r="54" spans="1:6" ht="15.6" x14ac:dyDescent="0.3">
      <c r="A54" s="588">
        <v>46019</v>
      </c>
      <c r="B54" s="580" t="s">
        <v>6231</v>
      </c>
      <c r="C54" s="577" t="s">
        <v>6088</v>
      </c>
      <c r="D54" s="580" t="s">
        <v>6404</v>
      </c>
      <c r="E54" s="699"/>
      <c r="F54" s="582">
        <v>300000</v>
      </c>
    </row>
    <row r="55" spans="1:6" ht="15.6" x14ac:dyDescent="0.3">
      <c r="A55" s="588">
        <v>46019</v>
      </c>
      <c r="B55" s="580" t="s">
        <v>6231</v>
      </c>
      <c r="C55" s="577" t="s">
        <v>6088</v>
      </c>
      <c r="D55" s="580" t="s">
        <v>6405</v>
      </c>
      <c r="E55" s="699"/>
      <c r="F55" s="582">
        <v>651000</v>
      </c>
    </row>
    <row r="56" spans="1:6" ht="15.6" x14ac:dyDescent="0.3">
      <c r="A56" s="588">
        <v>46021</v>
      </c>
      <c r="B56" s="580" t="s">
        <v>6406</v>
      </c>
      <c r="C56" s="577" t="s">
        <v>6088</v>
      </c>
      <c r="D56" s="580" t="s">
        <v>624</v>
      </c>
      <c r="E56" s="699"/>
      <c r="F56" s="582">
        <v>88000</v>
      </c>
    </row>
    <row r="57" spans="1:6" ht="15.6" x14ac:dyDescent="0.3">
      <c r="A57" s="588">
        <v>46021</v>
      </c>
      <c r="B57" s="580" t="s">
        <v>6406</v>
      </c>
      <c r="C57" s="577" t="s">
        <v>6088</v>
      </c>
      <c r="D57" s="580" t="s">
        <v>1036</v>
      </c>
      <c r="E57" s="699"/>
      <c r="F57" s="582">
        <v>379440</v>
      </c>
    </row>
    <row r="58" spans="1:6" ht="15.6" x14ac:dyDescent="0.3">
      <c r="A58" s="588">
        <v>46021</v>
      </c>
      <c r="B58" s="580" t="s">
        <v>6339</v>
      </c>
      <c r="C58" s="577" t="s">
        <v>6088</v>
      </c>
      <c r="D58" s="580" t="s">
        <v>6407</v>
      </c>
      <c r="E58" s="699"/>
      <c r="F58" s="582">
        <v>60000</v>
      </c>
    </row>
    <row r="59" spans="1:6" ht="15.6" x14ac:dyDescent="0.3">
      <c r="A59" s="588">
        <v>46021</v>
      </c>
      <c r="B59" s="580" t="s">
        <v>6339</v>
      </c>
      <c r="C59" s="577" t="s">
        <v>6088</v>
      </c>
      <c r="D59" s="580" t="s">
        <v>6408</v>
      </c>
      <c r="E59" s="699"/>
      <c r="F59" s="582">
        <v>293000</v>
      </c>
    </row>
    <row r="60" spans="1:6" ht="15.6" x14ac:dyDescent="0.3">
      <c r="A60" s="588">
        <v>46021</v>
      </c>
      <c r="B60" s="580" t="s">
        <v>6339</v>
      </c>
      <c r="C60" s="577" t="s">
        <v>6088</v>
      </c>
      <c r="D60" s="580" t="s">
        <v>105</v>
      </c>
      <c r="E60" s="699"/>
      <c r="F60" s="582">
        <v>2500</v>
      </c>
    </row>
    <row r="61" spans="1:6" ht="15" x14ac:dyDescent="0.3">
      <c r="A61" s="607">
        <v>46024</v>
      </c>
      <c r="B61" s="659" t="s">
        <v>6608</v>
      </c>
      <c r="C61" s="608" t="s">
        <v>6088</v>
      </c>
      <c r="D61" s="617" t="s">
        <v>6609</v>
      </c>
      <c r="E61" s="564"/>
      <c r="F61" s="645">
        <v>20000</v>
      </c>
    </row>
    <row r="62" spans="1:6" ht="15" x14ac:dyDescent="0.3">
      <c r="A62" s="600">
        <v>46036</v>
      </c>
      <c r="B62" s="126" t="s">
        <v>6610</v>
      </c>
      <c r="C62" s="614" t="s">
        <v>6088</v>
      </c>
      <c r="D62" s="615" t="s">
        <v>6611</v>
      </c>
      <c r="E62" s="356"/>
      <c r="F62" s="621">
        <v>106120000</v>
      </c>
    </row>
    <row r="63" spans="1:6" ht="15" x14ac:dyDescent="0.3">
      <c r="A63" s="600">
        <v>46036</v>
      </c>
      <c r="B63" s="126" t="s">
        <v>6610</v>
      </c>
      <c r="C63" s="614" t="s">
        <v>6088</v>
      </c>
      <c r="D63" s="615" t="s">
        <v>6612</v>
      </c>
      <c r="E63" s="356"/>
      <c r="F63" s="621">
        <v>11673200</v>
      </c>
    </row>
    <row r="64" spans="1:6" ht="15" x14ac:dyDescent="0.3">
      <c r="A64" s="600">
        <v>46036</v>
      </c>
      <c r="B64" s="126" t="s">
        <v>6610</v>
      </c>
      <c r="C64" s="614" t="s">
        <v>6088</v>
      </c>
      <c r="D64" s="615" t="s">
        <v>6564</v>
      </c>
      <c r="E64" s="356"/>
      <c r="F64" s="621">
        <v>2900</v>
      </c>
    </row>
    <row r="65" spans="1:6" ht="15" x14ac:dyDescent="0.3">
      <c r="A65" s="600">
        <v>46024</v>
      </c>
      <c r="B65" s="126" t="s">
        <v>6526</v>
      </c>
      <c r="C65" s="623" t="s">
        <v>6088</v>
      </c>
      <c r="D65" s="195" t="s">
        <v>6613</v>
      </c>
      <c r="E65" s="566"/>
      <c r="F65" s="621">
        <v>240000</v>
      </c>
    </row>
    <row r="66" spans="1:6" ht="15" x14ac:dyDescent="0.3">
      <c r="A66" s="600">
        <v>46024</v>
      </c>
      <c r="B66" s="126" t="s">
        <v>6526</v>
      </c>
      <c r="C66" s="623" t="s">
        <v>6088</v>
      </c>
      <c r="D66" s="195" t="s">
        <v>6491</v>
      </c>
      <c r="E66" s="566"/>
      <c r="F66" s="621">
        <v>2500</v>
      </c>
    </row>
    <row r="67" spans="1:6" ht="15" x14ac:dyDescent="0.3">
      <c r="A67" s="600">
        <v>46024</v>
      </c>
      <c r="B67" s="126" t="s">
        <v>6526</v>
      </c>
      <c r="C67" s="623" t="s">
        <v>6088</v>
      </c>
      <c r="D67" s="195" t="s">
        <v>6577</v>
      </c>
      <c r="E67" s="566"/>
      <c r="F67" s="621">
        <v>88000</v>
      </c>
    </row>
    <row r="68" spans="1:6" ht="15" x14ac:dyDescent="0.3">
      <c r="A68" s="600">
        <v>46041</v>
      </c>
      <c r="B68" s="126" t="s">
        <v>6606</v>
      </c>
      <c r="C68" s="601" t="s">
        <v>6088</v>
      </c>
      <c r="D68" s="615" t="s">
        <v>6614</v>
      </c>
      <c r="E68" s="647"/>
      <c r="F68" s="647">
        <v>232428</v>
      </c>
    </row>
    <row r="69" spans="1:6" ht="15" x14ac:dyDescent="0.3">
      <c r="A69" s="600">
        <v>46041</v>
      </c>
      <c r="B69" s="126" t="s">
        <v>6606</v>
      </c>
      <c r="C69" s="601" t="s">
        <v>6088</v>
      </c>
      <c r="D69" s="615" t="s">
        <v>981</v>
      </c>
      <c r="E69" s="647"/>
      <c r="F69" s="647">
        <v>2500</v>
      </c>
    </row>
    <row r="70" spans="1:6" ht="15" x14ac:dyDescent="0.3">
      <c r="A70" s="600">
        <v>46044</v>
      </c>
      <c r="B70" s="126" t="s">
        <v>6557</v>
      </c>
      <c r="C70" s="126" t="s">
        <v>6088</v>
      </c>
      <c r="D70" s="639" t="s">
        <v>6615</v>
      </c>
      <c r="E70" s="647"/>
      <c r="F70" s="647">
        <v>600000</v>
      </c>
    </row>
    <row r="71" spans="1:6" ht="15" x14ac:dyDescent="0.3">
      <c r="A71" s="127">
        <v>46044</v>
      </c>
      <c r="B71" s="132" t="s">
        <v>6557</v>
      </c>
      <c r="C71" s="132" t="s">
        <v>6088</v>
      </c>
      <c r="D71" s="644" t="s">
        <v>4980</v>
      </c>
      <c r="E71" s="631"/>
      <c r="F71" s="631">
        <v>2500</v>
      </c>
    </row>
  </sheetData>
  <autoFilter ref="A2:F2" xr:uid="{AEFAEE9E-74C7-4772-89E5-0BB19469BE43}"/>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4FDC7-1B9A-4DBB-8D84-854430731CFE}">
  <dimension ref="A2:F182"/>
  <sheetViews>
    <sheetView tabSelected="1" workbookViewId="0">
      <pane xSplit="3" ySplit="2" topLeftCell="D165" activePane="bottomRight" state="frozen"/>
      <selection pane="topRight" activeCell="D1" sqref="D1"/>
      <selection pane="bottomLeft" activeCell="A3" sqref="A3"/>
      <selection pane="bottomRight" activeCell="D183" sqref="D183"/>
    </sheetView>
  </sheetViews>
  <sheetFormatPr defaultRowHeight="14.4" x14ac:dyDescent="0.3"/>
  <cols>
    <col min="1" max="3" width="13.88671875" style="83" customWidth="1"/>
    <col min="4" max="4" width="111" style="83" customWidth="1"/>
    <col min="5" max="6" width="18.88671875" style="468" customWidth="1"/>
    <col min="7" max="16384" width="8.88671875" style="83"/>
  </cols>
  <sheetData>
    <row r="2" spans="1:6" ht="15.6" x14ac:dyDescent="0.3">
      <c r="A2" s="1" t="s">
        <v>0</v>
      </c>
      <c r="B2" s="2" t="s">
        <v>1</v>
      </c>
      <c r="C2" s="2" t="s">
        <v>2</v>
      </c>
      <c r="D2" s="2" t="s">
        <v>3</v>
      </c>
      <c r="E2" s="396" t="s">
        <v>4</v>
      </c>
      <c r="F2" s="397" t="s">
        <v>5</v>
      </c>
    </row>
    <row r="3" spans="1:6" ht="30" x14ac:dyDescent="0.3">
      <c r="A3" s="700">
        <v>45992</v>
      </c>
      <c r="B3" s="701" t="s">
        <v>6409</v>
      </c>
      <c r="C3" s="702" t="s">
        <v>6410</v>
      </c>
      <c r="D3" s="703" t="s">
        <v>6411</v>
      </c>
      <c r="E3" s="704"/>
      <c r="F3" s="705">
        <v>110000</v>
      </c>
    </row>
    <row r="4" spans="1:6" ht="30" x14ac:dyDescent="0.3">
      <c r="A4" s="706">
        <v>45992</v>
      </c>
      <c r="B4" s="707" t="s">
        <v>6409</v>
      </c>
      <c r="C4" s="594" t="s">
        <v>6410</v>
      </c>
      <c r="D4" s="595" t="s">
        <v>6411</v>
      </c>
      <c r="E4" s="309"/>
      <c r="F4" s="375">
        <v>6398437.5199999996</v>
      </c>
    </row>
    <row r="5" spans="1:6" ht="15.6" x14ac:dyDescent="0.3">
      <c r="A5" s="588">
        <v>46010</v>
      </c>
      <c r="B5" s="577" t="s">
        <v>6124</v>
      </c>
      <c r="C5" s="577" t="s">
        <v>6125</v>
      </c>
      <c r="D5" s="579" t="s">
        <v>6126</v>
      </c>
      <c r="E5" s="310"/>
      <c r="F5" s="311">
        <v>12000</v>
      </c>
    </row>
    <row r="6" spans="1:6" ht="15.6" x14ac:dyDescent="0.3">
      <c r="A6" s="588">
        <v>46020</v>
      </c>
      <c r="B6" s="577" t="s">
        <v>6127</v>
      </c>
      <c r="C6" s="577" t="s">
        <v>6125</v>
      </c>
      <c r="D6" s="579" t="s">
        <v>6128</v>
      </c>
      <c r="E6" s="310"/>
      <c r="F6" s="311">
        <v>68500</v>
      </c>
    </row>
    <row r="7" spans="1:6" ht="15.6" x14ac:dyDescent="0.3">
      <c r="A7" s="588">
        <v>46020</v>
      </c>
      <c r="B7" s="577" t="s">
        <v>6127</v>
      </c>
      <c r="C7" s="577" t="s">
        <v>6125</v>
      </c>
      <c r="D7" s="579" t="s">
        <v>6129</v>
      </c>
      <c r="E7" s="310"/>
      <c r="F7" s="311">
        <v>8000</v>
      </c>
    </row>
    <row r="8" spans="1:6" ht="15.6" x14ac:dyDescent="0.3">
      <c r="A8" s="588">
        <v>46014</v>
      </c>
      <c r="B8" s="580" t="s">
        <v>6218</v>
      </c>
      <c r="C8" s="577" t="s">
        <v>6125</v>
      </c>
      <c r="D8" s="580" t="s">
        <v>4276</v>
      </c>
      <c r="E8" s="708"/>
      <c r="F8" s="582">
        <v>43263</v>
      </c>
    </row>
    <row r="9" spans="1:6" ht="15.6" x14ac:dyDescent="0.3">
      <c r="A9" s="588">
        <v>46014</v>
      </c>
      <c r="B9" s="580" t="s">
        <v>6218</v>
      </c>
      <c r="C9" s="577" t="s">
        <v>6125</v>
      </c>
      <c r="D9" s="580" t="s">
        <v>6412</v>
      </c>
      <c r="E9" s="708"/>
      <c r="F9" s="582">
        <v>60000</v>
      </c>
    </row>
    <row r="10" spans="1:6" ht="15.6" x14ac:dyDescent="0.3">
      <c r="A10" s="588">
        <v>46015</v>
      </c>
      <c r="B10" s="580" t="s">
        <v>6227</v>
      </c>
      <c r="C10" s="577" t="s">
        <v>6125</v>
      </c>
      <c r="D10" s="580" t="s">
        <v>6273</v>
      </c>
      <c r="E10" s="708"/>
      <c r="F10" s="582">
        <v>132600</v>
      </c>
    </row>
    <row r="11" spans="1:6" ht="15.6" x14ac:dyDescent="0.3">
      <c r="A11" s="588">
        <v>46015</v>
      </c>
      <c r="B11" s="580" t="s">
        <v>6227</v>
      </c>
      <c r="C11" s="577" t="s">
        <v>6125</v>
      </c>
      <c r="D11" s="580" t="s">
        <v>6413</v>
      </c>
      <c r="E11" s="708"/>
      <c r="F11" s="582">
        <v>10000</v>
      </c>
    </row>
    <row r="12" spans="1:6" ht="15.6" x14ac:dyDescent="0.3">
      <c r="A12" s="588">
        <v>46015</v>
      </c>
      <c r="B12" s="580" t="s">
        <v>6227</v>
      </c>
      <c r="C12" s="577" t="s">
        <v>6125</v>
      </c>
      <c r="D12" s="580" t="s">
        <v>6414</v>
      </c>
      <c r="E12" s="708"/>
      <c r="F12" s="582">
        <v>114800</v>
      </c>
    </row>
    <row r="13" spans="1:6" ht="15.6" x14ac:dyDescent="0.3">
      <c r="A13" s="588">
        <v>46015</v>
      </c>
      <c r="B13" s="580" t="s">
        <v>6227</v>
      </c>
      <c r="C13" s="577" t="s">
        <v>6125</v>
      </c>
      <c r="D13" s="580" t="s">
        <v>6415</v>
      </c>
      <c r="E13" s="708"/>
      <c r="F13" s="582">
        <v>100000</v>
      </c>
    </row>
    <row r="14" spans="1:6" ht="15.6" x14ac:dyDescent="0.3">
      <c r="A14" s="588">
        <v>46019</v>
      </c>
      <c r="B14" s="580" t="s">
        <v>6231</v>
      </c>
      <c r="C14" s="577" t="s">
        <v>6125</v>
      </c>
      <c r="D14" s="580" t="s">
        <v>6416</v>
      </c>
      <c r="E14" s="708"/>
      <c r="F14" s="582">
        <v>32800</v>
      </c>
    </row>
    <row r="15" spans="1:6" ht="15.6" x14ac:dyDescent="0.3">
      <c r="A15" s="588">
        <v>46019</v>
      </c>
      <c r="B15" s="580" t="s">
        <v>6231</v>
      </c>
      <c r="C15" s="577" t="s">
        <v>6125</v>
      </c>
      <c r="D15" s="580" t="s">
        <v>6417</v>
      </c>
      <c r="E15" s="708"/>
      <c r="F15" s="582">
        <v>36500</v>
      </c>
    </row>
    <row r="16" spans="1:6" ht="15.6" x14ac:dyDescent="0.3">
      <c r="A16" s="588">
        <v>46019</v>
      </c>
      <c r="B16" s="580" t="s">
        <v>6231</v>
      </c>
      <c r="C16" s="577" t="s">
        <v>6125</v>
      </c>
      <c r="D16" s="580" t="s">
        <v>990</v>
      </c>
      <c r="E16" s="708"/>
      <c r="F16" s="582">
        <v>271592</v>
      </c>
    </row>
    <row r="17" spans="1:6" ht="15.6" x14ac:dyDescent="0.3">
      <c r="A17" s="588">
        <v>46021</v>
      </c>
      <c r="B17" s="580" t="s">
        <v>6406</v>
      </c>
      <c r="C17" s="577" t="s">
        <v>6125</v>
      </c>
      <c r="D17" s="580" t="s">
        <v>6418</v>
      </c>
      <c r="E17" s="708"/>
      <c r="F17" s="582">
        <v>70000</v>
      </c>
    </row>
    <row r="18" spans="1:6" ht="15.6" x14ac:dyDescent="0.3">
      <c r="A18" s="588">
        <v>46021</v>
      </c>
      <c r="B18" s="580" t="s">
        <v>6406</v>
      </c>
      <c r="C18" s="577" t="s">
        <v>6125</v>
      </c>
      <c r="D18" s="580" t="s">
        <v>6419</v>
      </c>
      <c r="E18" s="708"/>
      <c r="F18" s="582">
        <v>20000</v>
      </c>
    </row>
    <row r="19" spans="1:6" ht="15.6" x14ac:dyDescent="0.3">
      <c r="A19" s="588">
        <v>46021</v>
      </c>
      <c r="B19" s="580" t="s">
        <v>6406</v>
      </c>
      <c r="C19" s="577" t="s">
        <v>6125</v>
      </c>
      <c r="D19" s="580" t="s">
        <v>6420</v>
      </c>
      <c r="E19" s="708"/>
      <c r="F19" s="582">
        <v>45976</v>
      </c>
    </row>
    <row r="20" spans="1:6" ht="15.6" x14ac:dyDescent="0.3">
      <c r="A20" s="588">
        <v>46021</v>
      </c>
      <c r="B20" s="580" t="s">
        <v>6406</v>
      </c>
      <c r="C20" s="577" t="s">
        <v>6125</v>
      </c>
      <c r="D20" s="580" t="s">
        <v>6421</v>
      </c>
      <c r="E20" s="708"/>
      <c r="F20" s="582">
        <v>100000</v>
      </c>
    </row>
    <row r="21" spans="1:6" ht="15.6" x14ac:dyDescent="0.3">
      <c r="A21" s="588">
        <v>46021</v>
      </c>
      <c r="B21" s="580" t="s">
        <v>6406</v>
      </c>
      <c r="C21" s="577" t="s">
        <v>6125</v>
      </c>
      <c r="D21" s="580" t="s">
        <v>6422</v>
      </c>
      <c r="E21" s="708"/>
      <c r="F21" s="582">
        <v>15000</v>
      </c>
    </row>
    <row r="22" spans="1:6" ht="15.6" x14ac:dyDescent="0.3">
      <c r="A22" s="588">
        <v>46021</v>
      </c>
      <c r="B22" s="580" t="s">
        <v>6406</v>
      </c>
      <c r="C22" s="577" t="s">
        <v>6125</v>
      </c>
      <c r="D22" s="580" t="s">
        <v>6423</v>
      </c>
      <c r="E22" s="708"/>
      <c r="F22" s="582">
        <v>65000</v>
      </c>
    </row>
    <row r="23" spans="1:6" ht="15.6" x14ac:dyDescent="0.3">
      <c r="A23" s="588">
        <v>46021</v>
      </c>
      <c r="B23" s="580" t="s">
        <v>6406</v>
      </c>
      <c r="C23" s="577" t="s">
        <v>6125</v>
      </c>
      <c r="D23" s="580" t="s">
        <v>6424</v>
      </c>
      <c r="E23" s="708"/>
      <c r="F23" s="582">
        <v>38500</v>
      </c>
    </row>
    <row r="24" spans="1:6" ht="15.6" x14ac:dyDescent="0.3">
      <c r="A24" s="588">
        <v>46021</v>
      </c>
      <c r="B24" s="580" t="s">
        <v>6406</v>
      </c>
      <c r="C24" s="577" t="s">
        <v>6125</v>
      </c>
      <c r="D24" s="580" t="s">
        <v>6425</v>
      </c>
      <c r="E24" s="708"/>
      <c r="F24" s="582">
        <v>257600</v>
      </c>
    </row>
    <row r="25" spans="1:6" ht="15.6" x14ac:dyDescent="0.3">
      <c r="A25" s="588">
        <v>46021</v>
      </c>
      <c r="B25" s="580" t="s">
        <v>6406</v>
      </c>
      <c r="C25" s="577" t="s">
        <v>6125</v>
      </c>
      <c r="D25" s="580" t="s">
        <v>6426</v>
      </c>
      <c r="E25" s="708"/>
      <c r="F25" s="582">
        <v>417500</v>
      </c>
    </row>
    <row r="26" spans="1:6" ht="15.6" x14ac:dyDescent="0.3">
      <c r="A26" s="588">
        <v>46021</v>
      </c>
      <c r="B26" s="580" t="s">
        <v>6406</v>
      </c>
      <c r="C26" s="577" t="s">
        <v>6125</v>
      </c>
      <c r="D26" s="580" t="s">
        <v>6427</v>
      </c>
      <c r="E26" s="708"/>
      <c r="F26" s="582">
        <v>53500</v>
      </c>
    </row>
    <row r="27" spans="1:6" ht="15.6" x14ac:dyDescent="0.3">
      <c r="A27" s="588">
        <v>46021</v>
      </c>
      <c r="B27" s="580" t="s">
        <v>6406</v>
      </c>
      <c r="C27" s="577" t="s">
        <v>6125</v>
      </c>
      <c r="D27" s="580" t="s">
        <v>105</v>
      </c>
      <c r="E27" s="708"/>
      <c r="F27" s="582">
        <v>2500</v>
      </c>
    </row>
    <row r="28" spans="1:6" ht="15.6" x14ac:dyDescent="0.3">
      <c r="A28" s="588">
        <v>46021</v>
      </c>
      <c r="B28" s="580" t="s">
        <v>6339</v>
      </c>
      <c r="C28" s="577" t="s">
        <v>6125</v>
      </c>
      <c r="D28" s="580" t="s">
        <v>6428</v>
      </c>
      <c r="E28" s="708"/>
      <c r="F28" s="582">
        <v>7720000</v>
      </c>
    </row>
    <row r="29" spans="1:6" ht="15.6" x14ac:dyDescent="0.3">
      <c r="A29" s="588">
        <v>46021</v>
      </c>
      <c r="B29" s="580" t="s">
        <v>6339</v>
      </c>
      <c r="C29" s="577" t="s">
        <v>6125</v>
      </c>
      <c r="D29" s="580" t="s">
        <v>6419</v>
      </c>
      <c r="E29" s="708"/>
      <c r="F29" s="582">
        <v>10000</v>
      </c>
    </row>
    <row r="30" spans="1:6" ht="15.6" x14ac:dyDescent="0.3">
      <c r="A30" s="588">
        <v>46021</v>
      </c>
      <c r="B30" s="580" t="s">
        <v>6339</v>
      </c>
      <c r="C30" s="577" t="s">
        <v>6125</v>
      </c>
      <c r="D30" s="580" t="s">
        <v>6429</v>
      </c>
      <c r="E30" s="708"/>
      <c r="F30" s="582">
        <v>100000</v>
      </c>
    </row>
    <row r="31" spans="1:6" ht="15.6" x14ac:dyDescent="0.3">
      <c r="A31" s="588">
        <v>46021</v>
      </c>
      <c r="B31" s="580" t="s">
        <v>6339</v>
      </c>
      <c r="C31" s="577" t="s">
        <v>6125</v>
      </c>
      <c r="D31" s="580" t="s">
        <v>6430</v>
      </c>
      <c r="E31" s="708"/>
      <c r="F31" s="582">
        <v>300000</v>
      </c>
    </row>
    <row r="32" spans="1:6" ht="15.6" x14ac:dyDescent="0.3">
      <c r="A32" s="588">
        <v>46021</v>
      </c>
      <c r="B32" s="580" t="s">
        <v>6339</v>
      </c>
      <c r="C32" s="577" t="s">
        <v>6125</v>
      </c>
      <c r="D32" s="580" t="s">
        <v>6431</v>
      </c>
      <c r="E32" s="708"/>
      <c r="F32" s="582">
        <v>1000000</v>
      </c>
    </row>
    <row r="33" spans="1:6" ht="15.6" x14ac:dyDescent="0.3">
      <c r="A33" s="588">
        <v>46021</v>
      </c>
      <c r="B33" s="580" t="s">
        <v>6339</v>
      </c>
      <c r="C33" s="577" t="s">
        <v>6125</v>
      </c>
      <c r="D33" s="580" t="s">
        <v>6432</v>
      </c>
      <c r="E33" s="708"/>
      <c r="F33" s="582">
        <v>1035000</v>
      </c>
    </row>
    <row r="34" spans="1:6" ht="15.6" x14ac:dyDescent="0.3">
      <c r="A34" s="588">
        <v>46021</v>
      </c>
      <c r="B34" s="580" t="s">
        <v>6339</v>
      </c>
      <c r="C34" s="577" t="s">
        <v>6125</v>
      </c>
      <c r="D34" s="580" t="s">
        <v>6433</v>
      </c>
      <c r="E34" s="708"/>
      <c r="F34" s="582">
        <v>31500</v>
      </c>
    </row>
    <row r="35" spans="1:6" ht="15.6" x14ac:dyDescent="0.3">
      <c r="A35" s="588">
        <v>46021</v>
      </c>
      <c r="B35" s="580" t="s">
        <v>6339</v>
      </c>
      <c r="C35" s="577" t="s">
        <v>6125</v>
      </c>
      <c r="D35" s="580" t="s">
        <v>6434</v>
      </c>
      <c r="E35" s="708"/>
      <c r="F35" s="582">
        <v>81000</v>
      </c>
    </row>
    <row r="36" spans="1:6" ht="15.6" x14ac:dyDescent="0.3">
      <c r="A36" s="588">
        <v>46021</v>
      </c>
      <c r="B36" s="580" t="s">
        <v>6339</v>
      </c>
      <c r="C36" s="577" t="s">
        <v>6125</v>
      </c>
      <c r="D36" s="580" t="s">
        <v>6435</v>
      </c>
      <c r="E36" s="708"/>
      <c r="F36" s="582">
        <v>120000</v>
      </c>
    </row>
    <row r="37" spans="1:6" ht="15.6" x14ac:dyDescent="0.3">
      <c r="A37" s="588">
        <v>46021</v>
      </c>
      <c r="B37" s="580" t="s">
        <v>6339</v>
      </c>
      <c r="C37" s="577" t="s">
        <v>6125</v>
      </c>
      <c r="D37" s="580" t="s">
        <v>6436</v>
      </c>
      <c r="E37" s="708"/>
      <c r="F37" s="582">
        <v>140500</v>
      </c>
    </row>
    <row r="38" spans="1:6" ht="15.6" x14ac:dyDescent="0.3">
      <c r="A38" s="588">
        <v>46021</v>
      </c>
      <c r="B38" s="580" t="s">
        <v>6339</v>
      </c>
      <c r="C38" s="577" t="s">
        <v>6125</v>
      </c>
      <c r="D38" s="580" t="s">
        <v>105</v>
      </c>
      <c r="E38" s="708"/>
      <c r="F38" s="582">
        <v>2500</v>
      </c>
    </row>
    <row r="39" spans="1:6" ht="15.6" x14ac:dyDescent="0.3">
      <c r="A39" s="588">
        <v>46021</v>
      </c>
      <c r="B39" s="580" t="s">
        <v>6339</v>
      </c>
      <c r="C39" s="577" t="s">
        <v>6125</v>
      </c>
      <c r="D39" s="580" t="s">
        <v>105</v>
      </c>
      <c r="E39" s="708"/>
      <c r="F39" s="582">
        <v>2500</v>
      </c>
    </row>
    <row r="40" spans="1:6" ht="15.6" x14ac:dyDescent="0.3">
      <c r="A40" s="588">
        <v>46021</v>
      </c>
      <c r="B40" s="580" t="s">
        <v>6339</v>
      </c>
      <c r="C40" s="577" t="s">
        <v>6125</v>
      </c>
      <c r="D40" s="580" t="s">
        <v>3131</v>
      </c>
      <c r="E40" s="708"/>
      <c r="F40" s="582">
        <v>2500</v>
      </c>
    </row>
    <row r="41" spans="1:6" ht="15" x14ac:dyDescent="0.3">
      <c r="A41" s="607">
        <v>46029</v>
      </c>
      <c r="B41" s="128" t="s">
        <v>6497</v>
      </c>
      <c r="C41" s="712" t="s">
        <v>6125</v>
      </c>
      <c r="D41" s="713" t="s">
        <v>6616</v>
      </c>
      <c r="E41" s="647"/>
      <c r="F41" s="612">
        <v>12770000</v>
      </c>
    </row>
    <row r="42" spans="1:6" ht="15" x14ac:dyDescent="0.3">
      <c r="A42" s="600">
        <v>46029</v>
      </c>
      <c r="B42" s="126" t="s">
        <v>6497</v>
      </c>
      <c r="C42" s="268" t="s">
        <v>6125</v>
      </c>
      <c r="D42" s="638" t="s">
        <v>6617</v>
      </c>
      <c r="E42" s="647"/>
      <c r="F42" s="647">
        <v>1404700</v>
      </c>
    </row>
    <row r="43" spans="1:6" ht="15" x14ac:dyDescent="0.3">
      <c r="A43" s="600">
        <v>46029</v>
      </c>
      <c r="B43" s="126" t="s">
        <v>6497</v>
      </c>
      <c r="C43" s="268" t="s">
        <v>6125</v>
      </c>
      <c r="D43" s="638" t="s">
        <v>6142</v>
      </c>
      <c r="E43" s="647"/>
      <c r="F43" s="612">
        <v>2900</v>
      </c>
    </row>
    <row r="44" spans="1:6" ht="15" x14ac:dyDescent="0.3">
      <c r="A44" s="600">
        <v>46031</v>
      </c>
      <c r="B44" s="126" t="s">
        <v>6618</v>
      </c>
      <c r="C44" s="614" t="s">
        <v>6125</v>
      </c>
      <c r="D44" s="615" t="s">
        <v>6619</v>
      </c>
      <c r="E44" s="356"/>
      <c r="F44" s="621">
        <v>4000000</v>
      </c>
    </row>
    <row r="45" spans="1:6" ht="15" x14ac:dyDescent="0.3">
      <c r="A45" s="600">
        <v>46031</v>
      </c>
      <c r="B45" s="126" t="s">
        <v>6618</v>
      </c>
      <c r="C45" s="614" t="s">
        <v>6125</v>
      </c>
      <c r="D45" s="615" t="s">
        <v>6620</v>
      </c>
      <c r="E45" s="356"/>
      <c r="F45" s="621">
        <v>2900</v>
      </c>
    </row>
    <row r="46" spans="1:6" ht="15" x14ac:dyDescent="0.3">
      <c r="A46" s="600">
        <v>46024</v>
      </c>
      <c r="B46" s="126" t="s">
        <v>6526</v>
      </c>
      <c r="C46" s="126" t="s">
        <v>6125</v>
      </c>
      <c r="D46" s="709" t="s">
        <v>6621</v>
      </c>
      <c r="E46" s="566"/>
      <c r="F46" s="714">
        <v>1000000</v>
      </c>
    </row>
    <row r="47" spans="1:6" ht="15" x14ac:dyDescent="0.3">
      <c r="A47" s="600">
        <v>46024</v>
      </c>
      <c r="B47" s="126" t="s">
        <v>6526</v>
      </c>
      <c r="C47" s="126" t="s">
        <v>6125</v>
      </c>
      <c r="D47" s="709" t="s">
        <v>6622</v>
      </c>
      <c r="E47" s="612"/>
      <c r="F47" s="714">
        <v>470000</v>
      </c>
    </row>
    <row r="48" spans="1:6" ht="15" x14ac:dyDescent="0.3">
      <c r="A48" s="600">
        <v>46027</v>
      </c>
      <c r="B48" s="126" t="s">
        <v>6569</v>
      </c>
      <c r="C48" s="650" t="s">
        <v>6125</v>
      </c>
      <c r="D48" s="657" t="s">
        <v>6623</v>
      </c>
      <c r="E48" s="612"/>
      <c r="F48" s="567">
        <v>184300</v>
      </c>
    </row>
    <row r="49" spans="1:6" ht="15" x14ac:dyDescent="0.3">
      <c r="A49" s="600">
        <v>46027</v>
      </c>
      <c r="B49" s="126" t="s">
        <v>6569</v>
      </c>
      <c r="C49" s="650" t="s">
        <v>6125</v>
      </c>
      <c r="D49" s="657" t="s">
        <v>5276</v>
      </c>
      <c r="E49" s="612"/>
      <c r="F49" s="567">
        <v>35000</v>
      </c>
    </row>
    <row r="50" spans="1:6" ht="15" x14ac:dyDescent="0.3">
      <c r="A50" s="600">
        <v>46027</v>
      </c>
      <c r="B50" s="126" t="s">
        <v>6569</v>
      </c>
      <c r="C50" s="650" t="s">
        <v>6125</v>
      </c>
      <c r="D50" s="657" t="s">
        <v>6624</v>
      </c>
      <c r="E50" s="612"/>
      <c r="F50" s="567">
        <v>54700</v>
      </c>
    </row>
    <row r="51" spans="1:6" ht="15" x14ac:dyDescent="0.3">
      <c r="A51" s="600">
        <v>46027</v>
      </c>
      <c r="B51" s="126" t="s">
        <v>6569</v>
      </c>
      <c r="C51" s="650" t="s">
        <v>6125</v>
      </c>
      <c r="D51" s="657" t="s">
        <v>6625</v>
      </c>
      <c r="E51" s="612"/>
      <c r="F51" s="567">
        <v>80000</v>
      </c>
    </row>
    <row r="52" spans="1:6" ht="15" x14ac:dyDescent="0.3">
      <c r="A52" s="600">
        <v>46027</v>
      </c>
      <c r="B52" s="126" t="s">
        <v>6569</v>
      </c>
      <c r="C52" s="650" t="s">
        <v>6125</v>
      </c>
      <c r="D52" s="657" t="s">
        <v>6626</v>
      </c>
      <c r="E52" s="612"/>
      <c r="F52" s="567">
        <v>5000</v>
      </c>
    </row>
    <row r="53" spans="1:6" ht="15" x14ac:dyDescent="0.3">
      <c r="A53" s="600">
        <v>46027</v>
      </c>
      <c r="B53" s="126" t="s">
        <v>6569</v>
      </c>
      <c r="C53" s="650" t="s">
        <v>6125</v>
      </c>
      <c r="D53" s="657" t="s">
        <v>5221</v>
      </c>
      <c r="E53" s="612"/>
      <c r="F53" s="567">
        <v>42000</v>
      </c>
    </row>
    <row r="54" spans="1:6" ht="15" x14ac:dyDescent="0.3">
      <c r="A54" s="600">
        <v>46027</v>
      </c>
      <c r="B54" s="126" t="s">
        <v>6569</v>
      </c>
      <c r="C54" s="650" t="s">
        <v>6125</v>
      </c>
      <c r="D54" s="657" t="s">
        <v>6627</v>
      </c>
      <c r="E54" s="612"/>
      <c r="F54" s="567">
        <v>25000</v>
      </c>
    </row>
    <row r="55" spans="1:6" ht="15" x14ac:dyDescent="0.3">
      <c r="A55" s="600">
        <v>46028</v>
      </c>
      <c r="B55" s="126" t="s">
        <v>6467</v>
      </c>
      <c r="C55" s="126" t="s">
        <v>6125</v>
      </c>
      <c r="D55" s="636" t="s">
        <v>6628</v>
      </c>
      <c r="E55" s="612"/>
      <c r="F55" s="647">
        <v>585720</v>
      </c>
    </row>
    <row r="56" spans="1:6" ht="15" x14ac:dyDescent="0.3">
      <c r="A56" s="600">
        <v>46030</v>
      </c>
      <c r="B56" s="656" t="s">
        <v>6531</v>
      </c>
      <c r="C56" s="650" t="s">
        <v>6629</v>
      </c>
      <c r="D56" s="657" t="s">
        <v>6630</v>
      </c>
      <c r="E56" s="612"/>
      <c r="F56" s="647">
        <v>200000</v>
      </c>
    </row>
    <row r="57" spans="1:6" ht="15" x14ac:dyDescent="0.3">
      <c r="A57" s="600">
        <v>46030</v>
      </c>
      <c r="B57" s="656" t="s">
        <v>6531</v>
      </c>
      <c r="C57" s="650" t="s">
        <v>6629</v>
      </c>
      <c r="D57" s="657" t="s">
        <v>6631</v>
      </c>
      <c r="E57" s="612"/>
      <c r="F57" s="647">
        <v>67000</v>
      </c>
    </row>
    <row r="58" spans="1:6" ht="15" x14ac:dyDescent="0.3">
      <c r="A58" s="600">
        <v>46030</v>
      </c>
      <c r="B58" s="656" t="s">
        <v>6531</v>
      </c>
      <c r="C58" s="650" t="s">
        <v>6629</v>
      </c>
      <c r="D58" s="657" t="s">
        <v>6632</v>
      </c>
      <c r="E58" s="612"/>
      <c r="F58" s="647">
        <v>198400</v>
      </c>
    </row>
    <row r="59" spans="1:6" ht="15" x14ac:dyDescent="0.3">
      <c r="A59" s="600">
        <v>46030</v>
      </c>
      <c r="B59" s="656" t="s">
        <v>6531</v>
      </c>
      <c r="C59" s="650" t="s">
        <v>6125</v>
      </c>
      <c r="D59" s="657" t="s">
        <v>6633</v>
      </c>
      <c r="E59" s="612"/>
      <c r="F59" s="647">
        <v>1600000</v>
      </c>
    </row>
    <row r="60" spans="1:6" ht="15" x14ac:dyDescent="0.3">
      <c r="A60" s="600">
        <v>46031</v>
      </c>
      <c r="B60" s="656" t="s">
        <v>6634</v>
      </c>
      <c r="C60" s="650" t="s">
        <v>6125</v>
      </c>
      <c r="D60" s="657" t="s">
        <v>6635</v>
      </c>
      <c r="E60" s="612"/>
      <c r="F60" s="621">
        <v>200000</v>
      </c>
    </row>
    <row r="61" spans="1:6" ht="15" x14ac:dyDescent="0.3">
      <c r="A61" s="600">
        <v>46031</v>
      </c>
      <c r="B61" s="656" t="s">
        <v>6634</v>
      </c>
      <c r="C61" s="650" t="s">
        <v>6125</v>
      </c>
      <c r="D61" s="657" t="s">
        <v>6636</v>
      </c>
      <c r="E61" s="612"/>
      <c r="F61" s="621">
        <v>1290500</v>
      </c>
    </row>
    <row r="62" spans="1:6" ht="15" x14ac:dyDescent="0.3">
      <c r="A62" s="600">
        <v>46034</v>
      </c>
      <c r="B62" s="656" t="s">
        <v>6535</v>
      </c>
      <c r="C62" s="650" t="s">
        <v>6125</v>
      </c>
      <c r="D62" s="657" t="s">
        <v>6637</v>
      </c>
      <c r="E62" s="612"/>
      <c r="F62" s="647">
        <v>1752608</v>
      </c>
    </row>
    <row r="63" spans="1:6" ht="15" x14ac:dyDescent="0.3">
      <c r="A63" s="600">
        <v>46034</v>
      </c>
      <c r="B63" s="656" t="s">
        <v>6535</v>
      </c>
      <c r="C63" s="650" t="s">
        <v>6125</v>
      </c>
      <c r="D63" s="657" t="s">
        <v>6595</v>
      </c>
      <c r="E63" s="612"/>
      <c r="F63" s="647">
        <v>2500</v>
      </c>
    </row>
    <row r="64" spans="1:6" ht="15" x14ac:dyDescent="0.3">
      <c r="A64" s="600">
        <v>46034</v>
      </c>
      <c r="B64" s="656" t="s">
        <v>6535</v>
      </c>
      <c r="C64" s="650" t="s">
        <v>6125</v>
      </c>
      <c r="D64" s="657" t="s">
        <v>6638</v>
      </c>
      <c r="E64" s="612"/>
      <c r="F64" s="647">
        <v>23111</v>
      </c>
    </row>
    <row r="65" spans="1:6" ht="15" x14ac:dyDescent="0.3">
      <c r="A65" s="600">
        <v>46034</v>
      </c>
      <c r="B65" s="656" t="s">
        <v>6535</v>
      </c>
      <c r="C65" s="650" t="s">
        <v>6125</v>
      </c>
      <c r="D65" s="657" t="s">
        <v>6639</v>
      </c>
      <c r="E65" s="612"/>
      <c r="F65" s="647">
        <v>150000</v>
      </c>
    </row>
    <row r="66" spans="1:6" ht="15" x14ac:dyDescent="0.3">
      <c r="A66" s="600">
        <v>46034</v>
      </c>
      <c r="B66" s="656" t="s">
        <v>6535</v>
      </c>
      <c r="C66" s="650" t="s">
        <v>6125</v>
      </c>
      <c r="D66" s="657" t="s">
        <v>6640</v>
      </c>
      <c r="E66" s="612"/>
      <c r="F66" s="647">
        <v>52750</v>
      </c>
    </row>
    <row r="67" spans="1:6" ht="15" x14ac:dyDescent="0.3">
      <c r="A67" s="600">
        <v>46034</v>
      </c>
      <c r="B67" s="656" t="s">
        <v>6535</v>
      </c>
      <c r="C67" s="650" t="s">
        <v>6125</v>
      </c>
      <c r="D67" s="657" t="s">
        <v>6641</v>
      </c>
      <c r="E67" s="612"/>
      <c r="F67" s="647">
        <v>81000</v>
      </c>
    </row>
    <row r="68" spans="1:6" ht="15" x14ac:dyDescent="0.3">
      <c r="A68" s="600">
        <v>46034</v>
      </c>
      <c r="B68" s="656" t="s">
        <v>6535</v>
      </c>
      <c r="C68" s="650" t="s">
        <v>6125</v>
      </c>
      <c r="D68" s="657" t="s">
        <v>6642</v>
      </c>
      <c r="E68" s="647"/>
      <c r="F68" s="647">
        <v>80000</v>
      </c>
    </row>
    <row r="69" spans="1:6" ht="15" x14ac:dyDescent="0.3">
      <c r="A69" s="600">
        <v>46034</v>
      </c>
      <c r="B69" s="656" t="s">
        <v>6535</v>
      </c>
      <c r="C69" s="650" t="s">
        <v>6125</v>
      </c>
      <c r="D69" s="657" t="s">
        <v>6643</v>
      </c>
      <c r="E69" s="647"/>
      <c r="F69" s="647">
        <v>40000</v>
      </c>
    </row>
    <row r="70" spans="1:6" ht="15" x14ac:dyDescent="0.3">
      <c r="A70" s="600">
        <v>46034</v>
      </c>
      <c r="B70" s="656" t="s">
        <v>6535</v>
      </c>
      <c r="C70" s="650" t="s">
        <v>6125</v>
      </c>
      <c r="D70" s="657" t="s">
        <v>6644</v>
      </c>
      <c r="E70" s="647"/>
      <c r="F70" s="647">
        <v>42000</v>
      </c>
    </row>
    <row r="71" spans="1:6" ht="15" x14ac:dyDescent="0.3">
      <c r="A71" s="600">
        <v>46034</v>
      </c>
      <c r="B71" s="656" t="s">
        <v>6535</v>
      </c>
      <c r="C71" s="650" t="s">
        <v>6125</v>
      </c>
      <c r="D71" s="657" t="s">
        <v>6645</v>
      </c>
      <c r="E71" s="612"/>
      <c r="F71" s="647">
        <v>2000000</v>
      </c>
    </row>
    <row r="72" spans="1:6" ht="15" x14ac:dyDescent="0.3">
      <c r="A72" s="600">
        <v>46034</v>
      </c>
      <c r="B72" s="656" t="s">
        <v>6535</v>
      </c>
      <c r="C72" s="650" t="s">
        <v>6125</v>
      </c>
      <c r="D72" s="657" t="s">
        <v>6646</v>
      </c>
      <c r="E72" s="612"/>
      <c r="F72" s="647">
        <v>-40000</v>
      </c>
    </row>
    <row r="73" spans="1:6" ht="15" x14ac:dyDescent="0.3">
      <c r="A73" s="600">
        <v>46034</v>
      </c>
      <c r="B73" s="656" t="s">
        <v>6535</v>
      </c>
      <c r="C73" s="650" t="s">
        <v>6125</v>
      </c>
      <c r="D73" s="657" t="s">
        <v>4980</v>
      </c>
      <c r="E73" s="612"/>
      <c r="F73" s="647">
        <v>2500</v>
      </c>
    </row>
    <row r="74" spans="1:6" ht="15" x14ac:dyDescent="0.3">
      <c r="A74" s="600">
        <v>46034</v>
      </c>
      <c r="B74" s="126" t="s">
        <v>6540</v>
      </c>
      <c r="C74" s="126" t="s">
        <v>6125</v>
      </c>
      <c r="D74" s="688" t="s">
        <v>6647</v>
      </c>
      <c r="E74" s="612"/>
      <c r="F74" s="647">
        <v>1234500</v>
      </c>
    </row>
    <row r="75" spans="1:6" ht="15" x14ac:dyDescent="0.3">
      <c r="A75" s="600">
        <v>46034</v>
      </c>
      <c r="B75" s="126" t="s">
        <v>6540</v>
      </c>
      <c r="C75" s="126" t="s">
        <v>6125</v>
      </c>
      <c r="D75" s="688" t="s">
        <v>6457</v>
      </c>
      <c r="E75" s="612"/>
      <c r="F75" s="647">
        <v>2500</v>
      </c>
    </row>
    <row r="76" spans="1:6" ht="15" x14ac:dyDescent="0.3">
      <c r="A76" s="600">
        <v>46034</v>
      </c>
      <c r="B76" s="126" t="s">
        <v>6540</v>
      </c>
      <c r="C76" s="126" t="s">
        <v>6125</v>
      </c>
      <c r="D76" s="636" t="s">
        <v>6648</v>
      </c>
      <c r="E76" s="647"/>
      <c r="F76" s="647">
        <v>900000</v>
      </c>
    </row>
    <row r="77" spans="1:6" ht="15" x14ac:dyDescent="0.3">
      <c r="A77" s="600">
        <v>46034</v>
      </c>
      <c r="B77" s="126" t="s">
        <v>6540</v>
      </c>
      <c r="C77" s="126" t="s">
        <v>6125</v>
      </c>
      <c r="D77" s="636" t="s">
        <v>6457</v>
      </c>
      <c r="E77" s="647"/>
      <c r="F77" s="647">
        <v>2500</v>
      </c>
    </row>
    <row r="78" spans="1:6" ht="15" x14ac:dyDescent="0.3">
      <c r="A78" s="600">
        <v>46034</v>
      </c>
      <c r="B78" s="126" t="s">
        <v>6540</v>
      </c>
      <c r="C78" s="126" t="s">
        <v>6125</v>
      </c>
      <c r="D78" s="651" t="s">
        <v>6649</v>
      </c>
      <c r="E78" s="647"/>
      <c r="F78" s="647">
        <v>1485000</v>
      </c>
    </row>
    <row r="79" spans="1:6" ht="15" x14ac:dyDescent="0.3">
      <c r="A79" s="600">
        <v>46034</v>
      </c>
      <c r="B79" s="126" t="s">
        <v>6540</v>
      </c>
      <c r="C79" s="126" t="s">
        <v>6125</v>
      </c>
      <c r="D79" s="709" t="s">
        <v>6457</v>
      </c>
      <c r="E79" s="647"/>
      <c r="F79" s="647">
        <v>2500</v>
      </c>
    </row>
    <row r="80" spans="1:6" ht="15" x14ac:dyDescent="0.3">
      <c r="A80" s="600">
        <v>46034</v>
      </c>
      <c r="B80" s="126" t="s">
        <v>6470</v>
      </c>
      <c r="C80" s="126" t="s">
        <v>6125</v>
      </c>
      <c r="D80" s="636" t="s">
        <v>6650</v>
      </c>
      <c r="E80" s="647"/>
      <c r="F80" s="647">
        <v>3897436</v>
      </c>
    </row>
    <row r="81" spans="1:6" ht="15" x14ac:dyDescent="0.3">
      <c r="A81" s="600">
        <v>46034</v>
      </c>
      <c r="B81" s="126" t="s">
        <v>6470</v>
      </c>
      <c r="C81" s="126" t="s">
        <v>6125</v>
      </c>
      <c r="D81" s="636" t="s">
        <v>6651</v>
      </c>
      <c r="E81" s="647"/>
      <c r="F81" s="647">
        <v>-97436</v>
      </c>
    </row>
    <row r="82" spans="1:6" ht="15" x14ac:dyDescent="0.3">
      <c r="A82" s="600">
        <v>46034</v>
      </c>
      <c r="B82" s="126" t="s">
        <v>6470</v>
      </c>
      <c r="C82" s="126" t="s">
        <v>6125</v>
      </c>
      <c r="D82" s="636" t="s">
        <v>2372</v>
      </c>
      <c r="E82" s="647"/>
      <c r="F82" s="647">
        <v>2500</v>
      </c>
    </row>
    <row r="83" spans="1:6" ht="15" x14ac:dyDescent="0.3">
      <c r="A83" s="600">
        <v>46034</v>
      </c>
      <c r="B83" s="126" t="s">
        <v>6470</v>
      </c>
      <c r="C83" s="126" t="s">
        <v>6125</v>
      </c>
      <c r="D83" s="636" t="s">
        <v>6652</v>
      </c>
      <c r="E83" s="647"/>
      <c r="F83" s="621">
        <v>650000</v>
      </c>
    </row>
    <row r="84" spans="1:6" ht="15" x14ac:dyDescent="0.3">
      <c r="A84" s="600">
        <v>46034</v>
      </c>
      <c r="B84" s="126" t="s">
        <v>6470</v>
      </c>
      <c r="C84" s="126" t="s">
        <v>6125</v>
      </c>
      <c r="D84" s="709" t="s">
        <v>2372</v>
      </c>
      <c r="E84" s="647"/>
      <c r="F84" s="621">
        <v>2500</v>
      </c>
    </row>
    <row r="85" spans="1:6" ht="15" x14ac:dyDescent="0.3">
      <c r="A85" s="600">
        <v>46034</v>
      </c>
      <c r="B85" s="126" t="s">
        <v>6470</v>
      </c>
      <c r="C85" s="126" t="s">
        <v>6125</v>
      </c>
      <c r="D85" s="709" t="s">
        <v>6653</v>
      </c>
      <c r="E85" s="647"/>
      <c r="F85" s="621">
        <v>596025</v>
      </c>
    </row>
    <row r="86" spans="1:6" ht="15" x14ac:dyDescent="0.3">
      <c r="A86" s="600">
        <v>46034</v>
      </c>
      <c r="B86" s="126" t="s">
        <v>6470</v>
      </c>
      <c r="C86" s="126" t="s">
        <v>6125</v>
      </c>
      <c r="D86" s="709" t="s">
        <v>6654</v>
      </c>
      <c r="E86" s="647"/>
      <c r="F86" s="647">
        <v>92000</v>
      </c>
    </row>
    <row r="87" spans="1:6" ht="15" x14ac:dyDescent="0.3">
      <c r="A87" s="600">
        <v>46034</v>
      </c>
      <c r="B87" s="126" t="s">
        <v>6470</v>
      </c>
      <c r="C87" s="126" t="s">
        <v>6125</v>
      </c>
      <c r="D87" s="709" t="s">
        <v>6655</v>
      </c>
      <c r="E87" s="647"/>
      <c r="F87" s="647">
        <v>72000</v>
      </c>
    </row>
    <row r="88" spans="1:6" ht="15" x14ac:dyDescent="0.3">
      <c r="A88" s="600">
        <v>46034</v>
      </c>
      <c r="B88" s="126" t="s">
        <v>6470</v>
      </c>
      <c r="C88" s="126" t="s">
        <v>6125</v>
      </c>
      <c r="D88" s="709" t="s">
        <v>2372</v>
      </c>
      <c r="E88" s="647"/>
      <c r="F88" s="647">
        <v>2500</v>
      </c>
    </row>
    <row r="89" spans="1:6" ht="15" x14ac:dyDescent="0.3">
      <c r="A89" s="600">
        <v>46034</v>
      </c>
      <c r="B89" s="126" t="s">
        <v>6470</v>
      </c>
      <c r="C89" s="126" t="s">
        <v>6125</v>
      </c>
      <c r="D89" s="709" t="s">
        <v>6656</v>
      </c>
      <c r="E89" s="647"/>
      <c r="F89" s="647">
        <v>871750</v>
      </c>
    </row>
    <row r="90" spans="1:6" ht="15" x14ac:dyDescent="0.3">
      <c r="A90" s="600">
        <v>46034</v>
      </c>
      <c r="B90" s="126" t="s">
        <v>6470</v>
      </c>
      <c r="C90" s="126" t="s">
        <v>6125</v>
      </c>
      <c r="D90" s="709" t="s">
        <v>6657</v>
      </c>
      <c r="E90" s="647"/>
      <c r="F90" s="647">
        <v>150000</v>
      </c>
    </row>
    <row r="91" spans="1:6" ht="15" x14ac:dyDescent="0.3">
      <c r="A91" s="600">
        <v>46034</v>
      </c>
      <c r="B91" s="126" t="s">
        <v>6470</v>
      </c>
      <c r="C91" s="126" t="s">
        <v>6125</v>
      </c>
      <c r="D91" s="709" t="s">
        <v>6658</v>
      </c>
      <c r="E91" s="647"/>
      <c r="F91" s="621">
        <v>266920</v>
      </c>
    </row>
    <row r="92" spans="1:6" ht="15" x14ac:dyDescent="0.3">
      <c r="A92" s="600">
        <v>46034</v>
      </c>
      <c r="B92" s="126" t="s">
        <v>6470</v>
      </c>
      <c r="C92" s="126" t="s">
        <v>6125</v>
      </c>
      <c r="D92" s="709" t="s">
        <v>6659</v>
      </c>
      <c r="E92" s="647"/>
      <c r="F92" s="647">
        <v>300000</v>
      </c>
    </row>
    <row r="93" spans="1:6" ht="15" x14ac:dyDescent="0.3">
      <c r="A93" s="600">
        <v>46037</v>
      </c>
      <c r="B93" s="126" t="s">
        <v>6473</v>
      </c>
      <c r="C93" s="126" t="s">
        <v>6125</v>
      </c>
      <c r="D93" s="688" t="s">
        <v>6660</v>
      </c>
      <c r="E93" s="647"/>
      <c r="F93" s="647">
        <v>200000</v>
      </c>
    </row>
    <row r="94" spans="1:6" ht="15" x14ac:dyDescent="0.3">
      <c r="A94" s="600">
        <v>46037</v>
      </c>
      <c r="B94" s="126" t="s">
        <v>6473</v>
      </c>
      <c r="C94" s="126" t="s">
        <v>6125</v>
      </c>
      <c r="D94" s="688" t="s">
        <v>6661</v>
      </c>
      <c r="E94" s="647"/>
      <c r="F94" s="647">
        <v>170000</v>
      </c>
    </row>
    <row r="95" spans="1:6" ht="15" x14ac:dyDescent="0.3">
      <c r="A95" s="600">
        <v>46037</v>
      </c>
      <c r="B95" s="126" t="s">
        <v>6473</v>
      </c>
      <c r="C95" s="126" t="s">
        <v>6125</v>
      </c>
      <c r="D95" s="688" t="s">
        <v>6662</v>
      </c>
      <c r="E95" s="647"/>
      <c r="F95" s="647">
        <v>150000</v>
      </c>
    </row>
    <row r="96" spans="1:6" ht="15" x14ac:dyDescent="0.3">
      <c r="A96" s="600">
        <v>46037</v>
      </c>
      <c r="B96" s="126" t="s">
        <v>6473</v>
      </c>
      <c r="C96" s="126" t="s">
        <v>6125</v>
      </c>
      <c r="D96" s="688" t="s">
        <v>6663</v>
      </c>
      <c r="E96" s="647"/>
      <c r="F96" s="647">
        <v>10000</v>
      </c>
    </row>
    <row r="97" spans="1:6" ht="15" x14ac:dyDescent="0.3">
      <c r="A97" s="600">
        <v>46037</v>
      </c>
      <c r="B97" s="126" t="s">
        <v>6473</v>
      </c>
      <c r="C97" s="126" t="s">
        <v>6125</v>
      </c>
      <c r="D97" s="688" t="s">
        <v>6664</v>
      </c>
      <c r="E97" s="647"/>
      <c r="F97" s="647">
        <v>40000</v>
      </c>
    </row>
    <row r="98" spans="1:6" ht="15" x14ac:dyDescent="0.3">
      <c r="A98" s="600">
        <v>46037</v>
      </c>
      <c r="B98" s="126" t="s">
        <v>6473</v>
      </c>
      <c r="C98" s="126" t="s">
        <v>6125</v>
      </c>
      <c r="D98" s="688" t="s">
        <v>6665</v>
      </c>
      <c r="E98" s="647"/>
      <c r="F98" s="647">
        <v>25000</v>
      </c>
    </row>
    <row r="99" spans="1:6" ht="15" x14ac:dyDescent="0.3">
      <c r="A99" s="600">
        <v>46037</v>
      </c>
      <c r="B99" s="126" t="s">
        <v>6473</v>
      </c>
      <c r="C99" s="126" t="s">
        <v>6125</v>
      </c>
      <c r="D99" s="688" t="s">
        <v>6666</v>
      </c>
      <c r="E99" s="647"/>
      <c r="F99" s="647">
        <v>42000</v>
      </c>
    </row>
    <row r="100" spans="1:6" ht="15" x14ac:dyDescent="0.3">
      <c r="A100" s="600">
        <v>46037</v>
      </c>
      <c r="B100" s="126" t="s">
        <v>6473</v>
      </c>
      <c r="C100" s="126" t="s">
        <v>6125</v>
      </c>
      <c r="D100" s="688" t="s">
        <v>6667</v>
      </c>
      <c r="E100" s="647"/>
      <c r="F100" s="647">
        <v>302800</v>
      </c>
    </row>
    <row r="101" spans="1:6" ht="15" x14ac:dyDescent="0.3">
      <c r="A101" s="600">
        <v>46037</v>
      </c>
      <c r="B101" s="126" t="s">
        <v>6473</v>
      </c>
      <c r="C101" s="126" t="s">
        <v>6125</v>
      </c>
      <c r="D101" s="688" t="s">
        <v>6668</v>
      </c>
      <c r="E101" s="647"/>
      <c r="F101" s="647">
        <v>26900</v>
      </c>
    </row>
    <row r="102" spans="1:6" ht="15" x14ac:dyDescent="0.3">
      <c r="A102" s="600">
        <v>46037</v>
      </c>
      <c r="B102" s="126" t="s">
        <v>6473</v>
      </c>
      <c r="C102" s="126" t="s">
        <v>6125</v>
      </c>
      <c r="D102" s="688" t="s">
        <v>50</v>
      </c>
      <c r="E102" s="647"/>
      <c r="F102" s="647">
        <v>2500</v>
      </c>
    </row>
    <row r="103" spans="1:6" ht="15" x14ac:dyDescent="0.3">
      <c r="A103" s="600">
        <v>46039</v>
      </c>
      <c r="B103" s="126" t="s">
        <v>6476</v>
      </c>
      <c r="C103" s="126" t="s">
        <v>6125</v>
      </c>
      <c r="D103" s="688" t="s">
        <v>6669</v>
      </c>
      <c r="E103" s="647"/>
      <c r="F103" s="621">
        <v>336000</v>
      </c>
    </row>
    <row r="104" spans="1:6" ht="15" x14ac:dyDescent="0.3">
      <c r="A104" s="600">
        <v>46039</v>
      </c>
      <c r="B104" s="126" t="s">
        <v>6476</v>
      </c>
      <c r="C104" s="126" t="s">
        <v>6125</v>
      </c>
      <c r="D104" s="688" t="s">
        <v>6670</v>
      </c>
      <c r="E104" s="647"/>
      <c r="F104" s="621">
        <v>17000</v>
      </c>
    </row>
    <row r="105" spans="1:6" ht="15" x14ac:dyDescent="0.3">
      <c r="A105" s="600">
        <v>46039</v>
      </c>
      <c r="B105" s="126" t="s">
        <v>6476</v>
      </c>
      <c r="C105" s="126" t="s">
        <v>6125</v>
      </c>
      <c r="D105" s="688" t="s">
        <v>6671</v>
      </c>
      <c r="E105" s="647"/>
      <c r="F105" s="621">
        <v>60000</v>
      </c>
    </row>
    <row r="106" spans="1:6" ht="15" x14ac:dyDescent="0.3">
      <c r="A106" s="600">
        <v>46039</v>
      </c>
      <c r="B106" s="126" t="s">
        <v>6476</v>
      </c>
      <c r="C106" s="126" t="s">
        <v>6125</v>
      </c>
      <c r="D106" s="688" t="s">
        <v>6672</v>
      </c>
      <c r="E106" s="647"/>
      <c r="F106" s="621">
        <v>88600</v>
      </c>
    </row>
    <row r="107" spans="1:6" ht="15" x14ac:dyDescent="0.3">
      <c r="A107" s="600">
        <v>46039</v>
      </c>
      <c r="B107" s="126" t="s">
        <v>6476</v>
      </c>
      <c r="C107" s="126" t="s">
        <v>6125</v>
      </c>
      <c r="D107" s="688" t="s">
        <v>6673</v>
      </c>
      <c r="E107" s="647"/>
      <c r="F107" s="621">
        <v>89800</v>
      </c>
    </row>
    <row r="108" spans="1:6" ht="15" x14ac:dyDescent="0.3">
      <c r="A108" s="600">
        <v>46039</v>
      </c>
      <c r="B108" s="126" t="s">
        <v>6476</v>
      </c>
      <c r="C108" s="126" t="s">
        <v>6125</v>
      </c>
      <c r="D108" s="688" t="s">
        <v>6674</v>
      </c>
      <c r="E108" s="647"/>
      <c r="F108" s="621">
        <v>15000</v>
      </c>
    </row>
    <row r="109" spans="1:6" ht="15" x14ac:dyDescent="0.3">
      <c r="A109" s="600">
        <v>46039</v>
      </c>
      <c r="B109" s="126" t="s">
        <v>6476</v>
      </c>
      <c r="C109" s="126" t="s">
        <v>6125</v>
      </c>
      <c r="D109" s="688" t="s">
        <v>6675</v>
      </c>
      <c r="E109" s="647"/>
      <c r="F109" s="621">
        <v>150000</v>
      </c>
    </row>
    <row r="110" spans="1:6" ht="15" x14ac:dyDescent="0.3">
      <c r="A110" s="600">
        <v>46039</v>
      </c>
      <c r="B110" s="126" t="s">
        <v>6476</v>
      </c>
      <c r="C110" s="126" t="s">
        <v>6125</v>
      </c>
      <c r="D110" s="688" t="s">
        <v>6457</v>
      </c>
      <c r="E110" s="647"/>
      <c r="F110" s="621">
        <v>2500</v>
      </c>
    </row>
    <row r="111" spans="1:6" ht="15" x14ac:dyDescent="0.3">
      <c r="A111" s="600">
        <v>46041</v>
      </c>
      <c r="B111" s="126" t="s">
        <v>6600</v>
      </c>
      <c r="C111" s="126" t="s">
        <v>6125</v>
      </c>
      <c r="D111" s="688" t="s">
        <v>6676</v>
      </c>
      <c r="E111" s="647"/>
      <c r="F111" s="647">
        <v>200000</v>
      </c>
    </row>
    <row r="112" spans="1:6" ht="15" x14ac:dyDescent="0.3">
      <c r="A112" s="600">
        <v>46041</v>
      </c>
      <c r="B112" s="126" t="s">
        <v>6600</v>
      </c>
      <c r="C112" s="126" t="s">
        <v>6125</v>
      </c>
      <c r="D112" s="688" t="s">
        <v>6677</v>
      </c>
      <c r="E112" s="647"/>
      <c r="F112" s="647">
        <v>81000</v>
      </c>
    </row>
    <row r="113" spans="1:6" ht="15" x14ac:dyDescent="0.3">
      <c r="A113" s="600">
        <v>46041</v>
      </c>
      <c r="B113" s="126" t="s">
        <v>6600</v>
      </c>
      <c r="C113" s="126" t="s">
        <v>6125</v>
      </c>
      <c r="D113" s="688" t="s">
        <v>6678</v>
      </c>
      <c r="E113" s="647"/>
      <c r="F113" s="647">
        <v>825000</v>
      </c>
    </row>
    <row r="114" spans="1:6" ht="15" x14ac:dyDescent="0.3">
      <c r="A114" s="600">
        <v>46041</v>
      </c>
      <c r="B114" s="126" t="s">
        <v>6600</v>
      </c>
      <c r="C114" s="126" t="s">
        <v>6125</v>
      </c>
      <c r="D114" s="688" t="s">
        <v>6679</v>
      </c>
      <c r="E114" s="647"/>
      <c r="F114" s="647">
        <v>620703</v>
      </c>
    </row>
    <row r="115" spans="1:6" ht="15" x14ac:dyDescent="0.3">
      <c r="A115" s="600">
        <v>46041</v>
      </c>
      <c r="B115" s="126" t="s">
        <v>6600</v>
      </c>
      <c r="C115" s="126" t="s">
        <v>6125</v>
      </c>
      <c r="D115" s="636" t="s">
        <v>6680</v>
      </c>
      <c r="E115" s="647"/>
      <c r="F115" s="647">
        <v>420500</v>
      </c>
    </row>
    <row r="116" spans="1:6" ht="15" x14ac:dyDescent="0.3">
      <c r="A116" s="600">
        <v>46041</v>
      </c>
      <c r="B116" s="126" t="s">
        <v>6481</v>
      </c>
      <c r="C116" s="126" t="s">
        <v>6125</v>
      </c>
      <c r="D116" s="636" t="s">
        <v>6681</v>
      </c>
      <c r="E116" s="647"/>
      <c r="F116" s="647">
        <v>549450</v>
      </c>
    </row>
    <row r="117" spans="1:6" ht="15" x14ac:dyDescent="0.3">
      <c r="A117" s="600">
        <v>46041</v>
      </c>
      <c r="B117" s="126" t="s">
        <v>6481</v>
      </c>
      <c r="C117" s="126" t="s">
        <v>6125</v>
      </c>
      <c r="D117" s="636" t="s">
        <v>6682</v>
      </c>
      <c r="E117" s="647"/>
      <c r="F117" s="647">
        <v>450000</v>
      </c>
    </row>
    <row r="118" spans="1:6" ht="15" x14ac:dyDescent="0.3">
      <c r="A118" s="600">
        <v>46041</v>
      </c>
      <c r="B118" s="126" t="s">
        <v>6481</v>
      </c>
      <c r="C118" s="126" t="s">
        <v>6125</v>
      </c>
      <c r="D118" s="636" t="s">
        <v>6683</v>
      </c>
      <c r="E118" s="647"/>
      <c r="F118" s="647">
        <v>30700</v>
      </c>
    </row>
    <row r="119" spans="1:6" ht="15" x14ac:dyDescent="0.3">
      <c r="A119" s="600">
        <v>46041</v>
      </c>
      <c r="B119" s="126" t="s">
        <v>6481</v>
      </c>
      <c r="C119" s="126" t="s">
        <v>6125</v>
      </c>
      <c r="D119" s="636" t="s">
        <v>6684</v>
      </c>
      <c r="E119" s="647"/>
      <c r="F119" s="647">
        <v>50000</v>
      </c>
    </row>
    <row r="120" spans="1:6" ht="15" x14ac:dyDescent="0.3">
      <c r="A120" s="600">
        <v>46041</v>
      </c>
      <c r="B120" s="126" t="s">
        <v>6481</v>
      </c>
      <c r="C120" s="126" t="s">
        <v>6125</v>
      </c>
      <c r="D120" s="636" t="s">
        <v>6685</v>
      </c>
      <c r="E120" s="647"/>
      <c r="F120" s="647">
        <v>55400</v>
      </c>
    </row>
    <row r="121" spans="1:6" ht="15" x14ac:dyDescent="0.3">
      <c r="A121" s="600">
        <v>46041</v>
      </c>
      <c r="B121" s="126" t="s">
        <v>6481</v>
      </c>
      <c r="C121" s="126" t="s">
        <v>6125</v>
      </c>
      <c r="D121" s="636" t="s">
        <v>5572</v>
      </c>
      <c r="E121" s="647"/>
      <c r="F121" s="647">
        <v>60000</v>
      </c>
    </row>
    <row r="122" spans="1:6" ht="15" x14ac:dyDescent="0.3">
      <c r="A122" s="600">
        <v>46041</v>
      </c>
      <c r="B122" s="126" t="s">
        <v>6481</v>
      </c>
      <c r="C122" s="126" t="s">
        <v>6125</v>
      </c>
      <c r="D122" s="636" t="s">
        <v>6686</v>
      </c>
      <c r="E122" s="647"/>
      <c r="F122" s="647">
        <v>18100</v>
      </c>
    </row>
    <row r="123" spans="1:6" ht="15" x14ac:dyDescent="0.3">
      <c r="A123" s="600">
        <v>46041</v>
      </c>
      <c r="B123" s="126" t="s">
        <v>6481</v>
      </c>
      <c r="C123" s="126" t="s">
        <v>6125</v>
      </c>
      <c r="D123" s="636" t="s">
        <v>6687</v>
      </c>
      <c r="E123" s="647"/>
      <c r="F123" s="647">
        <v>21000</v>
      </c>
    </row>
    <row r="124" spans="1:6" ht="15" x14ac:dyDescent="0.3">
      <c r="A124" s="600">
        <v>46041</v>
      </c>
      <c r="B124" s="126" t="s">
        <v>6481</v>
      </c>
      <c r="C124" s="126" t="s">
        <v>6125</v>
      </c>
      <c r="D124" s="636" t="s">
        <v>6688</v>
      </c>
      <c r="E124" s="647"/>
      <c r="F124" s="647">
        <v>634000</v>
      </c>
    </row>
    <row r="125" spans="1:6" ht="15" x14ac:dyDescent="0.3">
      <c r="A125" s="600">
        <v>46041</v>
      </c>
      <c r="B125" s="126" t="s">
        <v>6481</v>
      </c>
      <c r="C125" s="126" t="s">
        <v>6125</v>
      </c>
      <c r="D125" s="636" t="s">
        <v>981</v>
      </c>
      <c r="E125" s="647"/>
      <c r="F125" s="647">
        <v>2500</v>
      </c>
    </row>
    <row r="126" spans="1:6" ht="15" x14ac:dyDescent="0.3">
      <c r="A126" s="600">
        <v>46041</v>
      </c>
      <c r="B126" s="126" t="s">
        <v>6481</v>
      </c>
      <c r="C126" s="601" t="s">
        <v>6125</v>
      </c>
      <c r="D126" s="653" t="s">
        <v>6689</v>
      </c>
      <c r="E126" s="647"/>
      <c r="F126" s="647">
        <v>5510204</v>
      </c>
    </row>
    <row r="127" spans="1:6" ht="15" x14ac:dyDescent="0.3">
      <c r="A127" s="600">
        <v>46041</v>
      </c>
      <c r="B127" s="126" t="s">
        <v>6481</v>
      </c>
      <c r="C127" s="601" t="s">
        <v>6125</v>
      </c>
      <c r="D127" s="653" t="s">
        <v>6690</v>
      </c>
      <c r="E127" s="647"/>
      <c r="F127" s="647">
        <v>-110204</v>
      </c>
    </row>
    <row r="128" spans="1:6" ht="15" x14ac:dyDescent="0.3">
      <c r="A128" s="600">
        <v>46041</v>
      </c>
      <c r="B128" s="126" t="s">
        <v>6606</v>
      </c>
      <c r="C128" s="601" t="s">
        <v>6125</v>
      </c>
      <c r="D128" s="653" t="s">
        <v>6691</v>
      </c>
      <c r="E128" s="647"/>
      <c r="F128" s="647">
        <v>503000</v>
      </c>
    </row>
    <row r="129" spans="1:6" ht="15" x14ac:dyDescent="0.3">
      <c r="A129" s="600">
        <v>46041</v>
      </c>
      <c r="B129" s="126" t="s">
        <v>6606</v>
      </c>
      <c r="C129" s="601" t="s">
        <v>6125</v>
      </c>
      <c r="D129" s="653" t="s">
        <v>6692</v>
      </c>
      <c r="E129" s="647"/>
      <c r="F129" s="647">
        <v>300000</v>
      </c>
    </row>
    <row r="130" spans="1:6" ht="15" x14ac:dyDescent="0.3">
      <c r="A130" s="600">
        <v>46041</v>
      </c>
      <c r="B130" s="126" t="s">
        <v>6606</v>
      </c>
      <c r="C130" s="601" t="s">
        <v>6125</v>
      </c>
      <c r="D130" s="653" t="s">
        <v>6686</v>
      </c>
      <c r="E130" s="647"/>
      <c r="F130" s="647">
        <v>26800</v>
      </c>
    </row>
    <row r="131" spans="1:6" ht="15" x14ac:dyDescent="0.3">
      <c r="A131" s="600">
        <v>46041</v>
      </c>
      <c r="B131" s="126" t="s">
        <v>6606</v>
      </c>
      <c r="C131" s="601" t="s">
        <v>6125</v>
      </c>
      <c r="D131" s="653" t="s">
        <v>6693</v>
      </c>
      <c r="E131" s="647"/>
      <c r="F131" s="647">
        <v>200000</v>
      </c>
    </row>
    <row r="132" spans="1:6" ht="15" x14ac:dyDescent="0.3">
      <c r="A132" s="600">
        <v>46041</v>
      </c>
      <c r="B132" s="126" t="s">
        <v>6606</v>
      </c>
      <c r="C132" s="601" t="s">
        <v>6125</v>
      </c>
      <c r="D132" s="653" t="s">
        <v>6694</v>
      </c>
      <c r="E132" s="647"/>
      <c r="F132" s="647">
        <v>21000</v>
      </c>
    </row>
    <row r="133" spans="1:6" ht="15" x14ac:dyDescent="0.3">
      <c r="A133" s="600">
        <v>46042</v>
      </c>
      <c r="B133" s="126" t="s">
        <v>6483</v>
      </c>
      <c r="C133" s="126" t="s">
        <v>6125</v>
      </c>
      <c r="D133" s="653" t="s">
        <v>6695</v>
      </c>
      <c r="E133" s="647"/>
      <c r="F133" s="647">
        <v>235820</v>
      </c>
    </row>
    <row r="134" spans="1:6" ht="15" x14ac:dyDescent="0.3">
      <c r="A134" s="600">
        <v>46042</v>
      </c>
      <c r="B134" s="126" t="s">
        <v>6483</v>
      </c>
      <c r="C134" s="126" t="s">
        <v>6125</v>
      </c>
      <c r="D134" s="653" t="s">
        <v>2372</v>
      </c>
      <c r="E134" s="647"/>
      <c r="F134" s="647">
        <v>2500</v>
      </c>
    </row>
    <row r="135" spans="1:6" ht="15" x14ac:dyDescent="0.3">
      <c r="A135" s="600">
        <v>46042</v>
      </c>
      <c r="B135" s="126" t="s">
        <v>6483</v>
      </c>
      <c r="C135" s="126" t="s">
        <v>6125</v>
      </c>
      <c r="D135" s="653" t="s">
        <v>6696</v>
      </c>
      <c r="E135" s="647"/>
      <c r="F135" s="647">
        <v>100000</v>
      </c>
    </row>
    <row r="136" spans="1:6" ht="15" x14ac:dyDescent="0.3">
      <c r="A136" s="600">
        <v>46042</v>
      </c>
      <c r="B136" s="126" t="s">
        <v>6483</v>
      </c>
      <c r="C136" s="126" t="s">
        <v>6125</v>
      </c>
      <c r="D136" s="653" t="s">
        <v>6697</v>
      </c>
      <c r="E136" s="647"/>
      <c r="F136" s="647">
        <v>34000</v>
      </c>
    </row>
    <row r="137" spans="1:6" ht="15" x14ac:dyDescent="0.3">
      <c r="A137" s="600">
        <v>46042</v>
      </c>
      <c r="B137" s="126" t="s">
        <v>6483</v>
      </c>
      <c r="C137" s="126" t="s">
        <v>6125</v>
      </c>
      <c r="D137" s="652" t="s">
        <v>6698</v>
      </c>
      <c r="E137" s="647"/>
      <c r="F137" s="647">
        <v>42000</v>
      </c>
    </row>
    <row r="138" spans="1:6" ht="15" x14ac:dyDescent="0.3">
      <c r="A138" s="600">
        <v>46042</v>
      </c>
      <c r="B138" s="126" t="s">
        <v>6483</v>
      </c>
      <c r="C138" s="126" t="s">
        <v>6125</v>
      </c>
      <c r="D138" s="652" t="s">
        <v>6699</v>
      </c>
      <c r="E138" s="647"/>
      <c r="F138" s="647">
        <v>10000</v>
      </c>
    </row>
    <row r="139" spans="1:6" ht="15" x14ac:dyDescent="0.3">
      <c r="A139" s="600">
        <v>46042</v>
      </c>
      <c r="B139" s="126" t="s">
        <v>6483</v>
      </c>
      <c r="C139" s="126" t="s">
        <v>6125</v>
      </c>
      <c r="D139" s="652" t="s">
        <v>6700</v>
      </c>
      <c r="E139" s="647"/>
      <c r="F139" s="647">
        <v>100000</v>
      </c>
    </row>
    <row r="140" spans="1:6" ht="15" x14ac:dyDescent="0.3">
      <c r="A140" s="600">
        <v>46042</v>
      </c>
      <c r="B140" s="126" t="s">
        <v>6483</v>
      </c>
      <c r="C140" s="126" t="s">
        <v>6125</v>
      </c>
      <c r="D140" s="652" t="s">
        <v>6701</v>
      </c>
      <c r="E140" s="647"/>
      <c r="F140" s="647">
        <v>119000</v>
      </c>
    </row>
    <row r="141" spans="1:6" ht="15" x14ac:dyDescent="0.3">
      <c r="A141" s="600">
        <v>46042</v>
      </c>
      <c r="B141" s="126" t="s">
        <v>6483</v>
      </c>
      <c r="C141" s="126" t="s">
        <v>6125</v>
      </c>
      <c r="D141" s="652" t="s">
        <v>6702</v>
      </c>
      <c r="E141" s="647"/>
      <c r="F141" s="647">
        <v>15000</v>
      </c>
    </row>
    <row r="142" spans="1:6" ht="15" x14ac:dyDescent="0.3">
      <c r="A142" s="600">
        <v>46042</v>
      </c>
      <c r="B142" s="126" t="s">
        <v>6483</v>
      </c>
      <c r="C142" s="601" t="s">
        <v>6125</v>
      </c>
      <c r="D142" s="652" t="s">
        <v>6703</v>
      </c>
      <c r="E142" s="647"/>
      <c r="F142" s="647">
        <v>1340000</v>
      </c>
    </row>
    <row r="143" spans="1:6" ht="15" x14ac:dyDescent="0.3">
      <c r="A143" s="600">
        <v>46042</v>
      </c>
      <c r="B143" s="126" t="s">
        <v>6483</v>
      </c>
      <c r="C143" s="601" t="s">
        <v>6125</v>
      </c>
      <c r="D143" s="652" t="s">
        <v>2372</v>
      </c>
      <c r="E143" s="647"/>
      <c r="F143" s="647">
        <v>2500</v>
      </c>
    </row>
    <row r="144" spans="1:6" ht="15" x14ac:dyDescent="0.3">
      <c r="A144" s="600">
        <v>46042</v>
      </c>
      <c r="B144" s="126" t="s">
        <v>6483</v>
      </c>
      <c r="C144" s="601" t="s">
        <v>6125</v>
      </c>
      <c r="D144" s="652" t="s">
        <v>6704</v>
      </c>
      <c r="E144" s="647"/>
      <c r="F144" s="647">
        <v>664872</v>
      </c>
    </row>
    <row r="145" spans="1:6" ht="15" x14ac:dyDescent="0.3">
      <c r="A145" s="600">
        <v>46042</v>
      </c>
      <c r="B145" s="126" t="s">
        <v>6483</v>
      </c>
      <c r="C145" s="601" t="s">
        <v>6125</v>
      </c>
      <c r="D145" s="652" t="s">
        <v>2372</v>
      </c>
      <c r="E145" s="647"/>
      <c r="F145" s="647">
        <v>2500</v>
      </c>
    </row>
    <row r="146" spans="1:6" ht="15" x14ac:dyDescent="0.3">
      <c r="A146" s="600">
        <v>46042</v>
      </c>
      <c r="B146" s="126" t="s">
        <v>6483</v>
      </c>
      <c r="C146" s="601" t="s">
        <v>6125</v>
      </c>
      <c r="D146" s="652" t="s">
        <v>6705</v>
      </c>
      <c r="E146" s="647"/>
      <c r="F146" s="647">
        <v>98650</v>
      </c>
    </row>
    <row r="147" spans="1:6" ht="15" x14ac:dyDescent="0.3">
      <c r="A147" s="600">
        <v>46042</v>
      </c>
      <c r="B147" s="126" t="s">
        <v>6483</v>
      </c>
      <c r="C147" s="126" t="s">
        <v>6125</v>
      </c>
      <c r="D147" s="710" t="s">
        <v>6706</v>
      </c>
      <c r="E147" s="647"/>
      <c r="F147" s="647">
        <v>570240</v>
      </c>
    </row>
    <row r="148" spans="1:6" ht="15" x14ac:dyDescent="0.3">
      <c r="A148" s="600">
        <v>46043</v>
      </c>
      <c r="B148" s="126" t="s">
        <v>6487</v>
      </c>
      <c r="C148" s="640" t="s">
        <v>6125</v>
      </c>
      <c r="D148" s="710" t="s">
        <v>6707</v>
      </c>
      <c r="E148" s="647"/>
      <c r="F148" s="647">
        <v>721500</v>
      </c>
    </row>
    <row r="149" spans="1:6" ht="15" x14ac:dyDescent="0.3">
      <c r="A149" s="600">
        <v>46043</v>
      </c>
      <c r="B149" s="126" t="s">
        <v>6487</v>
      </c>
      <c r="C149" s="640" t="s">
        <v>6125</v>
      </c>
      <c r="D149" s="710" t="s">
        <v>6708</v>
      </c>
      <c r="E149" s="647"/>
      <c r="F149" s="647">
        <v>601501</v>
      </c>
    </row>
    <row r="150" spans="1:6" ht="15" x14ac:dyDescent="0.3">
      <c r="A150" s="600">
        <v>46043</v>
      </c>
      <c r="B150" s="126" t="s">
        <v>6487</v>
      </c>
      <c r="C150" s="640" t="s">
        <v>6125</v>
      </c>
      <c r="D150" s="710" t="s">
        <v>6709</v>
      </c>
      <c r="E150" s="647"/>
      <c r="F150" s="647">
        <v>108790</v>
      </c>
    </row>
    <row r="151" spans="1:6" ht="15" x14ac:dyDescent="0.3">
      <c r="A151" s="600">
        <v>46043</v>
      </c>
      <c r="B151" s="126" t="s">
        <v>6487</v>
      </c>
      <c r="C151" s="640" t="s">
        <v>6125</v>
      </c>
      <c r="D151" s="710" t="s">
        <v>6491</v>
      </c>
      <c r="E151" s="647"/>
      <c r="F151" s="647">
        <v>2000</v>
      </c>
    </row>
    <row r="152" spans="1:6" ht="15" x14ac:dyDescent="0.3">
      <c r="A152" s="600">
        <v>46043</v>
      </c>
      <c r="B152" s="126" t="s">
        <v>6487</v>
      </c>
      <c r="C152" s="640" t="s">
        <v>6125</v>
      </c>
      <c r="D152" s="710" t="s">
        <v>6710</v>
      </c>
      <c r="E152" s="647"/>
      <c r="F152" s="647">
        <v>2784500</v>
      </c>
    </row>
    <row r="153" spans="1:6" ht="15" x14ac:dyDescent="0.3">
      <c r="A153" s="600">
        <v>46043</v>
      </c>
      <c r="B153" s="126" t="s">
        <v>6487</v>
      </c>
      <c r="C153" s="640" t="s">
        <v>6125</v>
      </c>
      <c r="D153" s="710" t="s">
        <v>6457</v>
      </c>
      <c r="E153" s="647"/>
      <c r="F153" s="647">
        <v>2500</v>
      </c>
    </row>
    <row r="154" spans="1:6" ht="15" x14ac:dyDescent="0.3">
      <c r="A154" s="600">
        <v>46043</v>
      </c>
      <c r="B154" s="126" t="s">
        <v>6487</v>
      </c>
      <c r="C154" s="640" t="s">
        <v>6125</v>
      </c>
      <c r="D154" s="710" t="s">
        <v>6711</v>
      </c>
      <c r="E154" s="647"/>
      <c r="F154" s="647">
        <v>2287970</v>
      </c>
    </row>
    <row r="155" spans="1:6" ht="15" x14ac:dyDescent="0.3">
      <c r="A155" s="600">
        <v>46043</v>
      </c>
      <c r="B155" s="126" t="s">
        <v>6487</v>
      </c>
      <c r="C155" s="640" t="s">
        <v>6125</v>
      </c>
      <c r="D155" s="710" t="s">
        <v>6457</v>
      </c>
      <c r="E155" s="647"/>
      <c r="F155" s="647">
        <v>2500</v>
      </c>
    </row>
    <row r="156" spans="1:6" ht="15" x14ac:dyDescent="0.3">
      <c r="A156" s="600">
        <v>46043</v>
      </c>
      <c r="B156" s="126" t="s">
        <v>6487</v>
      </c>
      <c r="C156" s="640" t="s">
        <v>6125</v>
      </c>
      <c r="D156" s="710" t="s">
        <v>6552</v>
      </c>
      <c r="E156" s="647"/>
      <c r="F156" s="647">
        <v>1145819</v>
      </c>
    </row>
    <row r="157" spans="1:6" ht="15" x14ac:dyDescent="0.3">
      <c r="A157" s="600">
        <v>46043</v>
      </c>
      <c r="B157" s="126" t="s">
        <v>6487</v>
      </c>
      <c r="C157" s="640" t="s">
        <v>6125</v>
      </c>
      <c r="D157" s="710" t="s">
        <v>6457</v>
      </c>
      <c r="E157" s="647"/>
      <c r="F157" s="647">
        <v>2500</v>
      </c>
    </row>
    <row r="158" spans="1:6" ht="15" x14ac:dyDescent="0.3">
      <c r="A158" s="600">
        <v>46043</v>
      </c>
      <c r="B158" s="126" t="s">
        <v>6487</v>
      </c>
      <c r="C158" s="640" t="s">
        <v>6125</v>
      </c>
      <c r="D158" s="710" t="s">
        <v>6712</v>
      </c>
      <c r="E158" s="647"/>
      <c r="F158" s="647">
        <v>1334500</v>
      </c>
    </row>
    <row r="159" spans="1:6" ht="15" x14ac:dyDescent="0.3">
      <c r="A159" s="600">
        <v>46043</v>
      </c>
      <c r="B159" s="126" t="s">
        <v>6487</v>
      </c>
      <c r="C159" s="640" t="s">
        <v>6125</v>
      </c>
      <c r="D159" s="710" t="s">
        <v>6457</v>
      </c>
      <c r="E159" s="647"/>
      <c r="F159" s="647">
        <v>2500</v>
      </c>
    </row>
    <row r="160" spans="1:6" ht="15" x14ac:dyDescent="0.3">
      <c r="A160" s="600">
        <v>46043</v>
      </c>
      <c r="B160" s="126" t="s">
        <v>6487</v>
      </c>
      <c r="C160" s="640" t="s">
        <v>6125</v>
      </c>
      <c r="D160" s="710" t="s">
        <v>6713</v>
      </c>
      <c r="E160" s="647"/>
      <c r="F160" s="647">
        <v>139000</v>
      </c>
    </row>
    <row r="161" spans="1:6" ht="15" x14ac:dyDescent="0.3">
      <c r="A161" s="600">
        <v>46043</v>
      </c>
      <c r="B161" s="126" t="s">
        <v>6487</v>
      </c>
      <c r="C161" s="640" t="s">
        <v>6125</v>
      </c>
      <c r="D161" s="710" t="s">
        <v>6714</v>
      </c>
      <c r="E161" s="647"/>
      <c r="F161" s="647">
        <v>326500</v>
      </c>
    </row>
    <row r="162" spans="1:6" ht="15" x14ac:dyDescent="0.3">
      <c r="A162" s="600">
        <v>46043</v>
      </c>
      <c r="B162" s="126" t="s">
        <v>6487</v>
      </c>
      <c r="C162" s="640" t="s">
        <v>6125</v>
      </c>
      <c r="D162" s="710" t="s">
        <v>6715</v>
      </c>
      <c r="E162" s="647"/>
      <c r="F162" s="647">
        <v>200000</v>
      </c>
    </row>
    <row r="163" spans="1:6" ht="15" x14ac:dyDescent="0.3">
      <c r="A163" s="600">
        <v>46043</v>
      </c>
      <c r="B163" s="126" t="s">
        <v>6487</v>
      </c>
      <c r="C163" s="640" t="s">
        <v>6125</v>
      </c>
      <c r="D163" s="710" t="s">
        <v>6716</v>
      </c>
      <c r="E163" s="647"/>
      <c r="F163" s="647">
        <v>45000</v>
      </c>
    </row>
    <row r="164" spans="1:6" ht="15" x14ac:dyDescent="0.3">
      <c r="A164" s="600">
        <v>46043</v>
      </c>
      <c r="B164" s="126" t="s">
        <v>6487</v>
      </c>
      <c r="C164" s="640" t="s">
        <v>6125</v>
      </c>
      <c r="D164" s="710" t="s">
        <v>6717</v>
      </c>
      <c r="E164" s="647"/>
      <c r="F164" s="647">
        <v>27100</v>
      </c>
    </row>
    <row r="165" spans="1:6" ht="15" x14ac:dyDescent="0.3">
      <c r="A165" s="600">
        <v>46043</v>
      </c>
      <c r="B165" s="126" t="s">
        <v>6487</v>
      </c>
      <c r="C165" s="640" t="s">
        <v>6125</v>
      </c>
      <c r="D165" s="710" t="s">
        <v>6718</v>
      </c>
      <c r="E165" s="647"/>
      <c r="F165" s="647">
        <v>27000</v>
      </c>
    </row>
    <row r="166" spans="1:6" ht="15" x14ac:dyDescent="0.3">
      <c r="A166" s="600">
        <v>46043</v>
      </c>
      <c r="B166" s="126" t="s">
        <v>6487</v>
      </c>
      <c r="C166" s="640" t="s">
        <v>6125</v>
      </c>
      <c r="D166" s="710" t="s">
        <v>6719</v>
      </c>
      <c r="E166" s="647"/>
      <c r="F166" s="647">
        <v>21000</v>
      </c>
    </row>
    <row r="167" spans="1:6" ht="15" x14ac:dyDescent="0.3">
      <c r="A167" s="600">
        <v>46044</v>
      </c>
      <c r="B167" s="126" t="s">
        <v>6554</v>
      </c>
      <c r="C167" s="640" t="s">
        <v>6125</v>
      </c>
      <c r="D167" s="710" t="s">
        <v>6660</v>
      </c>
      <c r="E167" s="647"/>
      <c r="F167" s="647">
        <v>100000</v>
      </c>
    </row>
    <row r="168" spans="1:6" ht="15" x14ac:dyDescent="0.3">
      <c r="A168" s="600">
        <v>46044</v>
      </c>
      <c r="B168" s="126" t="s">
        <v>6554</v>
      </c>
      <c r="C168" s="640" t="s">
        <v>6125</v>
      </c>
      <c r="D168" s="710" t="s">
        <v>6720</v>
      </c>
      <c r="E168" s="647"/>
      <c r="F168" s="647">
        <v>21000</v>
      </c>
    </row>
    <row r="169" spans="1:6" ht="15" x14ac:dyDescent="0.3">
      <c r="A169" s="600">
        <v>46044</v>
      </c>
      <c r="B169" s="126" t="s">
        <v>6554</v>
      </c>
      <c r="C169" s="640" t="s">
        <v>6125</v>
      </c>
      <c r="D169" s="710" t="s">
        <v>6721</v>
      </c>
      <c r="E169" s="647"/>
      <c r="F169" s="647">
        <v>76000</v>
      </c>
    </row>
    <row r="170" spans="1:6" ht="15" x14ac:dyDescent="0.3">
      <c r="A170" s="600">
        <v>46044</v>
      </c>
      <c r="B170" s="126" t="s">
        <v>6554</v>
      </c>
      <c r="C170" s="640" t="s">
        <v>6125</v>
      </c>
      <c r="D170" s="710" t="s">
        <v>6722</v>
      </c>
      <c r="E170" s="647"/>
      <c r="F170" s="647">
        <v>70795</v>
      </c>
    </row>
    <row r="171" spans="1:6" ht="15" x14ac:dyDescent="0.3">
      <c r="A171" s="600">
        <v>46044</v>
      </c>
      <c r="B171" s="126" t="s">
        <v>6554</v>
      </c>
      <c r="C171" s="640" t="s">
        <v>6125</v>
      </c>
      <c r="D171" s="710" t="s">
        <v>6723</v>
      </c>
      <c r="E171" s="647"/>
      <c r="F171" s="647">
        <v>72000</v>
      </c>
    </row>
    <row r="172" spans="1:6" ht="15" x14ac:dyDescent="0.3">
      <c r="A172" s="600">
        <v>46044</v>
      </c>
      <c r="B172" s="126" t="s">
        <v>6554</v>
      </c>
      <c r="C172" s="640" t="s">
        <v>6125</v>
      </c>
      <c r="D172" s="710" t="s">
        <v>6724</v>
      </c>
      <c r="E172" s="647"/>
      <c r="F172" s="647">
        <v>30000</v>
      </c>
    </row>
    <row r="173" spans="1:6" ht="15" x14ac:dyDescent="0.3">
      <c r="A173" s="600">
        <v>46044</v>
      </c>
      <c r="B173" s="126" t="s">
        <v>6554</v>
      </c>
      <c r="C173" s="640" t="s">
        <v>6125</v>
      </c>
      <c r="D173" s="710" t="s">
        <v>50</v>
      </c>
      <c r="E173" s="647"/>
      <c r="F173" s="647">
        <v>2500</v>
      </c>
    </row>
    <row r="174" spans="1:6" ht="15" x14ac:dyDescent="0.3">
      <c r="A174" s="600">
        <v>46044</v>
      </c>
      <c r="B174" s="126" t="s">
        <v>6557</v>
      </c>
      <c r="C174" s="640" t="s">
        <v>6125</v>
      </c>
      <c r="D174" s="710" t="s">
        <v>6558</v>
      </c>
      <c r="E174" s="647"/>
      <c r="F174" s="647">
        <v>185200</v>
      </c>
    </row>
    <row r="175" spans="1:6" ht="15" x14ac:dyDescent="0.3">
      <c r="A175" s="600">
        <v>46044</v>
      </c>
      <c r="B175" s="126" t="s">
        <v>6557</v>
      </c>
      <c r="C175" s="640" t="s">
        <v>6125</v>
      </c>
      <c r="D175" s="710" t="s">
        <v>6725</v>
      </c>
      <c r="E175" s="647"/>
      <c r="F175" s="647">
        <v>100000</v>
      </c>
    </row>
    <row r="176" spans="1:6" ht="15" x14ac:dyDescent="0.3">
      <c r="A176" s="600">
        <v>46044</v>
      </c>
      <c r="B176" s="126" t="s">
        <v>6557</v>
      </c>
      <c r="C176" s="640" t="s">
        <v>6125</v>
      </c>
      <c r="D176" s="710" t="s">
        <v>6726</v>
      </c>
      <c r="E176" s="647"/>
      <c r="F176" s="647">
        <v>64086</v>
      </c>
    </row>
    <row r="177" spans="1:6" ht="15" x14ac:dyDescent="0.3">
      <c r="A177" s="600">
        <v>46044</v>
      </c>
      <c r="B177" s="126" t="s">
        <v>6557</v>
      </c>
      <c r="C177" s="640" t="s">
        <v>6125</v>
      </c>
      <c r="D177" s="710" t="s">
        <v>6727</v>
      </c>
      <c r="E177" s="647"/>
      <c r="F177" s="647">
        <v>3333333</v>
      </c>
    </row>
    <row r="178" spans="1:6" ht="15" x14ac:dyDescent="0.3">
      <c r="A178" s="600">
        <v>46044</v>
      </c>
      <c r="B178" s="126" t="s">
        <v>6557</v>
      </c>
      <c r="C178" s="640" t="s">
        <v>6125</v>
      </c>
      <c r="D178" s="710" t="s">
        <v>6728</v>
      </c>
      <c r="E178" s="647"/>
      <c r="F178" s="647">
        <v>-333333</v>
      </c>
    </row>
    <row r="179" spans="1:6" ht="15" x14ac:dyDescent="0.3">
      <c r="A179" s="600">
        <v>46044</v>
      </c>
      <c r="B179" s="126" t="s">
        <v>6557</v>
      </c>
      <c r="C179" s="640" t="s">
        <v>6125</v>
      </c>
      <c r="D179" s="711" t="s">
        <v>4980</v>
      </c>
      <c r="E179" s="647"/>
      <c r="F179" s="647">
        <v>2500</v>
      </c>
    </row>
    <row r="180" spans="1:6" ht="15" x14ac:dyDescent="0.3">
      <c r="A180" s="600">
        <v>46044</v>
      </c>
      <c r="B180" s="126" t="s">
        <v>6557</v>
      </c>
      <c r="C180" s="640" t="s">
        <v>6125</v>
      </c>
      <c r="D180" s="710" t="s">
        <v>6729</v>
      </c>
      <c r="E180" s="647"/>
      <c r="F180" s="647">
        <v>630000</v>
      </c>
    </row>
    <row r="181" spans="1:6" ht="15" x14ac:dyDescent="0.3">
      <c r="A181" s="600">
        <v>46044</v>
      </c>
      <c r="B181" s="126" t="s">
        <v>6557</v>
      </c>
      <c r="C181" s="126" t="s">
        <v>6125</v>
      </c>
      <c r="D181" s="710" t="s">
        <v>6730</v>
      </c>
      <c r="E181" s="647"/>
      <c r="F181" s="647">
        <v>614055</v>
      </c>
    </row>
    <row r="182" spans="1:6" ht="15" x14ac:dyDescent="0.3">
      <c r="A182" s="127">
        <v>46044</v>
      </c>
      <c r="B182" s="132" t="s">
        <v>6557</v>
      </c>
      <c r="C182" s="132" t="s">
        <v>6125</v>
      </c>
      <c r="D182" s="661" t="s">
        <v>6731</v>
      </c>
      <c r="E182" s="631"/>
      <c r="F182" s="631">
        <v>1500000</v>
      </c>
    </row>
  </sheetData>
  <autoFilter ref="A2:F2" xr:uid="{AEFAEE9E-74C7-4772-89E5-0BB19469BE4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KSM24P006</vt:lpstr>
      <vt:lpstr>KSM24P045</vt:lpstr>
      <vt:lpstr>KSM24P047</vt:lpstr>
      <vt:lpstr>KSM24P085</vt:lpstr>
      <vt:lpstr>KSM24P100</vt:lpstr>
      <vt:lpstr>KSM24P145</vt:lpstr>
      <vt:lpstr>KSM24P166</vt:lpstr>
      <vt:lpstr>KSM24P167</vt:lpstr>
      <vt:lpstr>KSM24P168</vt:lpstr>
      <vt:lpstr>KSM25P002</vt:lpstr>
      <vt:lpstr>KSM25P003</vt:lpstr>
      <vt:lpstr>KSM25P004</vt:lpstr>
      <vt:lpstr>KSM25P020</vt:lpstr>
      <vt:lpstr>KSM25P021</vt:lpstr>
      <vt:lpstr>KSM25P060</vt:lpstr>
      <vt:lpstr>KSM25P076</vt:lpstr>
      <vt:lpstr>KSM25P093</vt:lpstr>
      <vt:lpstr>KSM25P121</vt:lpstr>
      <vt:lpstr>KSM25P124</vt:lpstr>
      <vt:lpstr>KSM25P128</vt:lpstr>
      <vt:lpstr>KSM25P131</vt:lpstr>
      <vt:lpstr>KSM25P152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Adinda Naufianti</dc:creator>
  <cp:lastModifiedBy>Adinda Naufianti</cp:lastModifiedBy>
  <dcterms:created xsi:type="dcterms:W3CDTF">2025-07-11T07:40:04Z</dcterms:created>
  <dcterms:modified xsi:type="dcterms:W3CDTF">2026-01-26T01:46:33Z</dcterms:modified>
</cp:coreProperties>
</file>